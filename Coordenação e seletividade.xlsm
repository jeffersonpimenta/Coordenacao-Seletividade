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Jéfferson\Documents\GIT\Coordenacao-e-seletividade\"/>
    </mc:Choice>
  </mc:AlternateContent>
  <bookViews>
    <workbookView xWindow="0" yWindow="0" windowWidth="28800" windowHeight="12330"/>
  </bookViews>
  <sheets>
    <sheet name="ECS" sheetId="2" r:id="rId1"/>
    <sheet name="Coordenograma" sheetId="4" r:id="rId2"/>
    <sheet name="Auxiliar" sheetId="3" r:id="rId3"/>
    <sheet name="Coordenograma Manual" sheetId="1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3" l="1"/>
  <c r="A13" i="3"/>
  <c r="O60" i="2"/>
  <c r="O55" i="2"/>
  <c r="B37" i="4" l="1"/>
  <c r="B36" i="4"/>
  <c r="B35" i="4"/>
  <c r="B34" i="4"/>
  <c r="B33" i="4"/>
  <c r="B31" i="4"/>
  <c r="B30" i="4"/>
  <c r="B29" i="4"/>
  <c r="B28" i="4"/>
  <c r="B27" i="4"/>
  <c r="B20" i="4"/>
  <c r="B19" i="4"/>
  <c r="B12" i="4"/>
  <c r="B10" i="4"/>
  <c r="B7" i="4"/>
  <c r="B6" i="4"/>
  <c r="A9" i="3" l="1"/>
  <c r="A11" i="3"/>
  <c r="A4" i="3"/>
  <c r="A2" i="3"/>
  <c r="O7" i="2" l="1"/>
  <c r="O22" i="2" l="1"/>
  <c r="O51" i="2" s="1"/>
  <c r="P9" i="2"/>
  <c r="O9" i="2"/>
  <c r="O20" i="2"/>
  <c r="O50" i="2" s="1"/>
  <c r="P20" i="2"/>
  <c r="P50" i="2" s="1"/>
  <c r="P22" i="2"/>
  <c r="P51" i="2" s="1"/>
  <c r="P16" i="2"/>
  <c r="P21" i="2" s="1"/>
  <c r="O16" i="2"/>
  <c r="O21" i="2" s="1"/>
  <c r="O56" i="2" l="1"/>
  <c r="O28" i="2"/>
  <c r="O29" i="2"/>
  <c r="O6" i="2"/>
  <c r="B22" i="4" s="1"/>
  <c r="O35" i="2" l="1"/>
  <c r="B9" i="4" s="1"/>
  <c r="B13" i="4"/>
  <c r="O67" i="2"/>
  <c r="O68" i="2" s="1"/>
  <c r="O33" i="2"/>
  <c r="B11" i="4" s="1"/>
  <c r="O52" i="2"/>
  <c r="O54" i="2"/>
  <c r="O30" i="2"/>
  <c r="O32" i="2" s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F4" i="1"/>
  <c r="AI4" i="1" s="1"/>
  <c r="AF5" i="1"/>
  <c r="AI5" i="1" s="1"/>
  <c r="AF6" i="1"/>
  <c r="AI6" i="1" s="1"/>
  <c r="AF7" i="1"/>
  <c r="AI7" i="1" s="1"/>
  <c r="AF8" i="1"/>
  <c r="AI8" i="1" s="1"/>
  <c r="AF9" i="1"/>
  <c r="AI9" i="1" s="1"/>
  <c r="AF10" i="1"/>
  <c r="AI10" i="1" s="1"/>
  <c r="AF11" i="1"/>
  <c r="AI11" i="1" s="1"/>
  <c r="AF12" i="1"/>
  <c r="AI12" i="1" s="1"/>
  <c r="AF13" i="1"/>
  <c r="AI13" i="1" s="1"/>
  <c r="AF14" i="1"/>
  <c r="AI14" i="1" s="1"/>
  <c r="AF15" i="1"/>
  <c r="AI15" i="1" s="1"/>
  <c r="AF16" i="1"/>
  <c r="AI16" i="1" s="1"/>
  <c r="AF17" i="1"/>
  <c r="AI17" i="1" s="1"/>
  <c r="AF18" i="1"/>
  <c r="AI18" i="1" s="1"/>
  <c r="AF19" i="1"/>
  <c r="AI19" i="1" s="1"/>
  <c r="AF20" i="1"/>
  <c r="AI20" i="1" s="1"/>
  <c r="AF21" i="1"/>
  <c r="AI21" i="1" s="1"/>
  <c r="AF22" i="1"/>
  <c r="AI22" i="1" s="1"/>
  <c r="AF23" i="1"/>
  <c r="AI23" i="1" s="1"/>
  <c r="AF24" i="1"/>
  <c r="AI24" i="1" s="1"/>
  <c r="AF25" i="1"/>
  <c r="AI25" i="1" s="1"/>
  <c r="AF26" i="1"/>
  <c r="AI26" i="1" s="1"/>
  <c r="AF27" i="1"/>
  <c r="AI27" i="1" s="1"/>
  <c r="AF28" i="1"/>
  <c r="AI28" i="1" s="1"/>
  <c r="AF29" i="1"/>
  <c r="AI29" i="1" s="1"/>
  <c r="AF30" i="1"/>
  <c r="AI30" i="1" s="1"/>
  <c r="AF31" i="1"/>
  <c r="AI31" i="1" s="1"/>
  <c r="AF32" i="1"/>
  <c r="AI32" i="1" s="1"/>
  <c r="AF33" i="1"/>
  <c r="AI33" i="1" s="1"/>
  <c r="AF34" i="1"/>
  <c r="AI34" i="1" s="1"/>
  <c r="AF35" i="1"/>
  <c r="AI35" i="1" s="1"/>
  <c r="AF36" i="1"/>
  <c r="AI36" i="1" s="1"/>
  <c r="AF37" i="1"/>
  <c r="AI37" i="1" s="1"/>
  <c r="AF38" i="1"/>
  <c r="AI38" i="1" s="1"/>
  <c r="AF39" i="1"/>
  <c r="AI39" i="1" s="1"/>
  <c r="AF40" i="1"/>
  <c r="AI40" i="1" s="1"/>
  <c r="AF41" i="1"/>
  <c r="AI41" i="1" s="1"/>
  <c r="AF42" i="1"/>
  <c r="AI42" i="1" s="1"/>
  <c r="AF43" i="1"/>
  <c r="AI43" i="1" s="1"/>
  <c r="AF44" i="1"/>
  <c r="AI44" i="1" s="1"/>
  <c r="AF45" i="1"/>
  <c r="AI45" i="1" s="1"/>
  <c r="AF46" i="1"/>
  <c r="AI46" i="1" s="1"/>
  <c r="AF47" i="1"/>
  <c r="AI47" i="1" s="1"/>
  <c r="AF48" i="1"/>
  <c r="AI48" i="1" s="1"/>
  <c r="AF49" i="1"/>
  <c r="AI49" i="1" s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H3" i="1"/>
  <c r="AG3" i="1"/>
  <c r="AF3" i="1"/>
  <c r="AI3" i="1" s="1"/>
  <c r="AE3" i="1"/>
  <c r="AD3" i="1"/>
  <c r="AC3" i="1"/>
  <c r="O88" i="2" l="1"/>
  <c r="O89" i="2" s="1"/>
  <c r="B21" i="4" s="1"/>
  <c r="O75" i="2"/>
  <c r="O76" i="2" s="1"/>
  <c r="B14" i="4"/>
  <c r="O80" i="2"/>
  <c r="O81" i="2" s="1"/>
  <c r="B5" i="4"/>
  <c r="E3" i="4" s="1"/>
  <c r="O53" i="2"/>
  <c r="J4" i="3"/>
  <c r="O31" i="2"/>
  <c r="P32" i="2" s="1"/>
  <c r="O57" i="2"/>
  <c r="O63" i="2" s="1"/>
  <c r="U3" i="1"/>
  <c r="AA3" i="1" s="1"/>
  <c r="E3" i="1"/>
  <c r="S3" i="1" s="1"/>
  <c r="B8" i="4" l="1"/>
  <c r="J6" i="3"/>
  <c r="A6" i="3"/>
  <c r="J11" i="3"/>
  <c r="B18" i="4"/>
  <c r="U3" i="4" s="1"/>
  <c r="E4" i="4"/>
  <c r="N3" i="4"/>
  <c r="S3" i="4"/>
  <c r="P3" i="4"/>
  <c r="T3" i="4"/>
  <c r="R3" i="4"/>
  <c r="O3" i="4"/>
  <c r="Q3" i="4"/>
  <c r="D8" i="3"/>
  <c r="B8" i="3"/>
  <c r="G8" i="3"/>
  <c r="C8" i="3"/>
  <c r="F8" i="3"/>
  <c r="E8" i="3"/>
  <c r="Q3" i="1"/>
  <c r="T3" i="1" s="1"/>
  <c r="R3" i="1"/>
  <c r="O3" i="1"/>
  <c r="N3" i="1"/>
  <c r="P3" i="1"/>
  <c r="E4" i="1"/>
  <c r="S4" i="1" s="1"/>
  <c r="M3" i="1"/>
  <c r="Y3" i="1"/>
  <c r="Z3" i="1"/>
  <c r="U4" i="1"/>
  <c r="U5" i="1" s="1"/>
  <c r="AB3" i="1"/>
  <c r="V3" i="1"/>
  <c r="W3" i="1"/>
  <c r="X3" i="1"/>
  <c r="G3" i="1"/>
  <c r="H3" i="1"/>
  <c r="I3" i="1"/>
  <c r="J3" i="1"/>
  <c r="F3" i="1"/>
  <c r="K3" i="1"/>
  <c r="N4" i="4" l="1"/>
  <c r="E5" i="4"/>
  <c r="R4" i="4"/>
  <c r="P4" i="4"/>
  <c r="T4" i="4"/>
  <c r="O4" i="4"/>
  <c r="Q4" i="4"/>
  <c r="S4" i="4"/>
  <c r="AG3" i="4"/>
  <c r="AC3" i="4"/>
  <c r="AE3" i="4"/>
  <c r="AD3" i="4"/>
  <c r="AI3" i="4"/>
  <c r="U4" i="4"/>
  <c r="AH3" i="4"/>
  <c r="AF3" i="4"/>
  <c r="G3" i="3"/>
  <c r="D3" i="3"/>
  <c r="E3" i="3"/>
  <c r="H3" i="3" s="1"/>
  <c r="B3" i="3"/>
  <c r="C3" i="3"/>
  <c r="F3" i="3"/>
  <c r="H8" i="3"/>
  <c r="H4" i="1"/>
  <c r="F4" i="1"/>
  <c r="G4" i="1"/>
  <c r="R4" i="1"/>
  <c r="Q4" i="1"/>
  <c r="T4" i="1" s="1"/>
  <c r="P4" i="1"/>
  <c r="O4" i="1"/>
  <c r="N4" i="1"/>
  <c r="I4" i="1"/>
  <c r="M4" i="1" s="1"/>
  <c r="J4" i="1"/>
  <c r="K4" i="1"/>
  <c r="E5" i="1"/>
  <c r="S5" i="1" s="1"/>
  <c r="X5" i="1"/>
  <c r="Y5" i="1"/>
  <c r="Z5" i="1"/>
  <c r="AA5" i="1"/>
  <c r="V5" i="1"/>
  <c r="W5" i="1"/>
  <c r="V4" i="1"/>
  <c r="W4" i="1"/>
  <c r="X4" i="1"/>
  <c r="Y4" i="1"/>
  <c r="Z4" i="1"/>
  <c r="AA4" i="1"/>
  <c r="U6" i="1"/>
  <c r="J2" i="3" l="1"/>
  <c r="M3" i="3" s="1"/>
  <c r="AD4" i="4"/>
  <c r="AG4" i="4"/>
  <c r="AC4" i="4"/>
  <c r="U5" i="4"/>
  <c r="AE4" i="4"/>
  <c r="AH4" i="4"/>
  <c r="AF4" i="4"/>
  <c r="AI4" i="4" s="1"/>
  <c r="O5" i="4"/>
  <c r="N5" i="4"/>
  <c r="T5" i="4" s="1"/>
  <c r="Q5" i="4"/>
  <c r="E6" i="4"/>
  <c r="R5" i="4"/>
  <c r="P5" i="4"/>
  <c r="S5" i="4"/>
  <c r="P3" i="3"/>
  <c r="O69" i="2"/>
  <c r="K3" i="3"/>
  <c r="O82" i="2"/>
  <c r="J9" i="3"/>
  <c r="G5" i="1"/>
  <c r="N5" i="1"/>
  <c r="R5" i="1"/>
  <c r="Q5" i="1"/>
  <c r="T5" i="1" s="1"/>
  <c r="P5" i="1"/>
  <c r="O5" i="1"/>
  <c r="AB5" i="1"/>
  <c r="E6" i="1"/>
  <c r="S6" i="1" s="1"/>
  <c r="I5" i="1"/>
  <c r="M5" i="1" s="1"/>
  <c r="H5" i="1"/>
  <c r="K5" i="1"/>
  <c r="J5" i="1"/>
  <c r="F5" i="1"/>
  <c r="AB4" i="1"/>
  <c r="Z6" i="1"/>
  <c r="AA6" i="1"/>
  <c r="V6" i="1"/>
  <c r="W6" i="1"/>
  <c r="X6" i="1"/>
  <c r="Y6" i="1"/>
  <c r="U7" i="1"/>
  <c r="N3" i="3" l="1"/>
  <c r="Q3" i="3" s="1"/>
  <c r="O72" i="2" s="1"/>
  <c r="B4" i="4" s="1"/>
  <c r="O3" i="3"/>
  <c r="L3" i="3"/>
  <c r="AF5" i="4"/>
  <c r="AG5" i="4"/>
  <c r="AD5" i="4"/>
  <c r="AI5" i="4"/>
  <c r="AE5" i="4"/>
  <c r="AC5" i="4"/>
  <c r="U6" i="4"/>
  <c r="AH5" i="4"/>
  <c r="R6" i="4"/>
  <c r="S6" i="4"/>
  <c r="Q6" i="4"/>
  <c r="T6" i="4" s="1"/>
  <c r="O6" i="4"/>
  <c r="N6" i="4"/>
  <c r="P6" i="4"/>
  <c r="E7" i="4"/>
  <c r="P8" i="3"/>
  <c r="L8" i="3"/>
  <c r="O8" i="3"/>
  <c r="N8" i="3"/>
  <c r="M8" i="3"/>
  <c r="K8" i="3"/>
  <c r="R6" i="1"/>
  <c r="P6" i="1"/>
  <c r="O6" i="1"/>
  <c r="N6" i="1"/>
  <c r="Q6" i="1"/>
  <c r="T6" i="1" s="1"/>
  <c r="E7" i="1"/>
  <c r="S7" i="1" s="1"/>
  <c r="K6" i="1"/>
  <c r="F6" i="1"/>
  <c r="G6" i="1"/>
  <c r="H6" i="1"/>
  <c r="I6" i="1"/>
  <c r="M6" i="1" s="1"/>
  <c r="J6" i="1"/>
  <c r="AB6" i="1"/>
  <c r="V7" i="1"/>
  <c r="W7" i="1"/>
  <c r="X7" i="1"/>
  <c r="Y7" i="1"/>
  <c r="AB7" i="1" s="1"/>
  <c r="Z7" i="1"/>
  <c r="AA7" i="1"/>
  <c r="U8" i="1"/>
  <c r="I4" i="4" l="1"/>
  <c r="F6" i="4"/>
  <c r="J3" i="4"/>
  <c r="K6" i="4"/>
  <c r="F7" i="4"/>
  <c r="G3" i="4"/>
  <c r="J6" i="4"/>
  <c r="F4" i="4"/>
  <c r="K3" i="4"/>
  <c r="H3" i="4"/>
  <c r="J4" i="4"/>
  <c r="H6" i="4"/>
  <c r="I6" i="4"/>
  <c r="G6" i="4"/>
  <c r="F5" i="4"/>
  <c r="J5" i="4"/>
  <c r="I5" i="4"/>
  <c r="M5" i="4" s="1"/>
  <c r="H5" i="4"/>
  <c r="K5" i="4"/>
  <c r="Q8" i="3"/>
  <c r="O85" i="2" s="1"/>
  <c r="B17" i="4" s="1"/>
  <c r="G5" i="4"/>
  <c r="K4" i="4"/>
  <c r="F3" i="4"/>
  <c r="G4" i="4"/>
  <c r="H4" i="4"/>
  <c r="M4" i="4"/>
  <c r="I3" i="4"/>
  <c r="M3" i="4" s="1"/>
  <c r="I7" i="4"/>
  <c r="M7" i="4" s="1"/>
  <c r="K7" i="4"/>
  <c r="E8" i="4"/>
  <c r="N7" i="4"/>
  <c r="S7" i="4"/>
  <c r="Q7" i="4"/>
  <c r="T7" i="4" s="1"/>
  <c r="P7" i="4"/>
  <c r="R7" i="4"/>
  <c r="O7" i="4"/>
  <c r="H7" i="4"/>
  <c r="AG6" i="4"/>
  <c r="AF6" i="4"/>
  <c r="AI6" i="4" s="1"/>
  <c r="AE6" i="4"/>
  <c r="AH6" i="4"/>
  <c r="U7" i="4"/>
  <c r="AD6" i="4"/>
  <c r="AC6" i="4"/>
  <c r="J7" i="4"/>
  <c r="G7" i="4"/>
  <c r="M6" i="4"/>
  <c r="R7" i="1"/>
  <c r="Q7" i="1"/>
  <c r="T7" i="1" s="1"/>
  <c r="P7" i="1"/>
  <c r="O7" i="1"/>
  <c r="N7" i="1"/>
  <c r="E8" i="1"/>
  <c r="S8" i="1" s="1"/>
  <c r="K7" i="1"/>
  <c r="G7" i="1"/>
  <c r="I7" i="1"/>
  <c r="M7" i="1" s="1"/>
  <c r="J7" i="1"/>
  <c r="F7" i="1"/>
  <c r="H7" i="1"/>
  <c r="V8" i="1"/>
  <c r="W8" i="1"/>
  <c r="X8" i="1"/>
  <c r="Y8" i="1"/>
  <c r="AB8" i="1" s="1"/>
  <c r="Z8" i="1"/>
  <c r="AA8" i="1"/>
  <c r="U9" i="1"/>
  <c r="Y3" i="4" l="1"/>
  <c r="AA4" i="4"/>
  <c r="Y6" i="4"/>
  <c r="W4" i="4"/>
  <c r="V3" i="4"/>
  <c r="AB3" i="4" s="1"/>
  <c r="Z3" i="4"/>
  <c r="X5" i="4"/>
  <c r="V6" i="4"/>
  <c r="AB6" i="4" s="1"/>
  <c r="Y7" i="4"/>
  <c r="Y5" i="4"/>
  <c r="AB5" i="4" s="1"/>
  <c r="Z6" i="4"/>
  <c r="W3" i="4"/>
  <c r="W5" i="4"/>
  <c r="X6" i="4"/>
  <c r="AA5" i="4"/>
  <c r="V4" i="4"/>
  <c r="AB4" i="4" s="1"/>
  <c r="Z4" i="4"/>
  <c r="Z5" i="4"/>
  <c r="AA6" i="4"/>
  <c r="W6" i="4"/>
  <c r="W7" i="4"/>
  <c r="X4" i="4"/>
  <c r="V5" i="4"/>
  <c r="X3" i="4"/>
  <c r="Y4" i="4"/>
  <c r="AA3" i="4"/>
  <c r="AA7" i="4"/>
  <c r="AD7" i="4"/>
  <c r="AC7" i="4"/>
  <c r="U8" i="4"/>
  <c r="AG7" i="4"/>
  <c r="AF7" i="4"/>
  <c r="AI7" i="4"/>
  <c r="AH7" i="4"/>
  <c r="AE7" i="4"/>
  <c r="X7" i="4"/>
  <c r="V7" i="4"/>
  <c r="N8" i="4"/>
  <c r="E9" i="4"/>
  <c r="S8" i="4"/>
  <c r="R8" i="4"/>
  <c r="P8" i="4"/>
  <c r="O8" i="4"/>
  <c r="Q8" i="4"/>
  <c r="T8" i="4"/>
  <c r="H8" i="4"/>
  <c r="G8" i="4"/>
  <c r="J8" i="4"/>
  <c r="K8" i="4"/>
  <c r="F8" i="4"/>
  <c r="M8" i="4" s="1"/>
  <c r="I8" i="4"/>
  <c r="Z7" i="4"/>
  <c r="AB7" i="4"/>
  <c r="N8" i="1"/>
  <c r="R8" i="1"/>
  <c r="Q8" i="1"/>
  <c r="T8" i="1" s="1"/>
  <c r="P8" i="1"/>
  <c r="O8" i="1"/>
  <c r="E9" i="1"/>
  <c r="S9" i="1" s="1"/>
  <c r="I8" i="1"/>
  <c r="M8" i="1" s="1"/>
  <c r="J8" i="1"/>
  <c r="K8" i="1"/>
  <c r="F8" i="1"/>
  <c r="G8" i="1"/>
  <c r="H8" i="1"/>
  <c r="X9" i="1"/>
  <c r="Y9" i="1"/>
  <c r="Z9" i="1"/>
  <c r="AA9" i="1"/>
  <c r="V9" i="1"/>
  <c r="W9" i="1"/>
  <c r="U10" i="1"/>
  <c r="S9" i="4" l="1"/>
  <c r="R9" i="4"/>
  <c r="P9" i="4"/>
  <c r="O9" i="4"/>
  <c r="N9" i="4"/>
  <c r="Q9" i="4"/>
  <c r="T9" i="4" s="1"/>
  <c r="E10" i="4"/>
  <c r="I9" i="4"/>
  <c r="K9" i="4"/>
  <c r="J9" i="4"/>
  <c r="H9" i="4"/>
  <c r="G9" i="4"/>
  <c r="F9" i="4"/>
  <c r="M9" i="4"/>
  <c r="AH8" i="4"/>
  <c r="AG8" i="4"/>
  <c r="AF8" i="4"/>
  <c r="AD8" i="4"/>
  <c r="AC8" i="4"/>
  <c r="AE8" i="4"/>
  <c r="U9" i="4"/>
  <c r="AI8" i="4"/>
  <c r="V8" i="4"/>
  <c r="X8" i="4"/>
  <c r="Z8" i="4"/>
  <c r="Y8" i="4"/>
  <c r="W8" i="4"/>
  <c r="AA8" i="4"/>
  <c r="R9" i="1"/>
  <c r="Q9" i="1"/>
  <c r="T9" i="1" s="1"/>
  <c r="P9" i="1"/>
  <c r="O9" i="1"/>
  <c r="N9" i="1"/>
  <c r="AB9" i="1"/>
  <c r="E10" i="1"/>
  <c r="S10" i="1" s="1"/>
  <c r="K9" i="1"/>
  <c r="F9" i="1"/>
  <c r="J9" i="1"/>
  <c r="G9" i="1"/>
  <c r="I9" i="1"/>
  <c r="M9" i="1" s="1"/>
  <c r="H9" i="1"/>
  <c r="Z10" i="1"/>
  <c r="AA10" i="1"/>
  <c r="V10" i="1"/>
  <c r="W10" i="1"/>
  <c r="X10" i="1"/>
  <c r="Y10" i="1"/>
  <c r="U11" i="1"/>
  <c r="AF9" i="4" l="1"/>
  <c r="AI9" i="4" s="1"/>
  <c r="AE9" i="4"/>
  <c r="AD9" i="4"/>
  <c r="AG9" i="4"/>
  <c r="AH9" i="4"/>
  <c r="AC9" i="4"/>
  <c r="U10" i="4"/>
  <c r="W9" i="4"/>
  <c r="Y9" i="4"/>
  <c r="X9" i="4"/>
  <c r="AA9" i="4"/>
  <c r="V9" i="4"/>
  <c r="AB9" i="4" s="1"/>
  <c r="Z9" i="4"/>
  <c r="R10" i="4"/>
  <c r="Q10" i="4"/>
  <c r="E11" i="4"/>
  <c r="S10" i="4"/>
  <c r="P10" i="4"/>
  <c r="O10" i="4"/>
  <c r="N10" i="4"/>
  <c r="K10" i="4"/>
  <c r="G10" i="4"/>
  <c r="H10" i="4"/>
  <c r="J10" i="4"/>
  <c r="F10" i="4"/>
  <c r="M10" i="4" s="1"/>
  <c r="I10" i="4"/>
  <c r="AB8" i="4"/>
  <c r="R10" i="1"/>
  <c r="Q10" i="1"/>
  <c r="T10" i="1" s="1"/>
  <c r="P10" i="1"/>
  <c r="O10" i="1"/>
  <c r="N10" i="1"/>
  <c r="E11" i="1"/>
  <c r="S11" i="1" s="1"/>
  <c r="I10" i="1"/>
  <c r="M10" i="1" s="1"/>
  <c r="J10" i="1"/>
  <c r="G10" i="1"/>
  <c r="K10" i="1"/>
  <c r="F10" i="1"/>
  <c r="H10" i="1"/>
  <c r="AB10" i="1"/>
  <c r="V11" i="1"/>
  <c r="W11" i="1"/>
  <c r="X11" i="1"/>
  <c r="Y11" i="1"/>
  <c r="AB11" i="1" s="1"/>
  <c r="Z11" i="1"/>
  <c r="AA11" i="1"/>
  <c r="U12" i="1"/>
  <c r="N11" i="4" l="1"/>
  <c r="S11" i="4"/>
  <c r="E12" i="4"/>
  <c r="O11" i="4"/>
  <c r="P11" i="4"/>
  <c r="R11" i="4"/>
  <c r="Q11" i="4"/>
  <c r="T11" i="4"/>
  <c r="K11" i="4"/>
  <c r="F11" i="4"/>
  <c r="J11" i="4"/>
  <c r="H11" i="4"/>
  <c r="G11" i="4"/>
  <c r="I11" i="4"/>
  <c r="M11" i="4"/>
  <c r="T10" i="4"/>
  <c r="AD10" i="4"/>
  <c r="AC10" i="4"/>
  <c r="AH10" i="4"/>
  <c r="AE10" i="4"/>
  <c r="U11" i="4"/>
  <c r="AG10" i="4"/>
  <c r="AF10" i="4"/>
  <c r="AI10" i="4"/>
  <c r="X10" i="4"/>
  <c r="W10" i="4"/>
  <c r="Y10" i="4"/>
  <c r="Z10" i="4"/>
  <c r="V10" i="4"/>
  <c r="AB10" i="4" s="1"/>
  <c r="AA10" i="4"/>
  <c r="R11" i="1"/>
  <c r="O11" i="1"/>
  <c r="Q11" i="1"/>
  <c r="T11" i="1" s="1"/>
  <c r="P11" i="1"/>
  <c r="N11" i="1"/>
  <c r="E12" i="1"/>
  <c r="S12" i="1" s="1"/>
  <c r="H11" i="1"/>
  <c r="G11" i="1"/>
  <c r="I11" i="1"/>
  <c r="M11" i="1" s="1"/>
  <c r="K11" i="1"/>
  <c r="J11" i="1"/>
  <c r="F11" i="1"/>
  <c r="V12" i="1"/>
  <c r="W12" i="1"/>
  <c r="X12" i="1"/>
  <c r="Y12" i="1"/>
  <c r="Z12" i="1"/>
  <c r="AA12" i="1"/>
  <c r="U13" i="1"/>
  <c r="AD11" i="4" l="1"/>
  <c r="U12" i="4"/>
  <c r="AC11" i="4"/>
  <c r="AG11" i="4"/>
  <c r="AF11" i="4"/>
  <c r="AH11" i="4"/>
  <c r="AE11" i="4"/>
  <c r="AI11" i="4"/>
  <c r="Z11" i="4"/>
  <c r="Y11" i="4"/>
  <c r="X11" i="4"/>
  <c r="AA11" i="4"/>
  <c r="W11" i="4"/>
  <c r="V11" i="4"/>
  <c r="N12" i="4"/>
  <c r="E13" i="4"/>
  <c r="S12" i="4"/>
  <c r="R12" i="4"/>
  <c r="Q12" i="4"/>
  <c r="T12" i="4" s="1"/>
  <c r="O12" i="4"/>
  <c r="P12" i="4"/>
  <c r="K12" i="4"/>
  <c r="I12" i="4"/>
  <c r="M12" i="4" s="1"/>
  <c r="G12" i="4"/>
  <c r="J12" i="4"/>
  <c r="F12" i="4"/>
  <c r="H12" i="4"/>
  <c r="R12" i="1"/>
  <c r="N12" i="1"/>
  <c r="O12" i="1"/>
  <c r="Q12" i="1"/>
  <c r="T12" i="1" s="1"/>
  <c r="P12" i="1"/>
  <c r="E13" i="1"/>
  <c r="S13" i="1" s="1"/>
  <c r="F12" i="1"/>
  <c r="I12" i="1"/>
  <c r="M12" i="1" s="1"/>
  <c r="J12" i="1"/>
  <c r="G12" i="1"/>
  <c r="K12" i="1"/>
  <c r="H12" i="1"/>
  <c r="AB12" i="1"/>
  <c r="X13" i="1"/>
  <c r="Y13" i="1"/>
  <c r="Z13" i="1"/>
  <c r="AA13" i="1"/>
  <c r="V13" i="1"/>
  <c r="W13" i="1"/>
  <c r="U14" i="1"/>
  <c r="O13" i="4" l="1"/>
  <c r="R13" i="4"/>
  <c r="N13" i="4"/>
  <c r="Q13" i="4"/>
  <c r="T13" i="4" s="1"/>
  <c r="E14" i="4"/>
  <c r="S13" i="4"/>
  <c r="P13" i="4"/>
  <c r="F13" i="4"/>
  <c r="M13" i="4" s="1"/>
  <c r="G13" i="4"/>
  <c r="I13" i="4"/>
  <c r="K13" i="4"/>
  <c r="J13" i="4"/>
  <c r="H13" i="4"/>
  <c r="AB11" i="4"/>
  <c r="U13" i="4"/>
  <c r="AE12" i="4"/>
  <c r="AD12" i="4"/>
  <c r="AH12" i="4"/>
  <c r="AG12" i="4"/>
  <c r="AC12" i="4"/>
  <c r="AF12" i="4"/>
  <c r="AI12" i="4" s="1"/>
  <c r="Y12" i="4"/>
  <c r="X12" i="4"/>
  <c r="AA12" i="4"/>
  <c r="V12" i="4"/>
  <c r="Z12" i="4"/>
  <c r="W12" i="4"/>
  <c r="R13" i="1"/>
  <c r="Q13" i="1"/>
  <c r="T13" i="1" s="1"/>
  <c r="N13" i="1"/>
  <c r="O13" i="1"/>
  <c r="P13" i="1"/>
  <c r="AB13" i="1"/>
  <c r="E14" i="1"/>
  <c r="S14" i="1" s="1"/>
  <c r="F13" i="1"/>
  <c r="G13" i="1"/>
  <c r="I13" i="1"/>
  <c r="M13" i="1" s="1"/>
  <c r="H13" i="1"/>
  <c r="K13" i="1"/>
  <c r="J13" i="1"/>
  <c r="Z14" i="1"/>
  <c r="AA14" i="1"/>
  <c r="V14" i="1"/>
  <c r="W14" i="1"/>
  <c r="X14" i="1"/>
  <c r="Y14" i="1"/>
  <c r="U15" i="1"/>
  <c r="AB12" i="4" l="1"/>
  <c r="G14" i="4"/>
  <c r="K14" i="4"/>
  <c r="N14" i="4"/>
  <c r="S14" i="4"/>
  <c r="O14" i="4"/>
  <c r="I14" i="4"/>
  <c r="R14" i="4"/>
  <c r="F14" i="4"/>
  <c r="P14" i="4"/>
  <c r="T14" i="4"/>
  <c r="Q14" i="4"/>
  <c r="E15" i="4"/>
  <c r="H14" i="4"/>
  <c r="J14" i="4"/>
  <c r="AF13" i="4"/>
  <c r="AI13" i="4" s="1"/>
  <c r="AE13" i="4"/>
  <c r="AD13" i="4"/>
  <c r="AH13" i="4"/>
  <c r="AC13" i="4"/>
  <c r="AG13" i="4"/>
  <c r="U14" i="4"/>
  <c r="X13" i="4"/>
  <c r="Z13" i="4"/>
  <c r="AA13" i="4"/>
  <c r="W13" i="4"/>
  <c r="V13" i="4"/>
  <c r="Y13" i="4"/>
  <c r="R14" i="1"/>
  <c r="O14" i="1"/>
  <c r="Q14" i="1"/>
  <c r="T14" i="1" s="1"/>
  <c r="N14" i="1"/>
  <c r="P14" i="1"/>
  <c r="E15" i="1"/>
  <c r="S15" i="1" s="1"/>
  <c r="I14" i="1"/>
  <c r="M14" i="1" s="1"/>
  <c r="J14" i="1"/>
  <c r="H14" i="1"/>
  <c r="K14" i="1"/>
  <c r="F14" i="1"/>
  <c r="G14" i="1"/>
  <c r="AB14" i="1"/>
  <c r="V15" i="1"/>
  <c r="W15" i="1"/>
  <c r="X15" i="1"/>
  <c r="Y15" i="1"/>
  <c r="AB15" i="1" s="1"/>
  <c r="Z15" i="1"/>
  <c r="AA15" i="1"/>
  <c r="U16" i="1"/>
  <c r="AB13" i="4" l="1"/>
  <c r="M14" i="4"/>
  <c r="AE14" i="4"/>
  <c r="W14" i="4"/>
  <c r="Z14" i="4"/>
  <c r="AD14" i="4"/>
  <c r="AG14" i="4"/>
  <c r="Y14" i="4"/>
  <c r="AH14" i="4"/>
  <c r="V14" i="4"/>
  <c r="AC14" i="4"/>
  <c r="AF14" i="4"/>
  <c r="U15" i="4"/>
  <c r="X14" i="4"/>
  <c r="AA14" i="4"/>
  <c r="AI14" i="4"/>
  <c r="R15" i="4"/>
  <c r="N15" i="4"/>
  <c r="Q15" i="4"/>
  <c r="T15" i="4" s="1"/>
  <c r="I15" i="4"/>
  <c r="H15" i="4"/>
  <c r="K15" i="4"/>
  <c r="G15" i="4"/>
  <c r="S15" i="4"/>
  <c r="P15" i="4"/>
  <c r="O15" i="4"/>
  <c r="J15" i="4"/>
  <c r="F15" i="4"/>
  <c r="E16" i="4"/>
  <c r="M15" i="4"/>
  <c r="R15" i="1"/>
  <c r="N15" i="1"/>
  <c r="O15" i="1"/>
  <c r="Q15" i="1"/>
  <c r="T15" i="1" s="1"/>
  <c r="P15" i="1"/>
  <c r="E16" i="1"/>
  <c r="S16" i="1" s="1"/>
  <c r="G15" i="1"/>
  <c r="K15" i="1"/>
  <c r="J15" i="1"/>
  <c r="F15" i="1"/>
  <c r="H15" i="1"/>
  <c r="I15" i="1"/>
  <c r="M15" i="1" s="1"/>
  <c r="V16" i="1"/>
  <c r="W16" i="1"/>
  <c r="X16" i="1"/>
  <c r="Y16" i="1"/>
  <c r="AB16" i="1"/>
  <c r="Z16" i="1"/>
  <c r="AA16" i="1"/>
  <c r="U17" i="1"/>
  <c r="AB14" i="4" l="1"/>
  <c r="R16" i="4"/>
  <c r="N16" i="4"/>
  <c r="F16" i="4"/>
  <c r="P16" i="4"/>
  <c r="G16" i="4"/>
  <c r="I16" i="4"/>
  <c r="Q16" i="4"/>
  <c r="T16" i="4" s="1"/>
  <c r="O16" i="4"/>
  <c r="E17" i="4"/>
  <c r="J16" i="4"/>
  <c r="H16" i="4"/>
  <c r="K16" i="4"/>
  <c r="S16" i="4"/>
  <c r="M16" i="4"/>
  <c r="Z15" i="4"/>
  <c r="AD15" i="4"/>
  <c r="AA15" i="4"/>
  <c r="AH15" i="4"/>
  <c r="AG15" i="4"/>
  <c r="V15" i="4"/>
  <c r="Y15" i="4"/>
  <c r="AB15" i="4" s="1"/>
  <c r="AC15" i="4"/>
  <c r="AF15" i="4"/>
  <c r="AI15" i="4" s="1"/>
  <c r="W15" i="4"/>
  <c r="U16" i="4"/>
  <c r="X15" i="4"/>
  <c r="AE15" i="4"/>
  <c r="R16" i="1"/>
  <c r="Q16" i="1"/>
  <c r="T16" i="1" s="1"/>
  <c r="P16" i="1"/>
  <c r="O16" i="1"/>
  <c r="N16" i="1"/>
  <c r="E17" i="1"/>
  <c r="S17" i="1" s="1"/>
  <c r="H16" i="1"/>
  <c r="G16" i="1"/>
  <c r="I16" i="1"/>
  <c r="M16" i="1" s="1"/>
  <c r="J16" i="1"/>
  <c r="K16" i="1"/>
  <c r="F16" i="1"/>
  <c r="X17" i="1"/>
  <c r="Y17" i="1"/>
  <c r="Z17" i="1"/>
  <c r="AA17" i="1"/>
  <c r="V17" i="1"/>
  <c r="W17" i="1"/>
  <c r="U18" i="1"/>
  <c r="X16" i="4" l="1"/>
  <c r="AA16" i="4"/>
  <c r="V16" i="4"/>
  <c r="AC16" i="4"/>
  <c r="AH16" i="4"/>
  <c r="W16" i="4"/>
  <c r="AD16" i="4"/>
  <c r="Z16" i="4"/>
  <c r="AF16" i="4"/>
  <c r="AI16" i="4" s="1"/>
  <c r="AE16" i="4"/>
  <c r="AG16" i="4"/>
  <c r="Y16" i="4"/>
  <c r="U17" i="4"/>
  <c r="AB16" i="4"/>
  <c r="H17" i="4"/>
  <c r="R17" i="4"/>
  <c r="O17" i="4"/>
  <c r="I17" i="4"/>
  <c r="P17" i="4"/>
  <c r="G17" i="4"/>
  <c r="F17" i="4"/>
  <c r="M17" i="4" s="1"/>
  <c r="Q17" i="4"/>
  <c r="T17" i="4" s="1"/>
  <c r="E18" i="4"/>
  <c r="J17" i="4"/>
  <c r="N17" i="4"/>
  <c r="K17" i="4"/>
  <c r="S17" i="4"/>
  <c r="N17" i="1"/>
  <c r="R17" i="1"/>
  <c r="O17" i="1"/>
  <c r="Q17" i="1"/>
  <c r="T17" i="1" s="1"/>
  <c r="P17" i="1"/>
  <c r="AB17" i="1"/>
  <c r="E18" i="1"/>
  <c r="S18" i="1" s="1"/>
  <c r="I17" i="1"/>
  <c r="M17" i="1" s="1"/>
  <c r="H17" i="1"/>
  <c r="K17" i="1"/>
  <c r="G17" i="1"/>
  <c r="J17" i="1"/>
  <c r="F17" i="1"/>
  <c r="Z18" i="1"/>
  <c r="AA18" i="1"/>
  <c r="V18" i="1"/>
  <c r="W18" i="1"/>
  <c r="X18" i="1"/>
  <c r="Y18" i="1"/>
  <c r="AB18" i="1" s="1"/>
  <c r="U19" i="1"/>
  <c r="J18" i="4" l="1"/>
  <c r="I18" i="4"/>
  <c r="K18" i="4"/>
  <c r="O18" i="4"/>
  <c r="R18" i="4"/>
  <c r="F18" i="4"/>
  <c r="N18" i="4"/>
  <c r="E19" i="4"/>
  <c r="P18" i="4"/>
  <c r="Q18" i="4"/>
  <c r="S18" i="4"/>
  <c r="H18" i="4"/>
  <c r="T18" i="4"/>
  <c r="G18" i="4"/>
  <c r="M18" i="4"/>
  <c r="Y17" i="4"/>
  <c r="AH17" i="4"/>
  <c r="AI17" i="4"/>
  <c r="AA17" i="4"/>
  <c r="W17" i="4"/>
  <c r="AD17" i="4"/>
  <c r="Z17" i="4"/>
  <c r="V17" i="4"/>
  <c r="AB17" i="4" s="1"/>
  <c r="AC17" i="4"/>
  <c r="AE17" i="4"/>
  <c r="AF17" i="4"/>
  <c r="U18" i="4"/>
  <c r="X17" i="4"/>
  <c r="AG17" i="4"/>
  <c r="R18" i="1"/>
  <c r="N18" i="1"/>
  <c r="O18" i="1"/>
  <c r="P18" i="1"/>
  <c r="Q18" i="1"/>
  <c r="T18" i="1" s="1"/>
  <c r="E19" i="1"/>
  <c r="S19" i="1" s="1"/>
  <c r="I18" i="1"/>
  <c r="M18" i="1" s="1"/>
  <c r="J18" i="1"/>
  <c r="K18" i="1"/>
  <c r="F18" i="1"/>
  <c r="G18" i="1"/>
  <c r="H18" i="1"/>
  <c r="V19" i="1"/>
  <c r="W19" i="1"/>
  <c r="X19" i="1"/>
  <c r="Y19" i="1"/>
  <c r="Z19" i="1"/>
  <c r="AB19" i="1"/>
  <c r="AA19" i="1"/>
  <c r="U20" i="1"/>
  <c r="AG18" i="4" l="1"/>
  <c r="V18" i="4"/>
  <c r="U19" i="4"/>
  <c r="Y18" i="4"/>
  <c r="AB18" i="4" s="1"/>
  <c r="AC18" i="4"/>
  <c r="W18" i="4"/>
  <c r="AD18" i="4"/>
  <c r="AF18" i="4"/>
  <c r="AI18" i="4"/>
  <c r="X18" i="4"/>
  <c r="AH18" i="4"/>
  <c r="AE18" i="4"/>
  <c r="AA18" i="4"/>
  <c r="Z18" i="4"/>
  <c r="E20" i="4"/>
  <c r="P19" i="4"/>
  <c r="S19" i="4"/>
  <c r="N19" i="4"/>
  <c r="K19" i="4"/>
  <c r="G19" i="4"/>
  <c r="R19" i="4"/>
  <c r="Q19" i="4"/>
  <c r="O19" i="4"/>
  <c r="J19" i="4"/>
  <c r="F19" i="4"/>
  <c r="H19" i="4"/>
  <c r="I19" i="4"/>
  <c r="M19" i="4" s="1"/>
  <c r="T19" i="4"/>
  <c r="R19" i="1"/>
  <c r="Q19" i="1"/>
  <c r="T19" i="1" s="1"/>
  <c r="P19" i="1"/>
  <c r="O19" i="1"/>
  <c r="N19" i="1"/>
  <c r="E20" i="1"/>
  <c r="S20" i="1" s="1"/>
  <c r="K19" i="1"/>
  <c r="G19" i="1"/>
  <c r="I19" i="1"/>
  <c r="M19" i="1" s="1"/>
  <c r="J19" i="1"/>
  <c r="F19" i="1"/>
  <c r="H19" i="1"/>
  <c r="V20" i="1"/>
  <c r="W20" i="1"/>
  <c r="X20" i="1"/>
  <c r="Y20" i="1"/>
  <c r="Z20" i="1"/>
  <c r="AA20" i="1"/>
  <c r="U21" i="1"/>
  <c r="R20" i="4" l="1"/>
  <c r="I20" i="4"/>
  <c r="M20" i="4" s="1"/>
  <c r="O20" i="4"/>
  <c r="Q20" i="4"/>
  <c r="T20" i="4" s="1"/>
  <c r="K20" i="4"/>
  <c r="N20" i="4"/>
  <c r="J20" i="4"/>
  <c r="H20" i="4"/>
  <c r="F20" i="4"/>
  <c r="E21" i="4"/>
  <c r="P20" i="4"/>
  <c r="S20" i="4"/>
  <c r="G20" i="4"/>
  <c r="Z19" i="4"/>
  <c r="AD19" i="4"/>
  <c r="AG19" i="4"/>
  <c r="Y19" i="4"/>
  <c r="U20" i="4"/>
  <c r="AC19" i="4"/>
  <c r="V19" i="4"/>
  <c r="X19" i="4"/>
  <c r="AE19" i="4"/>
  <c r="AH19" i="4"/>
  <c r="AF19" i="4"/>
  <c r="AI19" i="4" s="1"/>
  <c r="AA19" i="4"/>
  <c r="W19" i="4"/>
  <c r="N20" i="1"/>
  <c r="R20" i="1"/>
  <c r="Q20" i="1"/>
  <c r="T20" i="1" s="1"/>
  <c r="P20" i="1"/>
  <c r="O20" i="1"/>
  <c r="E21" i="1"/>
  <c r="S21" i="1" s="1"/>
  <c r="J20" i="1"/>
  <c r="K20" i="1"/>
  <c r="G20" i="1"/>
  <c r="F20" i="1"/>
  <c r="I20" i="1"/>
  <c r="M20" i="1" s="1"/>
  <c r="H20" i="1"/>
  <c r="AB20" i="1"/>
  <c r="X21" i="1"/>
  <c r="Y21" i="1"/>
  <c r="Z21" i="1"/>
  <c r="AA21" i="1"/>
  <c r="V21" i="1"/>
  <c r="AB21" i="1" s="1"/>
  <c r="W21" i="1"/>
  <c r="U22" i="1"/>
  <c r="AD20" i="4" l="1"/>
  <c r="Z20" i="4"/>
  <c r="Y20" i="4"/>
  <c r="AC20" i="4"/>
  <c r="X20" i="4"/>
  <c r="AA20" i="4"/>
  <c r="AH20" i="4"/>
  <c r="V20" i="4"/>
  <c r="AB20" i="4" s="1"/>
  <c r="AG20" i="4"/>
  <c r="W20" i="4"/>
  <c r="AF20" i="4"/>
  <c r="AI20" i="4" s="1"/>
  <c r="AE20" i="4"/>
  <c r="U21" i="4"/>
  <c r="M21" i="4"/>
  <c r="G21" i="4"/>
  <c r="O21" i="4"/>
  <c r="F21" i="4"/>
  <c r="E22" i="4"/>
  <c r="P21" i="4"/>
  <c r="N21" i="4"/>
  <c r="K21" i="4"/>
  <c r="S21" i="4"/>
  <c r="J21" i="4"/>
  <c r="Q21" i="4"/>
  <c r="T21" i="4" s="1"/>
  <c r="R21" i="4"/>
  <c r="I21" i="4"/>
  <c r="H21" i="4"/>
  <c r="AB19" i="4"/>
  <c r="R21" i="1"/>
  <c r="Q21" i="1"/>
  <c r="T21" i="1" s="1"/>
  <c r="P21" i="1"/>
  <c r="O21" i="1"/>
  <c r="N21" i="1"/>
  <c r="E22" i="1"/>
  <c r="S22" i="1" s="1"/>
  <c r="H21" i="1"/>
  <c r="K21" i="1"/>
  <c r="F21" i="1"/>
  <c r="G21" i="1"/>
  <c r="J21" i="1"/>
  <c r="I21" i="1"/>
  <c r="M21" i="1" s="1"/>
  <c r="Z22" i="1"/>
  <c r="AA22" i="1"/>
  <c r="V22" i="1"/>
  <c r="AB22" i="1" s="1"/>
  <c r="W22" i="1"/>
  <c r="X22" i="1"/>
  <c r="Y22" i="1"/>
  <c r="U23" i="1"/>
  <c r="H22" i="4" l="1"/>
  <c r="E23" i="4"/>
  <c r="P22" i="4"/>
  <c r="S22" i="4"/>
  <c r="Q22" i="4"/>
  <c r="T22" i="4" s="1"/>
  <c r="G22" i="4"/>
  <c r="K22" i="4"/>
  <c r="O22" i="4"/>
  <c r="J22" i="4"/>
  <c r="R22" i="4"/>
  <c r="F22" i="4"/>
  <c r="N22" i="4"/>
  <c r="I22" i="4"/>
  <c r="V21" i="4"/>
  <c r="AB21" i="4" s="1"/>
  <c r="Z21" i="4"/>
  <c r="AG21" i="4"/>
  <c r="Y21" i="4"/>
  <c r="AD21" i="4"/>
  <c r="AF21" i="4"/>
  <c r="AI21" i="4" s="1"/>
  <c r="AC21" i="4"/>
  <c r="AE21" i="4"/>
  <c r="AA21" i="4"/>
  <c r="X21" i="4"/>
  <c r="U22" i="4"/>
  <c r="W21" i="4"/>
  <c r="AH21" i="4"/>
  <c r="R22" i="1"/>
  <c r="P22" i="1"/>
  <c r="Q22" i="1"/>
  <c r="T22" i="1" s="1"/>
  <c r="O22" i="1"/>
  <c r="N22" i="1"/>
  <c r="E23" i="1"/>
  <c r="S23" i="1" s="1"/>
  <c r="I22" i="1"/>
  <c r="M22" i="1" s="1"/>
  <c r="F22" i="1"/>
  <c r="J22" i="1"/>
  <c r="K22" i="1"/>
  <c r="H22" i="1"/>
  <c r="G22" i="1"/>
  <c r="V23" i="1"/>
  <c r="AB23" i="1"/>
  <c r="W23" i="1"/>
  <c r="X23" i="1"/>
  <c r="Y23" i="1"/>
  <c r="Z23" i="1"/>
  <c r="AA23" i="1"/>
  <c r="U24" i="1"/>
  <c r="M22" i="4" l="1"/>
  <c r="W22" i="4"/>
  <c r="U23" i="4"/>
  <c r="AF22" i="4"/>
  <c r="AH22" i="4"/>
  <c r="AD22" i="4"/>
  <c r="AG22" i="4"/>
  <c r="X22" i="4"/>
  <c r="AE22" i="4"/>
  <c r="Z22" i="4"/>
  <c r="V22" i="4"/>
  <c r="AA22" i="4"/>
  <c r="Y22" i="4"/>
  <c r="AC22" i="4"/>
  <c r="AI22" i="4"/>
  <c r="R23" i="4"/>
  <c r="N23" i="4"/>
  <c r="T23" i="4" s="1"/>
  <c r="J23" i="4"/>
  <c r="I23" i="4"/>
  <c r="S23" i="4"/>
  <c r="Q23" i="4"/>
  <c r="H23" i="4"/>
  <c r="E24" i="4"/>
  <c r="P23" i="4"/>
  <c r="K23" i="4"/>
  <c r="F23" i="4"/>
  <c r="M23" i="4" s="1"/>
  <c r="G23" i="4"/>
  <c r="O23" i="4"/>
  <c r="R23" i="1"/>
  <c r="P23" i="1"/>
  <c r="Q23" i="1"/>
  <c r="T23" i="1" s="1"/>
  <c r="N23" i="1"/>
  <c r="O23" i="1"/>
  <c r="E24" i="1"/>
  <c r="S24" i="1" s="1"/>
  <c r="K23" i="1"/>
  <c r="G23" i="1"/>
  <c r="H23" i="1"/>
  <c r="J23" i="1"/>
  <c r="I23" i="1"/>
  <c r="M23" i="1" s="1"/>
  <c r="F23" i="1"/>
  <c r="V24" i="1"/>
  <c r="W24" i="1"/>
  <c r="X24" i="1"/>
  <c r="Y24" i="1"/>
  <c r="AB24" i="1"/>
  <c r="Z24" i="1"/>
  <c r="AA24" i="1"/>
  <c r="U25" i="1"/>
  <c r="AB22" i="4" l="1"/>
  <c r="J24" i="4"/>
  <c r="I24" i="4"/>
  <c r="E25" i="4"/>
  <c r="H24" i="4"/>
  <c r="P24" i="4"/>
  <c r="R24" i="4"/>
  <c r="N24" i="4"/>
  <c r="Q24" i="4"/>
  <c r="T24" i="4" s="1"/>
  <c r="G24" i="4"/>
  <c r="K24" i="4"/>
  <c r="F24" i="4"/>
  <c r="O24" i="4"/>
  <c r="S24" i="4"/>
  <c r="AA23" i="4"/>
  <c r="W23" i="4"/>
  <c r="AG23" i="4"/>
  <c r="Y23" i="4"/>
  <c r="U24" i="4"/>
  <c r="AE23" i="4"/>
  <c r="AH23" i="4"/>
  <c r="AD23" i="4"/>
  <c r="V23" i="4"/>
  <c r="Z23" i="4"/>
  <c r="AF23" i="4"/>
  <c r="AI23" i="4" s="1"/>
  <c r="AC23" i="4"/>
  <c r="X23" i="4"/>
  <c r="R24" i="1"/>
  <c r="N24" i="1"/>
  <c r="O24" i="1"/>
  <c r="P24" i="1"/>
  <c r="Q24" i="1"/>
  <c r="T24" i="1" s="1"/>
  <c r="E25" i="1"/>
  <c r="S25" i="1" s="1"/>
  <c r="I24" i="1"/>
  <c r="M24" i="1" s="1"/>
  <c r="J24" i="1"/>
  <c r="H24" i="1"/>
  <c r="G24" i="1"/>
  <c r="F24" i="1"/>
  <c r="K24" i="1"/>
  <c r="X25" i="1"/>
  <c r="Y25" i="1"/>
  <c r="Z25" i="1"/>
  <c r="AA25" i="1"/>
  <c r="V25" i="1"/>
  <c r="AB25" i="1" s="1"/>
  <c r="W25" i="1"/>
  <c r="U26" i="1"/>
  <c r="N25" i="4" l="1"/>
  <c r="R25" i="4"/>
  <c r="Q25" i="4"/>
  <c r="J25" i="4"/>
  <c r="I25" i="4"/>
  <c r="S25" i="4"/>
  <c r="E26" i="4"/>
  <c r="P25" i="4"/>
  <c r="T25" i="4"/>
  <c r="G25" i="4"/>
  <c r="K25" i="4"/>
  <c r="H25" i="4"/>
  <c r="O25" i="4"/>
  <c r="F25" i="4"/>
  <c r="M25" i="4" s="1"/>
  <c r="AB24" i="4"/>
  <c r="AF24" i="4"/>
  <c r="V24" i="4"/>
  <c r="U25" i="4"/>
  <c r="X24" i="4"/>
  <c r="AC24" i="4"/>
  <c r="AG24" i="4"/>
  <c r="W24" i="4"/>
  <c r="AI24" i="4"/>
  <c r="AE24" i="4"/>
  <c r="AA24" i="4"/>
  <c r="AD24" i="4"/>
  <c r="AH24" i="4"/>
  <c r="Z24" i="4"/>
  <c r="Y24" i="4"/>
  <c r="M24" i="4"/>
  <c r="AB23" i="4"/>
  <c r="R25" i="1"/>
  <c r="P25" i="1"/>
  <c r="N25" i="1"/>
  <c r="Q25" i="1"/>
  <c r="T25" i="1" s="1"/>
  <c r="O25" i="1"/>
  <c r="E26" i="1"/>
  <c r="S26" i="1" s="1"/>
  <c r="F25" i="1"/>
  <c r="G25" i="1"/>
  <c r="I25" i="1"/>
  <c r="M25" i="1" s="1"/>
  <c r="K25" i="1"/>
  <c r="H25" i="1"/>
  <c r="J25" i="1"/>
  <c r="Z26" i="1"/>
  <c r="AA26" i="1"/>
  <c r="V26" i="1"/>
  <c r="W26" i="1"/>
  <c r="AB26" i="1"/>
  <c r="X26" i="1"/>
  <c r="Y26" i="1"/>
  <c r="U27" i="1"/>
  <c r="P26" i="4" l="1"/>
  <c r="G26" i="4"/>
  <c r="O26" i="4"/>
  <c r="R26" i="4"/>
  <c r="J26" i="4"/>
  <c r="N26" i="4"/>
  <c r="T26" i="4" s="1"/>
  <c r="Q26" i="4"/>
  <c r="F26" i="4"/>
  <c r="M26" i="4" s="1"/>
  <c r="E27" i="4"/>
  <c r="S26" i="4"/>
  <c r="I26" i="4"/>
  <c r="H26" i="4"/>
  <c r="K26" i="4"/>
  <c r="AE25" i="4"/>
  <c r="Y25" i="4"/>
  <c r="AB25" i="4" s="1"/>
  <c r="W25" i="4"/>
  <c r="AH25" i="4"/>
  <c r="V25" i="4"/>
  <c r="AA25" i="4"/>
  <c r="AG25" i="4"/>
  <c r="AD25" i="4"/>
  <c r="Z25" i="4"/>
  <c r="X25" i="4"/>
  <c r="AC25" i="4"/>
  <c r="AI25" i="4" s="1"/>
  <c r="AF25" i="4"/>
  <c r="U26" i="4"/>
  <c r="R26" i="1"/>
  <c r="Q26" i="1"/>
  <c r="T26" i="1" s="1"/>
  <c r="O26" i="1"/>
  <c r="N26" i="1"/>
  <c r="P26" i="1"/>
  <c r="E27" i="1"/>
  <c r="S27" i="1" s="1"/>
  <c r="F26" i="1"/>
  <c r="G26" i="1"/>
  <c r="H26" i="1"/>
  <c r="J26" i="1"/>
  <c r="I26" i="1"/>
  <c r="M26" i="1" s="1"/>
  <c r="K26" i="1"/>
  <c r="V27" i="1"/>
  <c r="W27" i="1"/>
  <c r="X27" i="1"/>
  <c r="Y27" i="1"/>
  <c r="Z27" i="1"/>
  <c r="AB27" i="1"/>
  <c r="AA27" i="1"/>
  <c r="U28" i="1"/>
  <c r="AA26" i="4" l="1"/>
  <c r="V26" i="4"/>
  <c r="Z26" i="4"/>
  <c r="AG26" i="4"/>
  <c r="AC26" i="4"/>
  <c r="AB26" i="4"/>
  <c r="X26" i="4"/>
  <c r="W26" i="4"/>
  <c r="Y26" i="4"/>
  <c r="U27" i="4"/>
  <c r="AF26" i="4"/>
  <c r="AI26" i="4" s="1"/>
  <c r="AH26" i="4"/>
  <c r="AE26" i="4"/>
  <c r="AD26" i="4"/>
  <c r="R27" i="4"/>
  <c r="N27" i="4"/>
  <c r="I27" i="4"/>
  <c r="P27" i="4"/>
  <c r="G27" i="4"/>
  <c r="Q27" i="4"/>
  <c r="T27" i="4" s="1"/>
  <c r="H27" i="4"/>
  <c r="E28" i="4"/>
  <c r="O27" i="4"/>
  <c r="K27" i="4"/>
  <c r="S27" i="4"/>
  <c r="F27" i="4"/>
  <c r="M27" i="4" s="1"/>
  <c r="J27" i="4"/>
  <c r="O27" i="1"/>
  <c r="Q27" i="1"/>
  <c r="T27" i="1" s="1"/>
  <c r="R27" i="1"/>
  <c r="P27" i="1"/>
  <c r="N27" i="1"/>
  <c r="E28" i="1"/>
  <c r="S28" i="1" s="1"/>
  <c r="F27" i="1"/>
  <c r="G27" i="1"/>
  <c r="K27" i="1"/>
  <c r="H27" i="1"/>
  <c r="I27" i="1"/>
  <c r="M27" i="1" s="1"/>
  <c r="J27" i="1"/>
  <c r="V28" i="1"/>
  <c r="AB28" i="1" s="1"/>
  <c r="W28" i="1"/>
  <c r="X28" i="1"/>
  <c r="Y28" i="1"/>
  <c r="Z28" i="1"/>
  <c r="AA28" i="1"/>
  <c r="U29" i="1"/>
  <c r="S28" i="4" l="1"/>
  <c r="O28" i="4"/>
  <c r="I28" i="4"/>
  <c r="J28" i="4"/>
  <c r="H28" i="4"/>
  <c r="P28" i="4"/>
  <c r="N28" i="4"/>
  <c r="R28" i="4"/>
  <c r="E29" i="4"/>
  <c r="Q28" i="4"/>
  <c r="F28" i="4"/>
  <c r="T28" i="4"/>
  <c r="K28" i="4"/>
  <c r="G28" i="4"/>
  <c r="M28" i="4"/>
  <c r="AB27" i="4"/>
  <c r="AF27" i="4"/>
  <c r="AI27" i="4" s="1"/>
  <c r="AD27" i="4"/>
  <c r="Y27" i="4"/>
  <c r="U28" i="4"/>
  <c r="X27" i="4"/>
  <c r="W27" i="4"/>
  <c r="AA27" i="4"/>
  <c r="AE27" i="4"/>
  <c r="AC27" i="4"/>
  <c r="AG27" i="4"/>
  <c r="AH27" i="4"/>
  <c r="V27" i="4"/>
  <c r="Z27" i="4"/>
  <c r="R28" i="1"/>
  <c r="Q28" i="1"/>
  <c r="T28" i="1" s="1"/>
  <c r="P28" i="1"/>
  <c r="O28" i="1"/>
  <c r="N28" i="1"/>
  <c r="E29" i="1"/>
  <c r="S29" i="1" s="1"/>
  <c r="K28" i="1"/>
  <c r="G28" i="1"/>
  <c r="H28" i="1"/>
  <c r="I28" i="1"/>
  <c r="M28" i="1" s="1"/>
  <c r="F28" i="1"/>
  <c r="J28" i="1"/>
  <c r="X29" i="1"/>
  <c r="Y29" i="1"/>
  <c r="Z29" i="1"/>
  <c r="AA29" i="1"/>
  <c r="V29" i="1"/>
  <c r="AB29" i="1" s="1"/>
  <c r="W29" i="1"/>
  <c r="U30" i="1"/>
  <c r="Y28" i="4" l="1"/>
  <c r="U29" i="4"/>
  <c r="AF28" i="4"/>
  <c r="AI28" i="4" s="1"/>
  <c r="X28" i="4"/>
  <c r="AH28" i="4"/>
  <c r="Z28" i="4"/>
  <c r="AA28" i="4"/>
  <c r="AD28" i="4"/>
  <c r="V28" i="4"/>
  <c r="AB28" i="4" s="1"/>
  <c r="AC28" i="4"/>
  <c r="W28" i="4"/>
  <c r="AE28" i="4"/>
  <c r="AG28" i="4"/>
  <c r="Q29" i="4"/>
  <c r="J29" i="4"/>
  <c r="G29" i="4"/>
  <c r="O29" i="4"/>
  <c r="H29" i="4"/>
  <c r="F29" i="4"/>
  <c r="E30" i="4"/>
  <c r="R29" i="4"/>
  <c r="N29" i="4"/>
  <c r="I29" i="4"/>
  <c r="K29" i="4"/>
  <c r="P29" i="4"/>
  <c r="S29" i="4"/>
  <c r="T29" i="4"/>
  <c r="N29" i="1"/>
  <c r="R29" i="1"/>
  <c r="Q29" i="1"/>
  <c r="T29" i="1" s="1"/>
  <c r="O29" i="1"/>
  <c r="P29" i="1"/>
  <c r="E30" i="1"/>
  <c r="S30" i="1" s="1"/>
  <c r="G29" i="1"/>
  <c r="H29" i="1"/>
  <c r="I29" i="1"/>
  <c r="M29" i="1" s="1"/>
  <c r="K29" i="1"/>
  <c r="J29" i="1"/>
  <c r="F29" i="1"/>
  <c r="Z30" i="1"/>
  <c r="AA30" i="1"/>
  <c r="V30" i="1"/>
  <c r="AB30" i="1" s="1"/>
  <c r="W30" i="1"/>
  <c r="X30" i="1"/>
  <c r="Y30" i="1"/>
  <c r="U31" i="1"/>
  <c r="M29" i="4" l="1"/>
  <c r="Q30" i="4"/>
  <c r="S30" i="4"/>
  <c r="E31" i="4"/>
  <c r="P30" i="4"/>
  <c r="O30" i="4"/>
  <c r="H30" i="4"/>
  <c r="T30" i="4"/>
  <c r="K30" i="4"/>
  <c r="R30" i="4"/>
  <c r="I30" i="4"/>
  <c r="G30" i="4"/>
  <c r="N30" i="4"/>
  <c r="J30" i="4"/>
  <c r="F30" i="4"/>
  <c r="M30" i="4" s="1"/>
  <c r="AG29" i="4"/>
  <c r="Z29" i="4"/>
  <c r="AD29" i="4"/>
  <c r="V29" i="4"/>
  <c r="Y29" i="4"/>
  <c r="AC29" i="4"/>
  <c r="W29" i="4"/>
  <c r="AE29" i="4"/>
  <c r="AF29" i="4"/>
  <c r="AI29" i="4" s="1"/>
  <c r="X29" i="4"/>
  <c r="U30" i="4"/>
  <c r="AA29" i="4"/>
  <c r="AH29" i="4"/>
  <c r="R30" i="1"/>
  <c r="Q30" i="1"/>
  <c r="T30" i="1" s="1"/>
  <c r="O30" i="1"/>
  <c r="N30" i="1"/>
  <c r="P30" i="1"/>
  <c r="E31" i="1"/>
  <c r="S31" i="1" s="1"/>
  <c r="I30" i="1"/>
  <c r="M30" i="1" s="1"/>
  <c r="F30" i="1"/>
  <c r="J30" i="1"/>
  <c r="G30" i="1"/>
  <c r="K30" i="1"/>
  <c r="H30" i="1"/>
  <c r="V31" i="1"/>
  <c r="AB31" i="1"/>
  <c r="W31" i="1"/>
  <c r="X31" i="1"/>
  <c r="Y31" i="1"/>
  <c r="Z31" i="1"/>
  <c r="AA31" i="1"/>
  <c r="U32" i="1"/>
  <c r="AB29" i="4" l="1"/>
  <c r="I31" i="4"/>
  <c r="R31" i="4"/>
  <c r="Q31" i="4"/>
  <c r="T31" i="4" s="1"/>
  <c r="K31" i="4"/>
  <c r="N31" i="4"/>
  <c r="H31" i="4"/>
  <c r="S31" i="4"/>
  <c r="F31" i="4"/>
  <c r="E32" i="4"/>
  <c r="P31" i="4"/>
  <c r="J31" i="4"/>
  <c r="G31" i="4"/>
  <c r="O31" i="4"/>
  <c r="AH30" i="4"/>
  <c r="W30" i="4"/>
  <c r="X30" i="4"/>
  <c r="AE30" i="4"/>
  <c r="Z30" i="4"/>
  <c r="AA30" i="4"/>
  <c r="AF30" i="4"/>
  <c r="AI30" i="4" s="1"/>
  <c r="AG30" i="4"/>
  <c r="AD30" i="4"/>
  <c r="Y30" i="4"/>
  <c r="V30" i="4"/>
  <c r="AC30" i="4"/>
  <c r="U31" i="4"/>
  <c r="R31" i="1"/>
  <c r="Q31" i="1"/>
  <c r="T31" i="1" s="1"/>
  <c r="P31" i="1"/>
  <c r="O31" i="1"/>
  <c r="N31" i="1"/>
  <c r="E32" i="1"/>
  <c r="S32" i="1" s="1"/>
  <c r="G31" i="1"/>
  <c r="K31" i="1"/>
  <c r="I31" i="1"/>
  <c r="M31" i="1" s="1"/>
  <c r="F31" i="1"/>
  <c r="H31" i="1"/>
  <c r="J31" i="1"/>
  <c r="V32" i="1"/>
  <c r="W32" i="1"/>
  <c r="X32" i="1"/>
  <c r="Y32" i="1"/>
  <c r="AB32" i="1"/>
  <c r="Z32" i="1"/>
  <c r="AA32" i="1"/>
  <c r="U33" i="1"/>
  <c r="AB30" i="4" l="1"/>
  <c r="AG31" i="4"/>
  <c r="Y31" i="4"/>
  <c r="V31" i="4"/>
  <c r="AF31" i="4"/>
  <c r="U32" i="4"/>
  <c r="X31" i="4"/>
  <c r="AA31" i="4"/>
  <c r="AE31" i="4"/>
  <c r="AD31" i="4"/>
  <c r="Z31" i="4"/>
  <c r="AC31" i="4"/>
  <c r="W31" i="4"/>
  <c r="AH31" i="4"/>
  <c r="AI31" i="4"/>
  <c r="E33" i="4"/>
  <c r="Q32" i="4"/>
  <c r="T32" i="4" s="1"/>
  <c r="O32" i="4"/>
  <c r="N32" i="4"/>
  <c r="H32" i="4"/>
  <c r="K32" i="4"/>
  <c r="S32" i="4"/>
  <c r="P32" i="4"/>
  <c r="I32" i="4"/>
  <c r="F32" i="4"/>
  <c r="J32" i="4"/>
  <c r="G32" i="4"/>
  <c r="R32" i="4"/>
  <c r="M31" i="4"/>
  <c r="N32" i="1"/>
  <c r="R32" i="1"/>
  <c r="Q32" i="1"/>
  <c r="T32" i="1" s="1"/>
  <c r="P32" i="1"/>
  <c r="O32" i="1"/>
  <c r="E33" i="1"/>
  <c r="S33" i="1" s="1"/>
  <c r="F32" i="1"/>
  <c r="J32" i="1"/>
  <c r="K32" i="1"/>
  <c r="I32" i="1"/>
  <c r="M32" i="1" s="1"/>
  <c r="H32" i="1"/>
  <c r="G32" i="1"/>
  <c r="X33" i="1"/>
  <c r="Y33" i="1"/>
  <c r="Z33" i="1"/>
  <c r="AA33" i="1"/>
  <c r="V33" i="1"/>
  <c r="AB33" i="1" s="1"/>
  <c r="W33" i="1"/>
  <c r="U34" i="1"/>
  <c r="AB31" i="4" l="1"/>
  <c r="M32" i="4"/>
  <c r="S33" i="4"/>
  <c r="N33" i="4"/>
  <c r="K33" i="4"/>
  <c r="J33" i="4"/>
  <c r="P33" i="4"/>
  <c r="O33" i="4"/>
  <c r="R33" i="4"/>
  <c r="G33" i="4"/>
  <c r="E34" i="4"/>
  <c r="I33" i="4"/>
  <c r="Q33" i="4"/>
  <c r="H33" i="4"/>
  <c r="F33" i="4"/>
  <c r="M33" i="4"/>
  <c r="T33" i="4"/>
  <c r="AG32" i="4"/>
  <c r="V32" i="4"/>
  <c r="AD32" i="4"/>
  <c r="AF32" i="4"/>
  <c r="AI32" i="4" s="1"/>
  <c r="Y32" i="4"/>
  <c r="AB32" i="4" s="1"/>
  <c r="W32" i="4"/>
  <c r="X32" i="4"/>
  <c r="AH32" i="4"/>
  <c r="AE32" i="4"/>
  <c r="AA32" i="4"/>
  <c r="U33" i="4"/>
  <c r="Z32" i="4"/>
  <c r="AC32" i="4"/>
  <c r="R33" i="1"/>
  <c r="Q33" i="1"/>
  <c r="T33" i="1" s="1"/>
  <c r="P33" i="1"/>
  <c r="O33" i="1"/>
  <c r="N33" i="1"/>
  <c r="E34" i="1"/>
  <c r="S34" i="1" s="1"/>
  <c r="I33" i="1"/>
  <c r="M33" i="1" s="1"/>
  <c r="J33" i="1"/>
  <c r="G33" i="1"/>
  <c r="H33" i="1"/>
  <c r="K33" i="1"/>
  <c r="F33" i="1"/>
  <c r="Z34" i="1"/>
  <c r="AA34" i="1"/>
  <c r="V34" i="1"/>
  <c r="W34" i="1"/>
  <c r="AB34" i="1"/>
  <c r="X34" i="1"/>
  <c r="Y34" i="1"/>
  <c r="U35" i="1"/>
  <c r="Z33" i="4" l="1"/>
  <c r="AF33" i="4"/>
  <c r="AI33" i="4" s="1"/>
  <c r="AG33" i="4"/>
  <c r="X33" i="4"/>
  <c r="Y33" i="4"/>
  <c r="AC33" i="4"/>
  <c r="AE33" i="4"/>
  <c r="U34" i="4"/>
  <c r="V33" i="4"/>
  <c r="AH33" i="4"/>
  <c r="W33" i="4"/>
  <c r="AD33" i="4"/>
  <c r="AA33" i="4"/>
  <c r="P34" i="4"/>
  <c r="E35" i="4"/>
  <c r="Q34" i="4"/>
  <c r="T34" i="4" s="1"/>
  <c r="G34" i="4"/>
  <c r="O34" i="4"/>
  <c r="N34" i="4"/>
  <c r="R34" i="4"/>
  <c r="J34" i="4"/>
  <c r="K34" i="4"/>
  <c r="F34" i="4"/>
  <c r="M34" i="4" s="1"/>
  <c r="S34" i="4"/>
  <c r="I34" i="4"/>
  <c r="H34" i="4"/>
  <c r="R34" i="1"/>
  <c r="Q34" i="1"/>
  <c r="T34" i="1" s="1"/>
  <c r="O34" i="1"/>
  <c r="N34" i="1"/>
  <c r="P34" i="1"/>
  <c r="E35" i="1"/>
  <c r="S35" i="1" s="1"/>
  <c r="K34" i="1"/>
  <c r="J34" i="1"/>
  <c r="H34" i="1"/>
  <c r="I34" i="1"/>
  <c r="M34" i="1" s="1"/>
  <c r="F34" i="1"/>
  <c r="G34" i="1"/>
  <c r="V35" i="1"/>
  <c r="W35" i="1"/>
  <c r="X35" i="1"/>
  <c r="Y35" i="1"/>
  <c r="Z35" i="1"/>
  <c r="AB35" i="1"/>
  <c r="AA35" i="1"/>
  <c r="U36" i="1"/>
  <c r="AB33" i="4" l="1"/>
  <c r="AF34" i="4"/>
  <c r="W34" i="4"/>
  <c r="U35" i="4"/>
  <c r="AA34" i="4"/>
  <c r="X34" i="4"/>
  <c r="AE34" i="4"/>
  <c r="AC34" i="4"/>
  <c r="AH34" i="4"/>
  <c r="Y34" i="4"/>
  <c r="AD34" i="4"/>
  <c r="AG34" i="4"/>
  <c r="V34" i="4"/>
  <c r="Z34" i="4"/>
  <c r="AI34" i="4"/>
  <c r="E36" i="4"/>
  <c r="K35" i="4"/>
  <c r="N35" i="4"/>
  <c r="S35" i="4"/>
  <c r="G35" i="4"/>
  <c r="J35" i="4"/>
  <c r="R35" i="4"/>
  <c r="O35" i="4"/>
  <c r="Q35" i="4"/>
  <c r="T35" i="4" s="1"/>
  <c r="I35" i="4"/>
  <c r="F35" i="4"/>
  <c r="M35" i="4" s="1"/>
  <c r="H35" i="4"/>
  <c r="P35" i="4"/>
  <c r="R35" i="1"/>
  <c r="Q35" i="1"/>
  <c r="T35" i="1" s="1"/>
  <c r="P35" i="1"/>
  <c r="N35" i="1"/>
  <c r="O35" i="1"/>
  <c r="E36" i="1"/>
  <c r="S36" i="1" s="1"/>
  <c r="K35" i="1"/>
  <c r="G35" i="1"/>
  <c r="H35" i="1"/>
  <c r="J35" i="1"/>
  <c r="F35" i="1"/>
  <c r="I35" i="1"/>
  <c r="M35" i="1" s="1"/>
  <c r="V36" i="1"/>
  <c r="AB36" i="1" s="1"/>
  <c r="W36" i="1"/>
  <c r="X36" i="1"/>
  <c r="Y36" i="1"/>
  <c r="Z36" i="1"/>
  <c r="AA36" i="1"/>
  <c r="U37" i="1"/>
  <c r="P36" i="4" l="1"/>
  <c r="J36" i="4"/>
  <c r="F36" i="4"/>
  <c r="K36" i="4"/>
  <c r="G36" i="4"/>
  <c r="R36" i="4"/>
  <c r="O36" i="4"/>
  <c r="I36" i="4"/>
  <c r="N36" i="4"/>
  <c r="Q36" i="4"/>
  <c r="H36" i="4"/>
  <c r="E37" i="4"/>
  <c r="S36" i="4"/>
  <c r="AF35" i="4"/>
  <c r="AI35" i="4" s="1"/>
  <c r="AA35" i="4"/>
  <c r="U36" i="4"/>
  <c r="X35" i="4"/>
  <c r="W35" i="4"/>
  <c r="AG35" i="4"/>
  <c r="AC35" i="4"/>
  <c r="AE35" i="4"/>
  <c r="AH35" i="4"/>
  <c r="Y35" i="4"/>
  <c r="AD35" i="4"/>
  <c r="Z35" i="4"/>
  <c r="V35" i="4"/>
  <c r="AB34" i="4"/>
  <c r="R36" i="1"/>
  <c r="Q36" i="1"/>
  <c r="T36" i="1" s="1"/>
  <c r="O36" i="1"/>
  <c r="N36" i="1"/>
  <c r="P36" i="1"/>
  <c r="E37" i="1"/>
  <c r="S37" i="1" s="1"/>
  <c r="G36" i="1"/>
  <c r="K36" i="1"/>
  <c r="H36" i="1"/>
  <c r="I36" i="1"/>
  <c r="M36" i="1" s="1"/>
  <c r="F36" i="1"/>
  <c r="J36" i="1"/>
  <c r="X37" i="1"/>
  <c r="Y37" i="1"/>
  <c r="Z37" i="1"/>
  <c r="AA37" i="1"/>
  <c r="V37" i="1"/>
  <c r="AB37" i="1" s="1"/>
  <c r="W37" i="1"/>
  <c r="U38" i="1"/>
  <c r="M36" i="4" l="1"/>
  <c r="AB35" i="4"/>
  <c r="Q37" i="4"/>
  <c r="E38" i="4"/>
  <c r="S37" i="4"/>
  <c r="J37" i="4"/>
  <c r="N37" i="4"/>
  <c r="H37" i="4"/>
  <c r="T37" i="4"/>
  <c r="R37" i="4"/>
  <c r="K37" i="4"/>
  <c r="P37" i="4"/>
  <c r="O37" i="4"/>
  <c r="F37" i="4"/>
  <c r="G37" i="4"/>
  <c r="I37" i="4"/>
  <c r="AF36" i="4"/>
  <c r="AI36" i="4"/>
  <c r="X36" i="4"/>
  <c r="AA36" i="4"/>
  <c r="AE36" i="4"/>
  <c r="AH36" i="4"/>
  <c r="AC36" i="4"/>
  <c r="W36" i="4"/>
  <c r="Z36" i="4"/>
  <c r="AD36" i="4"/>
  <c r="V36" i="4"/>
  <c r="AG36" i="4"/>
  <c r="Y36" i="4"/>
  <c r="U37" i="4"/>
  <c r="T36" i="4"/>
  <c r="R37" i="1"/>
  <c r="Q37" i="1"/>
  <c r="T37" i="1" s="1"/>
  <c r="O37" i="1"/>
  <c r="N37" i="1"/>
  <c r="P37" i="1"/>
  <c r="E38" i="1"/>
  <c r="S38" i="1" s="1"/>
  <c r="G37" i="1"/>
  <c r="F37" i="1"/>
  <c r="H37" i="1"/>
  <c r="I37" i="1"/>
  <c r="M37" i="1" s="1"/>
  <c r="J37" i="1"/>
  <c r="K37" i="1"/>
  <c r="Z38" i="1"/>
  <c r="AA38" i="1"/>
  <c r="V38" i="1"/>
  <c r="AB38" i="1" s="1"/>
  <c r="W38" i="1"/>
  <c r="X38" i="1"/>
  <c r="Y38" i="1"/>
  <c r="U39" i="1"/>
  <c r="M37" i="4" l="1"/>
  <c r="AB36" i="4"/>
  <c r="U38" i="4"/>
  <c r="AE37" i="4"/>
  <c r="AA37" i="4"/>
  <c r="W37" i="4"/>
  <c r="AF37" i="4"/>
  <c r="AI37" i="4" s="1"/>
  <c r="AH37" i="4"/>
  <c r="AD37" i="4"/>
  <c r="Z37" i="4"/>
  <c r="AC37" i="4"/>
  <c r="X37" i="4"/>
  <c r="V37" i="4"/>
  <c r="AG37" i="4"/>
  <c r="Y37" i="4"/>
  <c r="AB37" i="4"/>
  <c r="I38" i="4"/>
  <c r="M38" i="4" s="1"/>
  <c r="Q38" i="4"/>
  <c r="T38" i="4" s="1"/>
  <c r="N38" i="4"/>
  <c r="H38" i="4"/>
  <c r="O38" i="4"/>
  <c r="R38" i="4"/>
  <c r="E39" i="4"/>
  <c r="P38" i="4"/>
  <c r="G38" i="4"/>
  <c r="J38" i="4"/>
  <c r="F38" i="4"/>
  <c r="K38" i="4"/>
  <c r="S38" i="4"/>
  <c r="R38" i="1"/>
  <c r="P38" i="1"/>
  <c r="N38" i="1"/>
  <c r="Q38" i="1"/>
  <c r="T38" i="1" s="1"/>
  <c r="O38" i="1"/>
  <c r="E39" i="1"/>
  <c r="S39" i="1" s="1"/>
  <c r="G38" i="1"/>
  <c r="J38" i="1"/>
  <c r="F38" i="1"/>
  <c r="I38" i="1"/>
  <c r="M38" i="1" s="1"/>
  <c r="K38" i="1"/>
  <c r="H38" i="1"/>
  <c r="V39" i="1"/>
  <c r="AB39" i="1"/>
  <c r="W39" i="1"/>
  <c r="X39" i="1"/>
  <c r="Y39" i="1"/>
  <c r="Z39" i="1"/>
  <c r="AA39" i="1"/>
  <c r="U40" i="1"/>
  <c r="S39" i="4" l="1"/>
  <c r="O39" i="4"/>
  <c r="H39" i="4"/>
  <c r="P39" i="4"/>
  <c r="K39" i="4"/>
  <c r="J39" i="4"/>
  <c r="E40" i="4"/>
  <c r="G39" i="4"/>
  <c r="R39" i="4"/>
  <c r="F39" i="4"/>
  <c r="M39" i="4" s="1"/>
  <c r="I39" i="4"/>
  <c r="N39" i="4"/>
  <c r="Q39" i="4"/>
  <c r="T39" i="4" s="1"/>
  <c r="AH38" i="4"/>
  <c r="AD38" i="4"/>
  <c r="Z38" i="4"/>
  <c r="V38" i="4"/>
  <c r="AG38" i="4"/>
  <c r="AE38" i="4"/>
  <c r="W38" i="4"/>
  <c r="Y38" i="4"/>
  <c r="AI38" i="4"/>
  <c r="AA38" i="4"/>
  <c r="AC38" i="4"/>
  <c r="AF38" i="4"/>
  <c r="U39" i="4"/>
  <c r="X38" i="4"/>
  <c r="P39" i="1"/>
  <c r="R39" i="1"/>
  <c r="Q39" i="1"/>
  <c r="T39" i="1" s="1"/>
  <c r="O39" i="1"/>
  <c r="N39" i="1"/>
  <c r="E40" i="1"/>
  <c r="S40" i="1" s="1"/>
  <c r="H39" i="1"/>
  <c r="G39" i="1"/>
  <c r="F39" i="1"/>
  <c r="K39" i="1"/>
  <c r="J39" i="1"/>
  <c r="I39" i="1"/>
  <c r="M39" i="1" s="1"/>
  <c r="V40" i="1"/>
  <c r="AB40" i="1" s="1"/>
  <c r="W40" i="1"/>
  <c r="X40" i="1"/>
  <c r="Y40" i="1"/>
  <c r="Z40" i="1"/>
  <c r="AA40" i="1"/>
  <c r="U41" i="1"/>
  <c r="AB38" i="4" l="1"/>
  <c r="F40" i="4"/>
  <c r="I40" i="4"/>
  <c r="N40" i="4"/>
  <c r="M40" i="4"/>
  <c r="E41" i="4"/>
  <c r="G40" i="4"/>
  <c r="Q40" i="4"/>
  <c r="T40" i="4" s="1"/>
  <c r="P40" i="4"/>
  <c r="J40" i="4"/>
  <c r="R40" i="4"/>
  <c r="H40" i="4"/>
  <c r="K40" i="4"/>
  <c r="S40" i="4"/>
  <c r="O40" i="4"/>
  <c r="AC39" i="4"/>
  <c r="Y39" i="4"/>
  <c r="X39" i="4"/>
  <c r="W39" i="4"/>
  <c r="AD39" i="4"/>
  <c r="U40" i="4"/>
  <c r="AF39" i="4"/>
  <c r="AI39" i="4" s="1"/>
  <c r="AH39" i="4"/>
  <c r="V39" i="4"/>
  <c r="AB39" i="4" s="1"/>
  <c r="AE39" i="4"/>
  <c r="AA39" i="4"/>
  <c r="Z39" i="4"/>
  <c r="AG39" i="4"/>
  <c r="R40" i="1"/>
  <c r="Q40" i="1"/>
  <c r="T40" i="1" s="1"/>
  <c r="P40" i="1"/>
  <c r="O40" i="1"/>
  <c r="N40" i="1"/>
  <c r="E41" i="1"/>
  <c r="S41" i="1" s="1"/>
  <c r="F40" i="1"/>
  <c r="I40" i="1"/>
  <c r="M40" i="1" s="1"/>
  <c r="G40" i="1"/>
  <c r="J40" i="1"/>
  <c r="K40" i="1"/>
  <c r="H40" i="1"/>
  <c r="X41" i="1"/>
  <c r="Y41" i="1"/>
  <c r="Z41" i="1"/>
  <c r="AA41" i="1"/>
  <c r="AB41" i="1"/>
  <c r="V41" i="1"/>
  <c r="W41" i="1"/>
  <c r="U42" i="1"/>
  <c r="AF40" i="4" l="1"/>
  <c r="AA40" i="4"/>
  <c r="AD40" i="4"/>
  <c r="X40" i="4"/>
  <c r="AH40" i="4"/>
  <c r="Z40" i="4"/>
  <c r="W40" i="4"/>
  <c r="U41" i="4"/>
  <c r="AE40" i="4"/>
  <c r="AC40" i="4"/>
  <c r="AI40" i="4" s="1"/>
  <c r="AG40" i="4"/>
  <c r="Y40" i="4"/>
  <c r="V40" i="4"/>
  <c r="AB40" i="4" s="1"/>
  <c r="J41" i="4"/>
  <c r="F41" i="4"/>
  <c r="M41" i="4" s="1"/>
  <c r="R41" i="4"/>
  <c r="N41" i="4"/>
  <c r="P41" i="4"/>
  <c r="I41" i="4"/>
  <c r="H41" i="4"/>
  <c r="S41" i="4"/>
  <c r="Q41" i="4"/>
  <c r="T41" i="4"/>
  <c r="K41" i="4"/>
  <c r="E42" i="4"/>
  <c r="O41" i="4"/>
  <c r="G41" i="4"/>
  <c r="N41" i="1"/>
  <c r="R41" i="1"/>
  <c r="P41" i="1"/>
  <c r="O41" i="1"/>
  <c r="Q41" i="1"/>
  <c r="T41" i="1" s="1"/>
  <c r="E42" i="1"/>
  <c r="S42" i="1" s="1"/>
  <c r="H41" i="1"/>
  <c r="I41" i="1"/>
  <c r="M41" i="1" s="1"/>
  <c r="G41" i="1"/>
  <c r="J41" i="1"/>
  <c r="K41" i="1"/>
  <c r="F41" i="1"/>
  <c r="Z42" i="1"/>
  <c r="AA42" i="1"/>
  <c r="V42" i="1"/>
  <c r="W42" i="1"/>
  <c r="AB42" i="1"/>
  <c r="X42" i="1"/>
  <c r="Y42" i="1"/>
  <c r="U43" i="1"/>
  <c r="AF41" i="4" l="1"/>
  <c r="AI41" i="4" s="1"/>
  <c r="AD41" i="4"/>
  <c r="V41" i="4"/>
  <c r="X41" i="4"/>
  <c r="AH41" i="4"/>
  <c r="AC41" i="4"/>
  <c r="Y41" i="4"/>
  <c r="U42" i="4"/>
  <c r="AE41" i="4"/>
  <c r="Z41" i="4"/>
  <c r="AA41" i="4"/>
  <c r="W41" i="4"/>
  <c r="AG41" i="4"/>
  <c r="AB41" i="4"/>
  <c r="M42" i="4"/>
  <c r="H42" i="4"/>
  <c r="E43" i="4"/>
  <c r="P42" i="4"/>
  <c r="F42" i="4"/>
  <c r="K42" i="4"/>
  <c r="G42" i="4"/>
  <c r="J42" i="4"/>
  <c r="N42" i="4"/>
  <c r="S42" i="4"/>
  <c r="O42" i="4"/>
  <c r="R42" i="4"/>
  <c r="I42" i="4"/>
  <c r="Q42" i="4"/>
  <c r="T42" i="4" s="1"/>
  <c r="R42" i="1"/>
  <c r="O42" i="1"/>
  <c r="P42" i="1"/>
  <c r="Q42" i="1"/>
  <c r="T42" i="1" s="1"/>
  <c r="N42" i="1"/>
  <c r="E43" i="1"/>
  <c r="S43" i="1" s="1"/>
  <c r="J42" i="1"/>
  <c r="G42" i="1"/>
  <c r="H42" i="1"/>
  <c r="I42" i="1"/>
  <c r="M42" i="1" s="1"/>
  <c r="F42" i="1"/>
  <c r="K42" i="1"/>
  <c r="V43" i="1"/>
  <c r="AB43" i="1" s="1"/>
  <c r="W43" i="1"/>
  <c r="X43" i="1"/>
  <c r="Y43" i="1"/>
  <c r="Z43" i="1"/>
  <c r="AA43" i="1"/>
  <c r="U44" i="1"/>
  <c r="Z42" i="4" l="1"/>
  <c r="V42" i="4"/>
  <c r="W42" i="4"/>
  <c r="AG42" i="4"/>
  <c r="Y42" i="4"/>
  <c r="AB42" i="4" s="1"/>
  <c r="AF42" i="4"/>
  <c r="AI42" i="4" s="1"/>
  <c r="X42" i="4"/>
  <c r="AE42" i="4"/>
  <c r="AC42" i="4"/>
  <c r="AA42" i="4"/>
  <c r="AH42" i="4"/>
  <c r="U43" i="4"/>
  <c r="AD42" i="4"/>
  <c r="M43" i="4"/>
  <c r="Q43" i="4"/>
  <c r="E44" i="4"/>
  <c r="H43" i="4"/>
  <c r="G43" i="4"/>
  <c r="S43" i="4"/>
  <c r="R43" i="4"/>
  <c r="N43" i="4"/>
  <c r="T43" i="4"/>
  <c r="P43" i="4"/>
  <c r="O43" i="4"/>
  <c r="K43" i="4"/>
  <c r="J43" i="4"/>
  <c r="I43" i="4"/>
  <c r="F43" i="4"/>
  <c r="R43" i="1"/>
  <c r="Q43" i="1"/>
  <c r="T43" i="1" s="1"/>
  <c r="P43" i="1"/>
  <c r="O43" i="1"/>
  <c r="N43" i="1"/>
  <c r="E44" i="1"/>
  <c r="S44" i="1" s="1"/>
  <c r="K43" i="1"/>
  <c r="F43" i="1"/>
  <c r="G43" i="1"/>
  <c r="I43" i="1"/>
  <c r="M43" i="1" s="1"/>
  <c r="J43" i="1"/>
  <c r="H43" i="1"/>
  <c r="V44" i="1"/>
  <c r="AB44" i="1" s="1"/>
  <c r="W44" i="1"/>
  <c r="X44" i="1"/>
  <c r="Y44" i="1"/>
  <c r="Z44" i="1"/>
  <c r="AA44" i="1"/>
  <c r="U45" i="1"/>
  <c r="X43" i="4" l="1"/>
  <c r="AG43" i="4"/>
  <c r="U44" i="4"/>
  <c r="AF43" i="4"/>
  <c r="AI43" i="4"/>
  <c r="AA43" i="4"/>
  <c r="Z43" i="4"/>
  <c r="AE43" i="4"/>
  <c r="Y43" i="4"/>
  <c r="W43" i="4"/>
  <c r="AH43" i="4"/>
  <c r="AD43" i="4"/>
  <c r="V43" i="4"/>
  <c r="AB43" i="4" s="1"/>
  <c r="AC43" i="4"/>
  <c r="G44" i="4"/>
  <c r="J44" i="4"/>
  <c r="I44" i="4"/>
  <c r="O44" i="4"/>
  <c r="R44" i="4"/>
  <c r="N44" i="4"/>
  <c r="F44" i="4"/>
  <c r="M44" i="4"/>
  <c r="Q44" i="4"/>
  <c r="E45" i="4"/>
  <c r="P44" i="4"/>
  <c r="S44" i="4"/>
  <c r="H44" i="4"/>
  <c r="K44" i="4"/>
  <c r="R44" i="1"/>
  <c r="Q44" i="1"/>
  <c r="T44" i="1" s="1"/>
  <c r="P44" i="1"/>
  <c r="O44" i="1"/>
  <c r="N44" i="1"/>
  <c r="E45" i="1"/>
  <c r="S45" i="1" s="1"/>
  <c r="K44" i="1"/>
  <c r="J44" i="1"/>
  <c r="I44" i="1"/>
  <c r="M44" i="1" s="1"/>
  <c r="H44" i="1"/>
  <c r="F44" i="1"/>
  <c r="G44" i="1"/>
  <c r="X45" i="1"/>
  <c r="Y45" i="1"/>
  <c r="Z45" i="1"/>
  <c r="AA45" i="1"/>
  <c r="V45" i="1"/>
  <c r="AB45" i="1" s="1"/>
  <c r="W45" i="1"/>
  <c r="U46" i="1"/>
  <c r="X44" i="4" l="1"/>
  <c r="AA44" i="4"/>
  <c r="AD44" i="4"/>
  <c r="AC44" i="4"/>
  <c r="AE44" i="4"/>
  <c r="AH44" i="4"/>
  <c r="U45" i="4"/>
  <c r="AF44" i="4"/>
  <c r="AI44" i="4" s="1"/>
  <c r="W44" i="4"/>
  <c r="Z44" i="4"/>
  <c r="V44" i="4"/>
  <c r="Y44" i="4"/>
  <c r="AG44" i="4"/>
  <c r="T44" i="4"/>
  <c r="H45" i="4"/>
  <c r="O45" i="4"/>
  <c r="J45" i="4"/>
  <c r="P45" i="4"/>
  <c r="S45" i="4"/>
  <c r="N45" i="4"/>
  <c r="K45" i="4"/>
  <c r="G45" i="4"/>
  <c r="R45" i="4"/>
  <c r="I45" i="4"/>
  <c r="E46" i="4"/>
  <c r="F45" i="4"/>
  <c r="Q45" i="4"/>
  <c r="T45" i="4" s="1"/>
  <c r="R45" i="1"/>
  <c r="Q45" i="1"/>
  <c r="T45" i="1" s="1"/>
  <c r="P45" i="1"/>
  <c r="O45" i="1"/>
  <c r="N45" i="1"/>
  <c r="E46" i="1"/>
  <c r="S46" i="1" s="1"/>
  <c r="G45" i="1"/>
  <c r="H45" i="1"/>
  <c r="F45" i="1"/>
  <c r="K45" i="1"/>
  <c r="J45" i="1"/>
  <c r="I45" i="1"/>
  <c r="M45" i="1" s="1"/>
  <c r="Z46" i="1"/>
  <c r="AA46" i="1"/>
  <c r="V46" i="1"/>
  <c r="AB46" i="1" s="1"/>
  <c r="W46" i="1"/>
  <c r="X46" i="1"/>
  <c r="Y46" i="1"/>
  <c r="U47" i="1"/>
  <c r="AB44" i="4" l="1"/>
  <c r="M45" i="4"/>
  <c r="U46" i="4"/>
  <c r="AE45" i="4"/>
  <c r="AD45" i="4"/>
  <c r="AA45" i="4"/>
  <c r="W45" i="4"/>
  <c r="AH45" i="4"/>
  <c r="AG45" i="4"/>
  <c r="X45" i="4"/>
  <c r="Z45" i="4"/>
  <c r="V45" i="4"/>
  <c r="AC45" i="4"/>
  <c r="Y45" i="4"/>
  <c r="AB45" i="4" s="1"/>
  <c r="AF45" i="4"/>
  <c r="AI45" i="4" s="1"/>
  <c r="I46" i="4"/>
  <c r="M46" i="4" s="1"/>
  <c r="S46" i="4"/>
  <c r="O46" i="4"/>
  <c r="Q46" i="4"/>
  <c r="T46" i="4" s="1"/>
  <c r="K46" i="4"/>
  <c r="H46" i="4"/>
  <c r="G46" i="4"/>
  <c r="R46" i="4"/>
  <c r="E47" i="4"/>
  <c r="P46" i="4"/>
  <c r="F46" i="4"/>
  <c r="J46" i="4"/>
  <c r="N46" i="4"/>
  <c r="R46" i="1"/>
  <c r="Q46" i="1"/>
  <c r="T46" i="1" s="1"/>
  <c r="P46" i="1"/>
  <c r="N46" i="1"/>
  <c r="O46" i="1"/>
  <c r="E47" i="1"/>
  <c r="S47" i="1" s="1"/>
  <c r="F46" i="1"/>
  <c r="K46" i="1"/>
  <c r="G46" i="1"/>
  <c r="I46" i="1"/>
  <c r="M46" i="1" s="1"/>
  <c r="J46" i="1"/>
  <c r="H46" i="1"/>
  <c r="V47" i="1"/>
  <c r="AB47" i="1"/>
  <c r="W47" i="1"/>
  <c r="X47" i="1"/>
  <c r="Y47" i="1"/>
  <c r="Z47" i="1"/>
  <c r="AA47" i="1"/>
  <c r="U48" i="1"/>
  <c r="S47" i="4" l="1"/>
  <c r="J47" i="4"/>
  <c r="R47" i="4"/>
  <c r="I47" i="4"/>
  <c r="E48" i="4"/>
  <c r="F47" i="4"/>
  <c r="M47" i="4" s="1"/>
  <c r="T47" i="4"/>
  <c r="K47" i="4"/>
  <c r="O47" i="4"/>
  <c r="H47" i="4"/>
  <c r="P47" i="4"/>
  <c r="G47" i="4"/>
  <c r="N47" i="4"/>
  <c r="Q47" i="4"/>
  <c r="AH46" i="4"/>
  <c r="AD46" i="4"/>
  <c r="V46" i="4"/>
  <c r="AG46" i="4"/>
  <c r="Z46" i="4"/>
  <c r="X46" i="4"/>
  <c r="Y46" i="4"/>
  <c r="AI46" i="4"/>
  <c r="AA46" i="4"/>
  <c r="AC46" i="4"/>
  <c r="AF46" i="4"/>
  <c r="U47" i="4"/>
  <c r="AE46" i="4"/>
  <c r="W46" i="4"/>
  <c r="Q47" i="1"/>
  <c r="T47" i="1" s="1"/>
  <c r="O47" i="1"/>
  <c r="P47" i="1"/>
  <c r="R47" i="1"/>
  <c r="N47" i="1"/>
  <c r="E48" i="1"/>
  <c r="S48" i="1" s="1"/>
  <c r="K47" i="1"/>
  <c r="F47" i="1"/>
  <c r="G47" i="1"/>
  <c r="H47" i="1"/>
  <c r="I47" i="1"/>
  <c r="M47" i="1" s="1"/>
  <c r="J47" i="1"/>
  <c r="V48" i="1"/>
  <c r="W48" i="1"/>
  <c r="X48" i="1"/>
  <c r="Y48" i="1"/>
  <c r="AB48" i="1"/>
  <c r="Z48" i="1"/>
  <c r="AA48" i="1"/>
  <c r="U49" i="1"/>
  <c r="AB46" i="4" l="1"/>
  <c r="O48" i="4"/>
  <c r="I48" i="4"/>
  <c r="F48" i="4"/>
  <c r="R48" i="4"/>
  <c r="M48" i="4"/>
  <c r="E49" i="4"/>
  <c r="N48" i="4"/>
  <c r="K48" i="4"/>
  <c r="P48" i="4"/>
  <c r="Q48" i="4"/>
  <c r="T48" i="4" s="1"/>
  <c r="S48" i="4"/>
  <c r="J48" i="4"/>
  <c r="H48" i="4"/>
  <c r="G48" i="4"/>
  <c r="V47" i="4"/>
  <c r="AG47" i="4"/>
  <c r="U48" i="4"/>
  <c r="AA47" i="4"/>
  <c r="AH47" i="4"/>
  <c r="Z47" i="4"/>
  <c r="AC47" i="4"/>
  <c r="Y47" i="4"/>
  <c r="AB47" i="4"/>
  <c r="AF47" i="4"/>
  <c r="AI47" i="4" s="1"/>
  <c r="X47" i="4"/>
  <c r="W47" i="4"/>
  <c r="AE47" i="4"/>
  <c r="AD47" i="4"/>
  <c r="R48" i="1"/>
  <c r="Q48" i="1"/>
  <c r="T48" i="1" s="1"/>
  <c r="O48" i="1"/>
  <c r="N48" i="1"/>
  <c r="P48" i="1"/>
  <c r="E49" i="1"/>
  <c r="S49" i="1" s="1"/>
  <c r="G48" i="1"/>
  <c r="F48" i="1"/>
  <c r="H48" i="1"/>
  <c r="K48" i="1"/>
  <c r="I48" i="1"/>
  <c r="M48" i="1" s="1"/>
  <c r="J48" i="1"/>
  <c r="X49" i="1"/>
  <c r="Y49" i="1"/>
  <c r="Z49" i="1"/>
  <c r="AA49" i="1"/>
  <c r="V49" i="1"/>
  <c r="AB49" i="1" s="1"/>
  <c r="W49" i="1"/>
  <c r="U50" i="1"/>
  <c r="Q49" i="4" l="1"/>
  <c r="E50" i="4"/>
  <c r="H49" i="4"/>
  <c r="T49" i="4"/>
  <c r="I49" i="4"/>
  <c r="O49" i="4"/>
  <c r="J49" i="4"/>
  <c r="M49" i="4"/>
  <c r="P49" i="4"/>
  <c r="K49" i="4"/>
  <c r="G49" i="4"/>
  <c r="S49" i="4"/>
  <c r="N49" i="4"/>
  <c r="F49" i="4"/>
  <c r="R49" i="4"/>
  <c r="W48" i="4"/>
  <c r="AD48" i="4"/>
  <c r="X48" i="4"/>
  <c r="AH48" i="4"/>
  <c r="V48" i="4"/>
  <c r="AB48" i="4" s="1"/>
  <c r="AC48" i="4"/>
  <c r="U49" i="4"/>
  <c r="AF48" i="4"/>
  <c r="AG48" i="4"/>
  <c r="Y48" i="4"/>
  <c r="AA48" i="4"/>
  <c r="Z48" i="4"/>
  <c r="AE48" i="4"/>
  <c r="Q49" i="1"/>
  <c r="T49" i="1" s="1"/>
  <c r="O49" i="1"/>
  <c r="R49" i="1"/>
  <c r="N49" i="1"/>
  <c r="P49" i="1"/>
  <c r="E50" i="1"/>
  <c r="S50" i="1" s="1"/>
  <c r="G49" i="1"/>
  <c r="J49" i="1"/>
  <c r="K49" i="1"/>
  <c r="H49" i="1"/>
  <c r="I49" i="1"/>
  <c r="M49" i="1" s="1"/>
  <c r="F49" i="1"/>
  <c r="Z50" i="1"/>
  <c r="AA50" i="1"/>
  <c r="V50" i="1"/>
  <c r="W50" i="1"/>
  <c r="AB50" i="1"/>
  <c r="X50" i="1"/>
  <c r="Y50" i="1"/>
  <c r="U51" i="1"/>
  <c r="AI48" i="4" l="1"/>
  <c r="X49" i="4"/>
  <c r="AD49" i="4"/>
  <c r="Y49" i="4"/>
  <c r="U50" i="4"/>
  <c r="AE49" i="4"/>
  <c r="AC49" i="4"/>
  <c r="AB49" i="4"/>
  <c r="AA49" i="4"/>
  <c r="W49" i="4"/>
  <c r="AH49" i="4"/>
  <c r="Z49" i="4"/>
  <c r="V49" i="4"/>
  <c r="AG49" i="4"/>
  <c r="AF49" i="4"/>
  <c r="AI49" i="4" s="1"/>
  <c r="R50" i="4"/>
  <c r="N50" i="4"/>
  <c r="I50" i="4"/>
  <c r="H50" i="4"/>
  <c r="K50" i="4"/>
  <c r="O50" i="4"/>
  <c r="Q50" i="4"/>
  <c r="T50" i="4" s="1"/>
  <c r="G50" i="4"/>
  <c r="E51" i="4"/>
  <c r="P50" i="4"/>
  <c r="J50" i="4"/>
  <c r="S50" i="4"/>
  <c r="F50" i="4"/>
  <c r="R50" i="1"/>
  <c r="Q50" i="1"/>
  <c r="T50" i="1" s="1"/>
  <c r="N50" i="1"/>
  <c r="O50" i="1"/>
  <c r="P50" i="1"/>
  <c r="E51" i="1"/>
  <c r="S51" i="1" s="1"/>
  <c r="F50" i="1"/>
  <c r="I50" i="1"/>
  <c r="M50" i="1" s="1"/>
  <c r="J50" i="1"/>
  <c r="K50" i="1"/>
  <c r="G50" i="1"/>
  <c r="H50" i="1"/>
  <c r="V51" i="1"/>
  <c r="W51" i="1"/>
  <c r="X51" i="1"/>
  <c r="Y51" i="1"/>
  <c r="Z51" i="1"/>
  <c r="AA51" i="1"/>
  <c r="AB51" i="1"/>
  <c r="U52" i="1"/>
  <c r="AH50" i="4" l="1"/>
  <c r="AD50" i="4"/>
  <c r="AC50" i="4"/>
  <c r="Z50" i="4"/>
  <c r="V50" i="4"/>
  <c r="AB50" i="4" s="1"/>
  <c r="U51" i="4"/>
  <c r="AI50" i="4"/>
  <c r="AG50" i="4"/>
  <c r="X50" i="4"/>
  <c r="AE50" i="4"/>
  <c r="Y50" i="4"/>
  <c r="AF50" i="4"/>
  <c r="AA50" i="4"/>
  <c r="W50" i="4"/>
  <c r="S51" i="4"/>
  <c r="F51" i="4"/>
  <c r="M51" i="4" s="1"/>
  <c r="N51" i="4"/>
  <c r="J51" i="4"/>
  <c r="E52" i="4"/>
  <c r="T51" i="4"/>
  <c r="G51" i="4"/>
  <c r="O51" i="4"/>
  <c r="R51" i="4"/>
  <c r="H51" i="4"/>
  <c r="I51" i="4"/>
  <c r="Q51" i="4"/>
  <c r="P51" i="4"/>
  <c r="K51" i="4"/>
  <c r="M50" i="4"/>
  <c r="Q51" i="1"/>
  <c r="T51" i="1" s="1"/>
  <c r="R51" i="1"/>
  <c r="P51" i="1"/>
  <c r="O51" i="1"/>
  <c r="N51" i="1"/>
  <c r="E52" i="1"/>
  <c r="S52" i="1" s="1"/>
  <c r="K51" i="1"/>
  <c r="J51" i="1"/>
  <c r="H51" i="1"/>
  <c r="G51" i="1"/>
  <c r="F51" i="1"/>
  <c r="I51" i="1"/>
  <c r="M51" i="1" s="1"/>
  <c r="V52" i="1"/>
  <c r="AB52" i="1" s="1"/>
  <c r="W52" i="1"/>
  <c r="X52" i="1"/>
  <c r="Y52" i="1"/>
  <c r="Z52" i="1"/>
  <c r="AA52" i="1"/>
  <c r="U53" i="1"/>
  <c r="V51" i="4" l="1"/>
  <c r="AG51" i="4"/>
  <c r="AE51" i="4"/>
  <c r="AA51" i="4"/>
  <c r="Z51" i="4"/>
  <c r="AC51" i="4"/>
  <c r="Y51" i="4"/>
  <c r="AB51" i="4" s="1"/>
  <c r="X51" i="4"/>
  <c r="AD51" i="4"/>
  <c r="AF51" i="4"/>
  <c r="U52" i="4"/>
  <c r="AH51" i="4"/>
  <c r="AI51" i="4"/>
  <c r="W51" i="4"/>
  <c r="O52" i="4"/>
  <c r="I52" i="4"/>
  <c r="H52" i="4"/>
  <c r="F52" i="4"/>
  <c r="R52" i="4"/>
  <c r="N52" i="4"/>
  <c r="Q52" i="4"/>
  <c r="T52" i="4" s="1"/>
  <c r="E53" i="4"/>
  <c r="J52" i="4"/>
  <c r="P52" i="4"/>
  <c r="K52" i="4"/>
  <c r="S52" i="4"/>
  <c r="G52" i="4"/>
  <c r="R52" i="1"/>
  <c r="Q52" i="1"/>
  <c r="T52" i="1" s="1"/>
  <c r="P52" i="1"/>
  <c r="O52" i="1"/>
  <c r="N52" i="1"/>
  <c r="E53" i="1"/>
  <c r="S53" i="1" s="1"/>
  <c r="F52" i="1"/>
  <c r="I52" i="1"/>
  <c r="M52" i="1" s="1"/>
  <c r="J52" i="1"/>
  <c r="H52" i="1"/>
  <c r="K52" i="1"/>
  <c r="G52" i="1"/>
  <c r="X53" i="1"/>
  <c r="Y53" i="1"/>
  <c r="Z53" i="1"/>
  <c r="AA53" i="1"/>
  <c r="V53" i="1"/>
  <c r="AB53" i="1" s="1"/>
  <c r="W53" i="1"/>
  <c r="U54" i="1"/>
  <c r="M52" i="4" l="1"/>
  <c r="Q53" i="4"/>
  <c r="E54" i="4"/>
  <c r="R53" i="4"/>
  <c r="H53" i="4"/>
  <c r="T53" i="4"/>
  <c r="P53" i="4"/>
  <c r="G53" i="4"/>
  <c r="S53" i="4"/>
  <c r="O53" i="4"/>
  <c r="K53" i="4"/>
  <c r="N53" i="4"/>
  <c r="J53" i="4"/>
  <c r="F53" i="4"/>
  <c r="M53" i="4" s="1"/>
  <c r="I53" i="4"/>
  <c r="W52" i="4"/>
  <c r="AD52" i="4"/>
  <c r="V52" i="4"/>
  <c r="AG52" i="4"/>
  <c r="AC52" i="4"/>
  <c r="AI52" i="4" s="1"/>
  <c r="Y52" i="4"/>
  <c r="AA52" i="4"/>
  <c r="AH52" i="4"/>
  <c r="AE52" i="4"/>
  <c r="U53" i="4"/>
  <c r="AF52" i="4"/>
  <c r="X52" i="4"/>
  <c r="Z52" i="4"/>
  <c r="N53" i="1"/>
  <c r="R53" i="1"/>
  <c r="P53" i="1"/>
  <c r="Q53" i="1"/>
  <c r="T53" i="1" s="1"/>
  <c r="O53" i="1"/>
  <c r="E54" i="1"/>
  <c r="S54" i="1" s="1"/>
  <c r="J53" i="1"/>
  <c r="G53" i="1"/>
  <c r="K53" i="1"/>
  <c r="H53" i="1"/>
  <c r="I53" i="1"/>
  <c r="M53" i="1" s="1"/>
  <c r="F53" i="1"/>
  <c r="Z54" i="1"/>
  <c r="AA54" i="1"/>
  <c r="AB54" i="1"/>
  <c r="V54" i="1"/>
  <c r="W54" i="1"/>
  <c r="X54" i="1"/>
  <c r="Y54" i="1"/>
  <c r="U55" i="1"/>
  <c r="AB52" i="4" l="1"/>
  <c r="I54" i="4"/>
  <c r="E55" i="4"/>
  <c r="F54" i="4"/>
  <c r="Q54" i="4"/>
  <c r="T54" i="4" s="1"/>
  <c r="O54" i="4"/>
  <c r="N54" i="4"/>
  <c r="H54" i="4"/>
  <c r="P54" i="4"/>
  <c r="S54" i="4"/>
  <c r="K54" i="4"/>
  <c r="G54" i="4"/>
  <c r="J54" i="4"/>
  <c r="R54" i="4"/>
  <c r="U54" i="4"/>
  <c r="X53" i="4"/>
  <c r="AI53" i="4"/>
  <c r="AE53" i="4"/>
  <c r="AD53" i="4"/>
  <c r="V53" i="4"/>
  <c r="AG53" i="4"/>
  <c r="Z53" i="4"/>
  <c r="AA53" i="4"/>
  <c r="W53" i="4"/>
  <c r="AH53" i="4"/>
  <c r="Y53" i="4"/>
  <c r="AB53" i="4" s="1"/>
  <c r="AC53" i="4"/>
  <c r="AF53" i="4"/>
  <c r="R54" i="1"/>
  <c r="N54" i="1"/>
  <c r="O54" i="1"/>
  <c r="P54" i="1"/>
  <c r="Q54" i="1"/>
  <c r="T54" i="1" s="1"/>
  <c r="E55" i="1"/>
  <c r="S55" i="1" s="1"/>
  <c r="K54" i="1"/>
  <c r="F54" i="1"/>
  <c r="H54" i="1"/>
  <c r="I54" i="1"/>
  <c r="M54" i="1" s="1"/>
  <c r="J54" i="1"/>
  <c r="G54" i="1"/>
  <c r="V55" i="1"/>
  <c r="AB55" i="1"/>
  <c r="W55" i="1"/>
  <c r="X55" i="1"/>
  <c r="Y55" i="1"/>
  <c r="Z55" i="1"/>
  <c r="AA55" i="1"/>
  <c r="U56" i="1"/>
  <c r="AH54" i="4" l="1"/>
  <c r="V54" i="4"/>
  <c r="AB54" i="4" s="1"/>
  <c r="AF54" i="4"/>
  <c r="Z54" i="4"/>
  <c r="AD54" i="4"/>
  <c r="AA54" i="4"/>
  <c r="AG54" i="4"/>
  <c r="X54" i="4"/>
  <c r="Y54" i="4"/>
  <c r="AE54" i="4"/>
  <c r="AC54" i="4"/>
  <c r="U55" i="4"/>
  <c r="AI54" i="4"/>
  <c r="W54" i="4"/>
  <c r="S55" i="4"/>
  <c r="K55" i="4"/>
  <c r="J55" i="4"/>
  <c r="N55" i="4"/>
  <c r="E56" i="4"/>
  <c r="P55" i="4"/>
  <c r="O55" i="4"/>
  <c r="R55" i="4"/>
  <c r="Q55" i="4"/>
  <c r="T55" i="4" s="1"/>
  <c r="F55" i="4"/>
  <c r="M55" i="4" s="1"/>
  <c r="I55" i="4"/>
  <c r="H55" i="4"/>
  <c r="G55" i="4"/>
  <c r="M54" i="4"/>
  <c r="R55" i="1"/>
  <c r="Q55" i="1"/>
  <c r="T55" i="1" s="1"/>
  <c r="P55" i="1"/>
  <c r="O55" i="1"/>
  <c r="N55" i="1"/>
  <c r="E56" i="1"/>
  <c r="S56" i="1" s="1"/>
  <c r="J55" i="1"/>
  <c r="F55" i="1"/>
  <c r="G55" i="1"/>
  <c r="I55" i="1"/>
  <c r="M55" i="1" s="1"/>
  <c r="K55" i="1"/>
  <c r="H55" i="1"/>
  <c r="V56" i="1"/>
  <c r="W56" i="1"/>
  <c r="X56" i="1"/>
  <c r="Y56" i="1"/>
  <c r="AB56" i="1"/>
  <c r="Z56" i="1"/>
  <c r="AA56" i="1"/>
  <c r="U57" i="1"/>
  <c r="V55" i="4" l="1"/>
  <c r="AG55" i="4"/>
  <c r="AC55" i="4"/>
  <c r="Y55" i="4"/>
  <c r="AD55" i="4"/>
  <c r="AI55" i="4"/>
  <c r="W55" i="4"/>
  <c r="AB55" i="4"/>
  <c r="AF55" i="4"/>
  <c r="X55" i="4"/>
  <c r="U56" i="4"/>
  <c r="AH55" i="4"/>
  <c r="AE55" i="4"/>
  <c r="AA55" i="4"/>
  <c r="Z55" i="4"/>
  <c r="O56" i="4"/>
  <c r="R56" i="4"/>
  <c r="F56" i="4"/>
  <c r="I56" i="4"/>
  <c r="K56" i="4"/>
  <c r="P56" i="4"/>
  <c r="G56" i="4"/>
  <c r="E57" i="4"/>
  <c r="J56" i="4"/>
  <c r="N56" i="4"/>
  <c r="M56" i="4"/>
  <c r="Q56" i="4"/>
  <c r="T56" i="4" s="1"/>
  <c r="H56" i="4"/>
  <c r="S56" i="4"/>
  <c r="R56" i="1"/>
  <c r="Q56" i="1"/>
  <c r="T56" i="1" s="1"/>
  <c r="P56" i="1"/>
  <c r="O56" i="1"/>
  <c r="N56" i="1"/>
  <c r="E57" i="1"/>
  <c r="S57" i="1" s="1"/>
  <c r="J56" i="1"/>
  <c r="K56" i="1"/>
  <c r="G56" i="1"/>
  <c r="F56" i="1"/>
  <c r="I56" i="1"/>
  <c r="M56" i="1" s="1"/>
  <c r="H56" i="1"/>
  <c r="X57" i="1"/>
  <c r="Y57" i="1"/>
  <c r="Z57" i="1"/>
  <c r="AA57" i="1"/>
  <c r="V57" i="1"/>
  <c r="AB57" i="1" s="1"/>
  <c r="W57" i="1"/>
  <c r="U58" i="1"/>
  <c r="Q57" i="4" l="1"/>
  <c r="E58" i="4"/>
  <c r="P57" i="4"/>
  <c r="S57" i="4"/>
  <c r="J57" i="4"/>
  <c r="I57" i="4"/>
  <c r="M57" i="4" s="1"/>
  <c r="H57" i="4"/>
  <c r="T57" i="4"/>
  <c r="K57" i="4"/>
  <c r="O57" i="4"/>
  <c r="F57" i="4"/>
  <c r="G57" i="4"/>
  <c r="R57" i="4"/>
  <c r="N57" i="4"/>
  <c r="W56" i="4"/>
  <c r="V56" i="4"/>
  <c r="AG56" i="4"/>
  <c r="Y56" i="4"/>
  <c r="AF56" i="4"/>
  <c r="X56" i="4"/>
  <c r="AE56" i="4"/>
  <c r="AD56" i="4"/>
  <c r="AC56" i="4"/>
  <c r="AI56" i="4" s="1"/>
  <c r="U57" i="4"/>
  <c r="AA56" i="4"/>
  <c r="AH56" i="4"/>
  <c r="Z56" i="4"/>
  <c r="R57" i="1"/>
  <c r="Q57" i="1"/>
  <c r="T57" i="1" s="1"/>
  <c r="P57" i="1"/>
  <c r="O57" i="1"/>
  <c r="N57" i="1"/>
  <c r="E58" i="1"/>
  <c r="S58" i="1" s="1"/>
  <c r="J57" i="1"/>
  <c r="K57" i="1"/>
  <c r="G57" i="1"/>
  <c r="F57" i="1"/>
  <c r="I57" i="1"/>
  <c r="M57" i="1" s="1"/>
  <c r="H57" i="1"/>
  <c r="Z58" i="1"/>
  <c r="AA58" i="1"/>
  <c r="V58" i="1"/>
  <c r="W58" i="1"/>
  <c r="AB58" i="1"/>
  <c r="X58" i="1"/>
  <c r="Y58" i="1"/>
  <c r="U59" i="1"/>
  <c r="AB56" i="4" l="1"/>
  <c r="R58" i="4"/>
  <c r="N58" i="4"/>
  <c r="I58" i="4"/>
  <c r="O58" i="4"/>
  <c r="Q58" i="4"/>
  <c r="T58" i="4" s="1"/>
  <c r="G58" i="4"/>
  <c r="H58" i="4"/>
  <c r="E59" i="4"/>
  <c r="P58" i="4"/>
  <c r="K58" i="4"/>
  <c r="S58" i="4"/>
  <c r="J58" i="4"/>
  <c r="F58" i="4"/>
  <c r="AF57" i="4"/>
  <c r="U58" i="4"/>
  <c r="X57" i="4"/>
  <c r="V57" i="4"/>
  <c r="AB57" i="4"/>
  <c r="AI57" i="4"/>
  <c r="AE57" i="4"/>
  <c r="AG57" i="4"/>
  <c r="AA57" i="4"/>
  <c r="W57" i="4"/>
  <c r="Z57" i="4"/>
  <c r="Y57" i="4"/>
  <c r="AH57" i="4"/>
  <c r="AD57" i="4"/>
  <c r="AC57" i="4"/>
  <c r="R58" i="1"/>
  <c r="P58" i="1"/>
  <c r="N58" i="1"/>
  <c r="Q58" i="1"/>
  <c r="T58" i="1" s="1"/>
  <c r="O58" i="1"/>
  <c r="E59" i="1"/>
  <c r="S59" i="1" s="1"/>
  <c r="J58" i="1"/>
  <c r="K58" i="1"/>
  <c r="F58" i="1"/>
  <c r="G58" i="1"/>
  <c r="I58" i="1"/>
  <c r="M58" i="1" s="1"/>
  <c r="H58" i="1"/>
  <c r="V59" i="1"/>
  <c r="W59" i="1"/>
  <c r="X59" i="1"/>
  <c r="Y59" i="1"/>
  <c r="Z59" i="1"/>
  <c r="AB59" i="1"/>
  <c r="AA59" i="1"/>
  <c r="U60" i="1"/>
  <c r="K59" i="4" l="1"/>
  <c r="G59" i="4"/>
  <c r="O59" i="4"/>
  <c r="S59" i="4"/>
  <c r="J59" i="4"/>
  <c r="I59" i="4"/>
  <c r="N59" i="4"/>
  <c r="E60" i="4"/>
  <c r="R59" i="4"/>
  <c r="Q59" i="4"/>
  <c r="H59" i="4"/>
  <c r="F59" i="4"/>
  <c r="M59" i="4" s="1"/>
  <c r="P59" i="4"/>
  <c r="T59" i="4"/>
  <c r="M58" i="4"/>
  <c r="AA58" i="4"/>
  <c r="W58" i="4"/>
  <c r="AE58" i="4"/>
  <c r="AH58" i="4"/>
  <c r="V58" i="4"/>
  <c r="AB58" i="4" s="1"/>
  <c r="AG58" i="4"/>
  <c r="Z58" i="4"/>
  <c r="AD58" i="4"/>
  <c r="U59" i="4"/>
  <c r="Y58" i="4"/>
  <c r="X58" i="4"/>
  <c r="AI58" i="4"/>
  <c r="AC58" i="4"/>
  <c r="AF58" i="4"/>
  <c r="O59" i="1"/>
  <c r="P59" i="1"/>
  <c r="N59" i="1"/>
  <c r="Q59" i="1"/>
  <c r="T59" i="1" s="1"/>
  <c r="R59" i="1"/>
  <c r="E60" i="1"/>
  <c r="S60" i="1" s="1"/>
  <c r="K59" i="1"/>
  <c r="F59" i="1"/>
  <c r="G59" i="1"/>
  <c r="J59" i="1"/>
  <c r="H59" i="1"/>
  <c r="I59" i="1"/>
  <c r="M59" i="1" s="1"/>
  <c r="V60" i="1"/>
  <c r="AB60" i="1" s="1"/>
  <c r="W60" i="1"/>
  <c r="X60" i="1"/>
  <c r="Y60" i="1"/>
  <c r="Z60" i="1"/>
  <c r="AA60" i="1"/>
  <c r="U61" i="1"/>
  <c r="O60" i="4" l="1"/>
  <c r="R60" i="4"/>
  <c r="I60" i="4"/>
  <c r="F60" i="4"/>
  <c r="K60" i="4"/>
  <c r="S60" i="4"/>
  <c r="J60" i="4"/>
  <c r="N60" i="4"/>
  <c r="Q60" i="4"/>
  <c r="T60" i="4" s="1"/>
  <c r="H60" i="4"/>
  <c r="P60" i="4"/>
  <c r="M60" i="4"/>
  <c r="G60" i="4"/>
  <c r="E61" i="4"/>
  <c r="V59" i="4"/>
  <c r="AB59" i="4" s="1"/>
  <c r="AG59" i="4"/>
  <c r="AC59" i="4"/>
  <c r="Y59" i="4"/>
  <c r="AA59" i="4"/>
  <c r="AD59" i="4"/>
  <c r="AF59" i="4"/>
  <c r="AI59" i="4" s="1"/>
  <c r="Z59" i="4"/>
  <c r="U60" i="4"/>
  <c r="X59" i="4"/>
  <c r="AE59" i="4"/>
  <c r="AH59" i="4"/>
  <c r="W59" i="4"/>
  <c r="R60" i="1"/>
  <c r="O60" i="1"/>
  <c r="P60" i="1"/>
  <c r="Q60" i="1"/>
  <c r="T60" i="1" s="1"/>
  <c r="N60" i="1"/>
  <c r="E61" i="1"/>
  <c r="S61" i="1" s="1"/>
  <c r="I60" i="1"/>
  <c r="M60" i="1" s="1"/>
  <c r="G60" i="1"/>
  <c r="J60" i="1"/>
  <c r="F60" i="1"/>
  <c r="H60" i="1"/>
  <c r="K60" i="1"/>
  <c r="X61" i="1"/>
  <c r="Y61" i="1"/>
  <c r="Z61" i="1"/>
  <c r="AA61" i="1"/>
  <c r="V61" i="1"/>
  <c r="AB61" i="1" s="1"/>
  <c r="W61" i="1"/>
  <c r="U62" i="1"/>
  <c r="P61" i="4" l="1"/>
  <c r="F61" i="4"/>
  <c r="M61" i="4" s="1"/>
  <c r="G61" i="4"/>
  <c r="J61" i="4"/>
  <c r="N61" i="4"/>
  <c r="K61" i="4"/>
  <c r="S61" i="4"/>
  <c r="O61" i="4"/>
  <c r="I61" i="4"/>
  <c r="R61" i="4"/>
  <c r="E62" i="4"/>
  <c r="Q61" i="4"/>
  <c r="T61" i="4" s="1"/>
  <c r="H61" i="4"/>
  <c r="AE60" i="4"/>
  <c r="Z60" i="4"/>
  <c r="V60" i="4"/>
  <c r="AB60" i="4" s="1"/>
  <c r="W60" i="4"/>
  <c r="AH60" i="4"/>
  <c r="AF60" i="4"/>
  <c r="AD60" i="4"/>
  <c r="Y60" i="4"/>
  <c r="AI60" i="4"/>
  <c r="X60" i="4"/>
  <c r="AA60" i="4"/>
  <c r="AG60" i="4"/>
  <c r="AC60" i="4"/>
  <c r="U61" i="4"/>
  <c r="P61" i="1"/>
  <c r="O61" i="1"/>
  <c r="N61" i="1"/>
  <c r="R61" i="1"/>
  <c r="Q61" i="1"/>
  <c r="T61" i="1" s="1"/>
  <c r="E62" i="1"/>
  <c r="S62" i="1" s="1"/>
  <c r="K61" i="1"/>
  <c r="G61" i="1"/>
  <c r="H61" i="1"/>
  <c r="I61" i="1"/>
  <c r="M61" i="1" s="1"/>
  <c r="F61" i="1"/>
  <c r="J61" i="1"/>
  <c r="Z62" i="1"/>
  <c r="AA62" i="1"/>
  <c r="V62" i="1"/>
  <c r="AB62" i="1" s="1"/>
  <c r="W62" i="1"/>
  <c r="X62" i="1"/>
  <c r="Y62" i="1"/>
  <c r="U63" i="1"/>
  <c r="AG61" i="4" l="1"/>
  <c r="AC61" i="4"/>
  <c r="X61" i="4"/>
  <c r="Z61" i="4"/>
  <c r="Y61" i="4"/>
  <c r="AB61" i="4"/>
  <c r="AA61" i="4"/>
  <c r="AH61" i="4"/>
  <c r="V61" i="4"/>
  <c r="AF61" i="4"/>
  <c r="AI61" i="4" s="1"/>
  <c r="AD61" i="4"/>
  <c r="U62" i="4"/>
  <c r="AE61" i="4"/>
  <c r="W61" i="4"/>
  <c r="I62" i="4"/>
  <c r="M62" i="4"/>
  <c r="N62" i="4"/>
  <c r="Q62" i="4"/>
  <c r="T62" i="4" s="1"/>
  <c r="H62" i="4"/>
  <c r="E63" i="4"/>
  <c r="O62" i="4"/>
  <c r="F62" i="4"/>
  <c r="R62" i="4"/>
  <c r="P62" i="4"/>
  <c r="S62" i="4"/>
  <c r="K62" i="4"/>
  <c r="G62" i="4"/>
  <c r="J62" i="4"/>
  <c r="R62" i="1"/>
  <c r="Q62" i="1"/>
  <c r="T62" i="1" s="1"/>
  <c r="O62" i="1"/>
  <c r="P62" i="1"/>
  <c r="N62" i="1"/>
  <c r="E63" i="1"/>
  <c r="S63" i="1" s="1"/>
  <c r="K62" i="1"/>
  <c r="F62" i="1"/>
  <c r="G62" i="1"/>
  <c r="I62" i="1"/>
  <c r="M62" i="1" s="1"/>
  <c r="H62" i="1"/>
  <c r="J62" i="1"/>
  <c r="V63" i="1"/>
  <c r="AB63" i="1"/>
  <c r="W63" i="1"/>
  <c r="X63" i="1"/>
  <c r="Y63" i="1"/>
  <c r="Z63" i="1"/>
  <c r="AA63" i="1"/>
  <c r="U64" i="1"/>
  <c r="Q63" i="4" l="1"/>
  <c r="E64" i="4"/>
  <c r="H63" i="4"/>
  <c r="T63" i="4"/>
  <c r="P63" i="4"/>
  <c r="S63" i="4"/>
  <c r="F63" i="4"/>
  <c r="M63" i="4" s="1"/>
  <c r="K63" i="4"/>
  <c r="G63" i="4"/>
  <c r="I63" i="4"/>
  <c r="O63" i="4"/>
  <c r="J63" i="4"/>
  <c r="N63" i="4"/>
  <c r="R63" i="4"/>
  <c r="Z62" i="4"/>
  <c r="V62" i="4"/>
  <c r="AG62" i="4"/>
  <c r="Y62" i="4"/>
  <c r="X62" i="4"/>
  <c r="AD62" i="4"/>
  <c r="AC62" i="4"/>
  <c r="AE62" i="4"/>
  <c r="W62" i="4"/>
  <c r="AH62" i="4"/>
  <c r="U63" i="4"/>
  <c r="AA62" i="4"/>
  <c r="AF62" i="4"/>
  <c r="AI62" i="4" s="1"/>
  <c r="R63" i="1"/>
  <c r="Q63" i="1"/>
  <c r="T63" i="1" s="1"/>
  <c r="O63" i="1"/>
  <c r="P63" i="1"/>
  <c r="N63" i="1"/>
  <c r="E64" i="1"/>
  <c r="S64" i="1" s="1"/>
  <c r="I63" i="1"/>
  <c r="M63" i="1" s="1"/>
  <c r="J63" i="1"/>
  <c r="K63" i="1"/>
  <c r="F63" i="1"/>
  <c r="G63" i="1"/>
  <c r="H63" i="1"/>
  <c r="V64" i="1"/>
  <c r="W64" i="1"/>
  <c r="X64" i="1"/>
  <c r="Y64" i="1"/>
  <c r="AB64" i="1"/>
  <c r="Z64" i="1"/>
  <c r="AA64" i="1"/>
  <c r="U65" i="1"/>
  <c r="AB62" i="4" l="1"/>
  <c r="G64" i="4"/>
  <c r="J64" i="4"/>
  <c r="R64" i="4"/>
  <c r="F64" i="4"/>
  <c r="I64" i="4"/>
  <c r="E65" i="4"/>
  <c r="S64" i="4"/>
  <c r="O64" i="4"/>
  <c r="Q64" i="4"/>
  <c r="K64" i="4"/>
  <c r="N64" i="4"/>
  <c r="T64" i="4" s="1"/>
  <c r="M64" i="4"/>
  <c r="P64" i="4"/>
  <c r="H64" i="4"/>
  <c r="AB63" i="4"/>
  <c r="AF63" i="4"/>
  <c r="AI63" i="4" s="1"/>
  <c r="X63" i="4"/>
  <c r="W63" i="4"/>
  <c r="V63" i="4"/>
  <c r="U64" i="4"/>
  <c r="AC63" i="4"/>
  <c r="AE63" i="4"/>
  <c r="AA63" i="4"/>
  <c r="AH63" i="4"/>
  <c r="AD63" i="4"/>
  <c r="Z63" i="4"/>
  <c r="AG63" i="4"/>
  <c r="Y63" i="4"/>
  <c r="R64" i="1"/>
  <c r="Q64" i="1"/>
  <c r="T64" i="1" s="1"/>
  <c r="P64" i="1"/>
  <c r="O64" i="1"/>
  <c r="N64" i="1"/>
  <c r="E65" i="1"/>
  <c r="S65" i="1" s="1"/>
  <c r="I64" i="1"/>
  <c r="M64" i="1" s="1"/>
  <c r="F64" i="1"/>
  <c r="J64" i="1"/>
  <c r="K64" i="1"/>
  <c r="G64" i="1"/>
  <c r="H64" i="1"/>
  <c r="X65" i="1"/>
  <c r="Y65" i="1"/>
  <c r="Z65" i="1"/>
  <c r="AA65" i="1"/>
  <c r="AB65" i="1"/>
  <c r="V65" i="1"/>
  <c r="W65" i="1"/>
  <c r="U66" i="1"/>
  <c r="P65" i="4" l="1"/>
  <c r="R65" i="4"/>
  <c r="K65" i="4"/>
  <c r="G65" i="4"/>
  <c r="J65" i="4"/>
  <c r="N65" i="4"/>
  <c r="I65" i="4"/>
  <c r="T65" i="4"/>
  <c r="S65" i="4"/>
  <c r="O65" i="4"/>
  <c r="Q65" i="4"/>
  <c r="F65" i="4"/>
  <c r="E66" i="4"/>
  <c r="H65" i="4"/>
  <c r="AE64" i="4"/>
  <c r="AH64" i="4"/>
  <c r="V64" i="4"/>
  <c r="W64" i="4"/>
  <c r="Z64" i="4"/>
  <c r="AF64" i="4"/>
  <c r="AI64" i="4" s="1"/>
  <c r="X64" i="4"/>
  <c r="AD64" i="4"/>
  <c r="U65" i="4"/>
  <c r="AG64" i="4"/>
  <c r="AC64" i="4"/>
  <c r="Y64" i="4"/>
  <c r="AA64" i="4"/>
  <c r="R65" i="1"/>
  <c r="Q65" i="1"/>
  <c r="T65" i="1" s="1"/>
  <c r="O65" i="1"/>
  <c r="N65" i="1"/>
  <c r="P65" i="1"/>
  <c r="E66" i="1"/>
  <c r="S66" i="1" s="1"/>
  <c r="K65" i="1"/>
  <c r="F65" i="1"/>
  <c r="G65" i="1"/>
  <c r="H65" i="1"/>
  <c r="I65" i="1"/>
  <c r="M65" i="1" s="1"/>
  <c r="J65" i="1"/>
  <c r="Z66" i="1"/>
  <c r="AA66" i="1"/>
  <c r="V66" i="1"/>
  <c r="W66" i="1"/>
  <c r="AB66" i="1"/>
  <c r="X66" i="1"/>
  <c r="Y66" i="1"/>
  <c r="U67" i="1"/>
  <c r="M65" i="4" l="1"/>
  <c r="AB64" i="4"/>
  <c r="I66" i="4"/>
  <c r="Q66" i="4"/>
  <c r="T66" i="4" s="1"/>
  <c r="E67" i="4"/>
  <c r="P66" i="4"/>
  <c r="K66" i="4"/>
  <c r="N66" i="4"/>
  <c r="H66" i="4"/>
  <c r="G66" i="4"/>
  <c r="J66" i="4"/>
  <c r="R66" i="4"/>
  <c r="F66" i="4"/>
  <c r="M66" i="4" s="1"/>
  <c r="S66" i="4"/>
  <c r="O66" i="4"/>
  <c r="AG65" i="4"/>
  <c r="AC65" i="4"/>
  <c r="Y65" i="4"/>
  <c r="AF65" i="4"/>
  <c r="AI65" i="4" s="1"/>
  <c r="AE65" i="4"/>
  <c r="V65" i="4"/>
  <c r="X65" i="4"/>
  <c r="AH65" i="4"/>
  <c r="U66" i="4"/>
  <c r="AD65" i="4"/>
  <c r="AA65" i="4"/>
  <c r="W65" i="4"/>
  <c r="Z65" i="4"/>
  <c r="R66" i="1"/>
  <c r="N66" i="1"/>
  <c r="Q66" i="1"/>
  <c r="T66" i="1" s="1"/>
  <c r="O66" i="1"/>
  <c r="P66" i="1"/>
  <c r="E67" i="1"/>
  <c r="S67" i="1" s="1"/>
  <c r="J66" i="1"/>
  <c r="K66" i="1"/>
  <c r="G66" i="1"/>
  <c r="H66" i="1"/>
  <c r="F66" i="1"/>
  <c r="I66" i="1"/>
  <c r="M66" i="1" s="1"/>
  <c r="V67" i="1"/>
  <c r="W67" i="1"/>
  <c r="X67" i="1"/>
  <c r="Y67" i="1"/>
  <c r="Z67" i="1"/>
  <c r="AA67" i="1"/>
  <c r="AB67" i="1"/>
  <c r="U68" i="1"/>
  <c r="AB65" i="4" l="1"/>
  <c r="AG66" i="4"/>
  <c r="V66" i="4"/>
  <c r="AA66" i="4"/>
  <c r="Y66" i="4"/>
  <c r="U67" i="4"/>
  <c r="AC66" i="4"/>
  <c r="AF66" i="4"/>
  <c r="AI66" i="4" s="1"/>
  <c r="AE66" i="4"/>
  <c r="W66" i="4"/>
  <c r="Z66" i="4"/>
  <c r="AD66" i="4"/>
  <c r="AB66" i="4"/>
  <c r="X66" i="4"/>
  <c r="AH66" i="4"/>
  <c r="P67" i="4"/>
  <c r="H67" i="4"/>
  <c r="Q67" i="4"/>
  <c r="T67" i="4" s="1"/>
  <c r="F67" i="4"/>
  <c r="G67" i="4"/>
  <c r="N67" i="4"/>
  <c r="M67" i="4"/>
  <c r="S67" i="4"/>
  <c r="O67" i="4"/>
  <c r="R67" i="4"/>
  <c r="K67" i="4"/>
  <c r="J67" i="4"/>
  <c r="E68" i="4"/>
  <c r="I67" i="4"/>
  <c r="R67" i="1"/>
  <c r="Q67" i="1"/>
  <c r="T67" i="1" s="1"/>
  <c r="P67" i="1"/>
  <c r="O67" i="1"/>
  <c r="N67" i="1"/>
  <c r="E68" i="1"/>
  <c r="S68" i="1" s="1"/>
  <c r="J67" i="1"/>
  <c r="K67" i="1"/>
  <c r="H67" i="1"/>
  <c r="F67" i="1"/>
  <c r="G67" i="1"/>
  <c r="I67" i="1"/>
  <c r="M67" i="1" s="1"/>
  <c r="V68" i="1"/>
  <c r="AB68" i="1" s="1"/>
  <c r="W68" i="1"/>
  <c r="X68" i="1"/>
  <c r="Y68" i="1"/>
  <c r="Z68" i="1"/>
  <c r="AA68" i="1"/>
  <c r="U69" i="1"/>
  <c r="AD67" i="4" l="1"/>
  <c r="AG67" i="4"/>
  <c r="V67" i="4"/>
  <c r="Z67" i="4"/>
  <c r="AC67" i="4"/>
  <c r="Y67" i="4"/>
  <c r="AB67" i="4" s="1"/>
  <c r="X67" i="4"/>
  <c r="U68" i="4"/>
  <c r="W67" i="4"/>
  <c r="AF67" i="4"/>
  <c r="AI67" i="4" s="1"/>
  <c r="AA67" i="4"/>
  <c r="AE67" i="4"/>
  <c r="AH67" i="4"/>
  <c r="P68" i="4"/>
  <c r="O68" i="4"/>
  <c r="G68" i="4"/>
  <c r="J68" i="4"/>
  <c r="I68" i="4"/>
  <c r="F68" i="4"/>
  <c r="M68" i="4" s="1"/>
  <c r="K68" i="4"/>
  <c r="Q68" i="4"/>
  <c r="N68" i="4"/>
  <c r="T68" i="4" s="1"/>
  <c r="R68" i="4"/>
  <c r="E69" i="4"/>
  <c r="H68" i="4"/>
  <c r="S68" i="4"/>
  <c r="R68" i="1"/>
  <c r="Q68" i="1"/>
  <c r="T68" i="1" s="1"/>
  <c r="P68" i="1"/>
  <c r="O68" i="1"/>
  <c r="N68" i="1"/>
  <c r="E69" i="1"/>
  <c r="S69" i="1" s="1"/>
  <c r="J68" i="1"/>
  <c r="F68" i="1"/>
  <c r="I68" i="1"/>
  <c r="M68" i="1" s="1"/>
  <c r="G68" i="1"/>
  <c r="H68" i="1"/>
  <c r="K68" i="1"/>
  <c r="X69" i="1"/>
  <c r="Y69" i="1"/>
  <c r="Z69" i="1"/>
  <c r="AA69" i="1"/>
  <c r="V69" i="1"/>
  <c r="AB69" i="1" s="1"/>
  <c r="W69" i="1"/>
  <c r="U70" i="1"/>
  <c r="G69" i="4" l="1"/>
  <c r="O69" i="4"/>
  <c r="H69" i="4"/>
  <c r="P69" i="4"/>
  <c r="E70" i="4"/>
  <c r="K69" i="4"/>
  <c r="F69" i="4"/>
  <c r="M69" i="4" s="1"/>
  <c r="Q69" i="4"/>
  <c r="T69" i="4" s="1"/>
  <c r="S69" i="4"/>
  <c r="N69" i="4"/>
  <c r="J69" i="4"/>
  <c r="R69" i="4"/>
  <c r="I69" i="4"/>
  <c r="AF68" i="4"/>
  <c r="AI68" i="4" s="1"/>
  <c r="U69" i="4"/>
  <c r="AE68" i="4"/>
  <c r="AG68" i="4"/>
  <c r="X68" i="4"/>
  <c r="Z68" i="4"/>
  <c r="AD68" i="4"/>
  <c r="AC68" i="4"/>
  <c r="V68" i="4"/>
  <c r="AB68" i="4" s="1"/>
  <c r="Y68" i="4"/>
  <c r="AH68" i="4"/>
  <c r="AA68" i="4"/>
  <c r="W68" i="4"/>
  <c r="R69" i="1"/>
  <c r="Q69" i="1"/>
  <c r="T69" i="1" s="1"/>
  <c r="P69" i="1"/>
  <c r="N69" i="1"/>
  <c r="O69" i="1"/>
  <c r="E70" i="1"/>
  <c r="S70" i="1" s="1"/>
  <c r="K69" i="1"/>
  <c r="H69" i="1"/>
  <c r="I69" i="1"/>
  <c r="M69" i="1" s="1"/>
  <c r="F69" i="1"/>
  <c r="G69" i="1"/>
  <c r="J69" i="1"/>
  <c r="Z70" i="1"/>
  <c r="AA70" i="1"/>
  <c r="V70" i="1"/>
  <c r="AB70" i="1" s="1"/>
  <c r="W70" i="1"/>
  <c r="X70" i="1"/>
  <c r="Y70" i="1"/>
  <c r="U71" i="1"/>
  <c r="AH69" i="4" l="1"/>
  <c r="AG69" i="4"/>
  <c r="Z69" i="4"/>
  <c r="AE69" i="4"/>
  <c r="U70" i="4"/>
  <c r="AC69" i="4"/>
  <c r="AA69" i="4"/>
  <c r="AF69" i="4"/>
  <c r="AI69" i="4" s="1"/>
  <c r="Y69" i="4"/>
  <c r="AD69" i="4"/>
  <c r="X69" i="4"/>
  <c r="W69" i="4"/>
  <c r="V69" i="4"/>
  <c r="Q70" i="4"/>
  <c r="T70" i="4" s="1"/>
  <c r="H70" i="4"/>
  <c r="R70" i="4"/>
  <c r="O70" i="4"/>
  <c r="P70" i="4"/>
  <c r="J70" i="4"/>
  <c r="K70" i="4"/>
  <c r="N70" i="4"/>
  <c r="G70" i="4"/>
  <c r="E71" i="4"/>
  <c r="F70" i="4"/>
  <c r="S70" i="4"/>
  <c r="I70" i="4"/>
  <c r="R70" i="1"/>
  <c r="Q70" i="1"/>
  <c r="T70" i="1" s="1"/>
  <c r="N70" i="1"/>
  <c r="P70" i="1"/>
  <c r="O70" i="1"/>
  <c r="E71" i="1"/>
  <c r="S71" i="1" s="1"/>
  <c r="H70" i="1"/>
  <c r="F70" i="1"/>
  <c r="I70" i="1"/>
  <c r="M70" i="1" s="1"/>
  <c r="K70" i="1"/>
  <c r="G70" i="1"/>
  <c r="J70" i="1"/>
  <c r="V71" i="1"/>
  <c r="AB71" i="1" s="1"/>
  <c r="W71" i="1"/>
  <c r="X71" i="1"/>
  <c r="Y71" i="1"/>
  <c r="Z71" i="1"/>
  <c r="AA71" i="1"/>
  <c r="U72" i="1"/>
  <c r="F71" i="4" l="1"/>
  <c r="I71" i="4"/>
  <c r="N71" i="4"/>
  <c r="M71" i="4"/>
  <c r="E72" i="4"/>
  <c r="H71" i="4"/>
  <c r="Q71" i="4"/>
  <c r="T71" i="4" s="1"/>
  <c r="K71" i="4"/>
  <c r="J71" i="4"/>
  <c r="O71" i="4"/>
  <c r="R71" i="4"/>
  <c r="P71" i="4"/>
  <c r="S71" i="4"/>
  <c r="G71" i="4"/>
  <c r="Z70" i="4"/>
  <c r="U71" i="4"/>
  <c r="AC70" i="4"/>
  <c r="AH70" i="4"/>
  <c r="AG70" i="4"/>
  <c r="Y70" i="4"/>
  <c r="X70" i="4"/>
  <c r="AF70" i="4"/>
  <c r="AI70" i="4" s="1"/>
  <c r="V70" i="4"/>
  <c r="AA70" i="4"/>
  <c r="AD70" i="4"/>
  <c r="AE70" i="4"/>
  <c r="W70" i="4"/>
  <c r="M70" i="4"/>
  <c r="AB69" i="4"/>
  <c r="R71" i="1"/>
  <c r="N71" i="1"/>
  <c r="Q71" i="1"/>
  <c r="T71" i="1" s="1"/>
  <c r="P71" i="1"/>
  <c r="O71" i="1"/>
  <c r="E72" i="1"/>
  <c r="S72" i="1" s="1"/>
  <c r="J71" i="1"/>
  <c r="H71" i="1"/>
  <c r="K71" i="1"/>
  <c r="I71" i="1"/>
  <c r="M71" i="1" s="1"/>
  <c r="G71" i="1"/>
  <c r="F71" i="1"/>
  <c r="V72" i="1"/>
  <c r="W72" i="1"/>
  <c r="X72" i="1"/>
  <c r="Y72" i="1"/>
  <c r="AB72" i="1"/>
  <c r="Z72" i="1"/>
  <c r="AA72" i="1"/>
  <c r="U73" i="1"/>
  <c r="H72" i="4" l="1"/>
  <c r="J72" i="4"/>
  <c r="F72" i="4"/>
  <c r="O72" i="4"/>
  <c r="P72" i="4"/>
  <c r="I72" i="4"/>
  <c r="M72" i="4" s="1"/>
  <c r="G72" i="4"/>
  <c r="S72" i="4"/>
  <c r="N72" i="4"/>
  <c r="K72" i="4"/>
  <c r="Q72" i="4"/>
  <c r="E73" i="4"/>
  <c r="R72" i="4"/>
  <c r="T72" i="4"/>
  <c r="AB70" i="4"/>
  <c r="V71" i="4"/>
  <c r="AC71" i="4"/>
  <c r="AA71" i="4"/>
  <c r="AG71" i="4"/>
  <c r="Y71" i="4"/>
  <c r="AB71" i="4" s="1"/>
  <c r="U72" i="4"/>
  <c r="AF71" i="4"/>
  <c r="AI71" i="4" s="1"/>
  <c r="X71" i="4"/>
  <c r="AH71" i="4"/>
  <c r="Z71" i="4"/>
  <c r="AE71" i="4"/>
  <c r="AD71" i="4"/>
  <c r="W71" i="4"/>
  <c r="R72" i="1"/>
  <c r="N72" i="1"/>
  <c r="O72" i="1"/>
  <c r="Q72" i="1"/>
  <c r="T72" i="1" s="1"/>
  <c r="P72" i="1"/>
  <c r="E73" i="1"/>
  <c r="S73" i="1" s="1"/>
  <c r="I72" i="1"/>
  <c r="M72" i="1" s="1"/>
  <c r="J72" i="1"/>
  <c r="K72" i="1"/>
  <c r="H72" i="1"/>
  <c r="G72" i="1"/>
  <c r="F72" i="1"/>
  <c r="X73" i="1"/>
  <c r="Y73" i="1"/>
  <c r="Z73" i="1"/>
  <c r="AA73" i="1"/>
  <c r="AB73" i="1"/>
  <c r="V73" i="1"/>
  <c r="W73" i="1"/>
  <c r="U74" i="1"/>
  <c r="P73" i="4" l="1"/>
  <c r="K73" i="4"/>
  <c r="J73" i="4"/>
  <c r="G73" i="4"/>
  <c r="Q73" i="4"/>
  <c r="T73" i="4" s="1"/>
  <c r="R73" i="4"/>
  <c r="E74" i="4"/>
  <c r="O73" i="4"/>
  <c r="F73" i="4"/>
  <c r="S73" i="4"/>
  <c r="N73" i="4"/>
  <c r="H73" i="4"/>
  <c r="I73" i="4"/>
  <c r="Y72" i="4"/>
  <c r="W72" i="4"/>
  <c r="AD72" i="4"/>
  <c r="AF72" i="4"/>
  <c r="AI72" i="4" s="1"/>
  <c r="U73" i="4"/>
  <c r="AG72" i="4"/>
  <c r="X72" i="4"/>
  <c r="AA72" i="4"/>
  <c r="V72" i="4"/>
  <c r="AH72" i="4"/>
  <c r="Z72" i="4"/>
  <c r="AC72" i="4"/>
  <c r="AE72" i="4"/>
  <c r="R73" i="1"/>
  <c r="Q73" i="1"/>
  <c r="T73" i="1" s="1"/>
  <c r="P73" i="1"/>
  <c r="N73" i="1"/>
  <c r="O73" i="1"/>
  <c r="E74" i="1"/>
  <c r="S74" i="1" s="1"/>
  <c r="K73" i="1"/>
  <c r="F73" i="1"/>
  <c r="G73" i="1"/>
  <c r="H73" i="1"/>
  <c r="I73" i="1"/>
  <c r="M73" i="1" s="1"/>
  <c r="J73" i="1"/>
  <c r="Z74" i="1"/>
  <c r="AA74" i="1"/>
  <c r="V74" i="1"/>
  <c r="W74" i="1"/>
  <c r="AB74" i="1"/>
  <c r="X74" i="1"/>
  <c r="Y74" i="1"/>
  <c r="U75" i="1"/>
  <c r="M73" i="4" l="1"/>
  <c r="I74" i="4"/>
  <c r="F74" i="4"/>
  <c r="Q74" i="4"/>
  <c r="T74" i="4" s="1"/>
  <c r="H74" i="4"/>
  <c r="P74" i="4"/>
  <c r="E75" i="4"/>
  <c r="N74" i="4"/>
  <c r="G74" i="4"/>
  <c r="S74" i="4"/>
  <c r="K74" i="4"/>
  <c r="O74" i="4"/>
  <c r="J74" i="4"/>
  <c r="R74" i="4"/>
  <c r="AB72" i="4"/>
  <c r="X73" i="4"/>
  <c r="AB73" i="4"/>
  <c r="AE73" i="4"/>
  <c r="U74" i="4"/>
  <c r="W73" i="4"/>
  <c r="AH73" i="4"/>
  <c r="AC73" i="4"/>
  <c r="AI73" i="4"/>
  <c r="AD73" i="4"/>
  <c r="Z73" i="4"/>
  <c r="Y73" i="4"/>
  <c r="AA73" i="4"/>
  <c r="V73" i="4"/>
  <c r="AG73" i="4"/>
  <c r="AF73" i="4"/>
  <c r="R74" i="1"/>
  <c r="P74" i="1"/>
  <c r="O74" i="1"/>
  <c r="Q74" i="1"/>
  <c r="T74" i="1" s="1"/>
  <c r="N74" i="1"/>
  <c r="E75" i="1"/>
  <c r="S75" i="1" s="1"/>
  <c r="I74" i="1"/>
  <c r="M74" i="1" s="1"/>
  <c r="J74" i="1"/>
  <c r="K74" i="1"/>
  <c r="F74" i="1"/>
  <c r="G74" i="1"/>
  <c r="H74" i="1"/>
  <c r="V75" i="1"/>
  <c r="W75" i="1"/>
  <c r="X75" i="1"/>
  <c r="Y75" i="1"/>
  <c r="Z75" i="1"/>
  <c r="AB75" i="1"/>
  <c r="AA75" i="1"/>
  <c r="U76" i="1"/>
  <c r="M74" i="4" l="1"/>
  <c r="N75" i="4"/>
  <c r="Q75" i="4"/>
  <c r="E76" i="4"/>
  <c r="K75" i="4"/>
  <c r="P75" i="4"/>
  <c r="G75" i="4"/>
  <c r="O75" i="4"/>
  <c r="F75" i="4"/>
  <c r="T75" i="4"/>
  <c r="H75" i="4"/>
  <c r="S75" i="4"/>
  <c r="R75" i="4"/>
  <c r="J75" i="4"/>
  <c r="I75" i="4"/>
  <c r="M75" i="4" s="1"/>
  <c r="AG74" i="4"/>
  <c r="V74" i="4"/>
  <c r="Y74" i="4"/>
  <c r="AB74" i="4" s="1"/>
  <c r="X74" i="4"/>
  <c r="U75" i="4"/>
  <c r="AC74" i="4"/>
  <c r="AH74" i="4"/>
  <c r="AF74" i="4"/>
  <c r="AI74" i="4" s="1"/>
  <c r="AE74" i="4"/>
  <c r="AD74" i="4"/>
  <c r="Z74" i="4"/>
  <c r="AA74" i="4"/>
  <c r="W74" i="4"/>
  <c r="P75" i="1"/>
  <c r="R75" i="1"/>
  <c r="Q75" i="1"/>
  <c r="T75" i="1" s="1"/>
  <c r="O75" i="1"/>
  <c r="N75" i="1"/>
  <c r="E76" i="1"/>
  <c r="S76" i="1" s="1"/>
  <c r="J75" i="1"/>
  <c r="K75" i="1"/>
  <c r="F75" i="1"/>
  <c r="I75" i="1"/>
  <c r="M75" i="1" s="1"/>
  <c r="G75" i="1"/>
  <c r="H75" i="1"/>
  <c r="V76" i="1"/>
  <c r="AB76" i="1" s="1"/>
  <c r="W76" i="1"/>
  <c r="X76" i="1"/>
  <c r="Y76" i="1"/>
  <c r="Z76" i="1"/>
  <c r="AA76" i="1"/>
  <c r="U77" i="1"/>
  <c r="V75" i="4" l="1"/>
  <c r="AC75" i="4"/>
  <c r="Y75" i="4"/>
  <c r="AB75" i="4" s="1"/>
  <c r="X75" i="4"/>
  <c r="AH75" i="4"/>
  <c r="Z75" i="4"/>
  <c r="AD75" i="4"/>
  <c r="U76" i="4"/>
  <c r="AF75" i="4"/>
  <c r="AI75" i="4" s="1"/>
  <c r="AA75" i="4"/>
  <c r="AE75" i="4"/>
  <c r="W75" i="4"/>
  <c r="AG75" i="4"/>
  <c r="H76" i="4"/>
  <c r="O76" i="4"/>
  <c r="P76" i="4"/>
  <c r="J76" i="4"/>
  <c r="R76" i="4"/>
  <c r="I76" i="4"/>
  <c r="N76" i="4"/>
  <c r="T76" i="4" s="1"/>
  <c r="K76" i="4"/>
  <c r="G76" i="4"/>
  <c r="F76" i="4"/>
  <c r="M76" i="4" s="1"/>
  <c r="Q76" i="4"/>
  <c r="E77" i="4"/>
  <c r="S76" i="4"/>
  <c r="R76" i="1"/>
  <c r="Q76" i="1"/>
  <c r="T76" i="1" s="1"/>
  <c r="P76" i="1"/>
  <c r="O76" i="1"/>
  <c r="N76" i="1"/>
  <c r="E77" i="1"/>
  <c r="S77" i="1" s="1"/>
  <c r="J76" i="1"/>
  <c r="I76" i="1"/>
  <c r="M76" i="1" s="1"/>
  <c r="F76" i="1"/>
  <c r="G76" i="1"/>
  <c r="K76" i="1"/>
  <c r="H76" i="1"/>
  <c r="V77" i="1"/>
  <c r="AB77" i="1" s="1"/>
  <c r="AA77" i="1"/>
  <c r="W77" i="1"/>
  <c r="X77" i="1"/>
  <c r="Y77" i="1"/>
  <c r="Z77" i="1"/>
  <c r="U78" i="1"/>
  <c r="P77" i="4" l="1"/>
  <c r="K77" i="4"/>
  <c r="N77" i="4"/>
  <c r="H77" i="4"/>
  <c r="I77" i="4"/>
  <c r="G77" i="4"/>
  <c r="F77" i="4"/>
  <c r="M77" i="4" s="1"/>
  <c r="S77" i="4"/>
  <c r="Q77" i="4"/>
  <c r="T77" i="4" s="1"/>
  <c r="E78" i="4"/>
  <c r="O77" i="4"/>
  <c r="R77" i="4"/>
  <c r="J77" i="4"/>
  <c r="AF76" i="4"/>
  <c r="AI76" i="4" s="1"/>
  <c r="AE76" i="4"/>
  <c r="U77" i="4"/>
  <c r="Y76" i="4"/>
  <c r="X76" i="4"/>
  <c r="AA76" i="4"/>
  <c r="W76" i="4"/>
  <c r="AD76" i="4"/>
  <c r="V76" i="4"/>
  <c r="AB76" i="4" s="1"/>
  <c r="AC76" i="4"/>
  <c r="AH76" i="4"/>
  <c r="Z76" i="4"/>
  <c r="AG76" i="4"/>
  <c r="R77" i="1"/>
  <c r="N77" i="1"/>
  <c r="P77" i="1"/>
  <c r="Q77" i="1"/>
  <c r="T77" i="1" s="1"/>
  <c r="O77" i="1"/>
  <c r="E78" i="1"/>
  <c r="S78" i="1" s="1"/>
  <c r="I77" i="1"/>
  <c r="M77" i="1" s="1"/>
  <c r="F77" i="1"/>
  <c r="G77" i="1"/>
  <c r="K77" i="1"/>
  <c r="J77" i="1"/>
  <c r="H77" i="1"/>
  <c r="V78" i="1"/>
  <c r="AB78" i="1" s="1"/>
  <c r="W78" i="1"/>
  <c r="X78" i="1"/>
  <c r="Y78" i="1"/>
  <c r="Z78" i="1"/>
  <c r="AA78" i="1"/>
  <c r="U79" i="1"/>
  <c r="AE77" i="4" l="1"/>
  <c r="U78" i="4"/>
  <c r="AF77" i="4"/>
  <c r="AI77" i="4" s="1"/>
  <c r="W77" i="4"/>
  <c r="Y77" i="4"/>
  <c r="AD77" i="4"/>
  <c r="X77" i="4"/>
  <c r="AA77" i="4"/>
  <c r="V77" i="4"/>
  <c r="AH77" i="4"/>
  <c r="Z77" i="4"/>
  <c r="AG77" i="4"/>
  <c r="AC77" i="4"/>
  <c r="I78" i="4"/>
  <c r="M78" i="4" s="1"/>
  <c r="F78" i="4"/>
  <c r="H78" i="4"/>
  <c r="K78" i="4"/>
  <c r="Q78" i="4"/>
  <c r="T78" i="4" s="1"/>
  <c r="O78" i="4"/>
  <c r="S78" i="4"/>
  <c r="P78" i="4"/>
  <c r="G78" i="4"/>
  <c r="J78" i="4"/>
  <c r="N78" i="4"/>
  <c r="E79" i="4"/>
  <c r="R78" i="4"/>
  <c r="R78" i="1"/>
  <c r="N78" i="1"/>
  <c r="P78" i="1"/>
  <c r="O78" i="1"/>
  <c r="Q78" i="1"/>
  <c r="T78" i="1" s="1"/>
  <c r="E79" i="1"/>
  <c r="S79" i="1" s="1"/>
  <c r="K78" i="1"/>
  <c r="F78" i="1"/>
  <c r="H78" i="1"/>
  <c r="J78" i="1"/>
  <c r="G78" i="1"/>
  <c r="I78" i="1"/>
  <c r="M78" i="1" s="1"/>
  <c r="W79" i="1"/>
  <c r="X79" i="1"/>
  <c r="Y79" i="1"/>
  <c r="Z79" i="1"/>
  <c r="AA79" i="1"/>
  <c r="V79" i="1"/>
  <c r="AB79" i="1" s="1"/>
  <c r="U80" i="1"/>
  <c r="AB77" i="4" l="1"/>
  <c r="AH78" i="4"/>
  <c r="U79" i="4"/>
  <c r="AG78" i="4"/>
  <c r="Z78" i="4"/>
  <c r="AE78" i="4"/>
  <c r="AF78" i="4"/>
  <c r="AI78" i="4" s="1"/>
  <c r="AD78" i="4"/>
  <c r="AA78" i="4"/>
  <c r="AC78" i="4"/>
  <c r="Y78" i="4"/>
  <c r="X78" i="4"/>
  <c r="V78" i="4"/>
  <c r="W78" i="4"/>
  <c r="O79" i="4"/>
  <c r="R79" i="4"/>
  <c r="Q79" i="4"/>
  <c r="K79" i="4"/>
  <c r="S79" i="4"/>
  <c r="F79" i="4"/>
  <c r="M79" i="4" s="1"/>
  <c r="I79" i="4"/>
  <c r="N79" i="4"/>
  <c r="T79" i="4"/>
  <c r="P79" i="4"/>
  <c r="G79" i="4"/>
  <c r="E80" i="4"/>
  <c r="J79" i="4"/>
  <c r="H79" i="4"/>
  <c r="R79" i="1"/>
  <c r="Q79" i="1"/>
  <c r="T79" i="1" s="1"/>
  <c r="P79" i="1"/>
  <c r="O79" i="1"/>
  <c r="N79" i="1"/>
  <c r="E80" i="1"/>
  <c r="S80" i="1" s="1"/>
  <c r="I79" i="1"/>
  <c r="M79" i="1" s="1"/>
  <c r="J79" i="1"/>
  <c r="G79" i="1"/>
  <c r="F79" i="1"/>
  <c r="K79" i="1"/>
  <c r="H79" i="1"/>
  <c r="Y80" i="1"/>
  <c r="Z80" i="1"/>
  <c r="AA80" i="1"/>
  <c r="V80" i="1"/>
  <c r="AB80" i="1" s="1"/>
  <c r="W80" i="1"/>
  <c r="X80" i="1"/>
  <c r="U81" i="1"/>
  <c r="AB78" i="4" l="1"/>
  <c r="W79" i="4"/>
  <c r="Z79" i="4"/>
  <c r="AA79" i="4"/>
  <c r="AD79" i="4"/>
  <c r="AC79" i="4"/>
  <c r="AG79" i="4"/>
  <c r="U80" i="4"/>
  <c r="V79" i="4"/>
  <c r="Y79" i="4"/>
  <c r="AB79" i="4"/>
  <c r="AE79" i="4"/>
  <c r="AH79" i="4"/>
  <c r="AF79" i="4"/>
  <c r="AI79" i="4" s="1"/>
  <c r="X79" i="4"/>
  <c r="I80" i="4"/>
  <c r="M80" i="4" s="1"/>
  <c r="K80" i="4"/>
  <c r="J80" i="4"/>
  <c r="G80" i="4"/>
  <c r="Q80" i="4"/>
  <c r="S80" i="4"/>
  <c r="P80" i="4"/>
  <c r="E81" i="4"/>
  <c r="H80" i="4"/>
  <c r="O80" i="4"/>
  <c r="F80" i="4"/>
  <c r="N80" i="4"/>
  <c r="R80" i="4"/>
  <c r="T80" i="4"/>
  <c r="R80" i="1"/>
  <c r="Q80" i="1"/>
  <c r="T80" i="1" s="1"/>
  <c r="P80" i="1"/>
  <c r="O80" i="1"/>
  <c r="N80" i="1"/>
  <c r="E81" i="1"/>
  <c r="S81" i="1" s="1"/>
  <c r="I80" i="1"/>
  <c r="M80" i="1" s="1"/>
  <c r="F80" i="1"/>
  <c r="J80" i="1"/>
  <c r="K80" i="1"/>
  <c r="G80" i="1"/>
  <c r="H80" i="1"/>
  <c r="AA81" i="1"/>
  <c r="V81" i="1"/>
  <c r="AB81" i="1" s="1"/>
  <c r="W81" i="1"/>
  <c r="X81" i="1"/>
  <c r="Y81" i="1"/>
  <c r="Z81" i="1"/>
  <c r="U82" i="1"/>
  <c r="G81" i="4" l="1"/>
  <c r="J81" i="4"/>
  <c r="E82" i="4"/>
  <c r="O81" i="4"/>
  <c r="R81" i="4"/>
  <c r="K81" i="4"/>
  <c r="F81" i="4"/>
  <c r="M81" i="4"/>
  <c r="S81" i="4"/>
  <c r="N81" i="4"/>
  <c r="Q81" i="4"/>
  <c r="T81" i="4" s="1"/>
  <c r="P81" i="4"/>
  <c r="H81" i="4"/>
  <c r="I81" i="4"/>
  <c r="X80" i="4"/>
  <c r="AI80" i="4"/>
  <c r="U81" i="4"/>
  <c r="AD80" i="4"/>
  <c r="V80" i="4"/>
  <c r="AE80" i="4"/>
  <c r="AG80" i="4"/>
  <c r="AH80" i="4"/>
  <c r="AC80" i="4"/>
  <c r="AA80" i="4"/>
  <c r="Z80" i="4"/>
  <c r="AF80" i="4"/>
  <c r="Y80" i="4"/>
  <c r="AB80" i="4" s="1"/>
  <c r="W80" i="4"/>
  <c r="R81" i="1"/>
  <c r="Q81" i="1"/>
  <c r="T81" i="1" s="1"/>
  <c r="P81" i="1"/>
  <c r="O81" i="1"/>
  <c r="N81" i="1"/>
  <c r="E82" i="1"/>
  <c r="S82" i="1" s="1"/>
  <c r="J81" i="1"/>
  <c r="K81" i="1"/>
  <c r="G81" i="1"/>
  <c r="F81" i="1"/>
  <c r="I81" i="1"/>
  <c r="M81" i="1" s="1"/>
  <c r="H81" i="1"/>
  <c r="V82" i="1"/>
  <c r="AB82" i="1" s="1"/>
  <c r="W82" i="1"/>
  <c r="X82" i="1"/>
  <c r="Y82" i="1"/>
  <c r="Z82" i="1"/>
  <c r="AA82" i="1"/>
  <c r="U83" i="1"/>
  <c r="H82" i="4" l="1"/>
  <c r="G82" i="4"/>
  <c r="P82" i="4"/>
  <c r="N82" i="4"/>
  <c r="J82" i="4"/>
  <c r="I82" i="4"/>
  <c r="Q82" i="4"/>
  <c r="E83" i="4"/>
  <c r="S82" i="4"/>
  <c r="K82" i="4"/>
  <c r="O82" i="4"/>
  <c r="R82" i="4"/>
  <c r="F82" i="4"/>
  <c r="M82" i="4"/>
  <c r="T82" i="4"/>
  <c r="Z81" i="4"/>
  <c r="AC81" i="4"/>
  <c r="V81" i="4"/>
  <c r="AH81" i="4"/>
  <c r="AF81" i="4"/>
  <c r="AI81" i="4" s="1"/>
  <c r="Y81" i="4"/>
  <c r="AB81" i="4" s="1"/>
  <c r="U82" i="4"/>
  <c r="AD81" i="4"/>
  <c r="X81" i="4"/>
  <c r="AE81" i="4"/>
  <c r="W81" i="4"/>
  <c r="AA81" i="4"/>
  <c r="AG81" i="4"/>
  <c r="R82" i="1"/>
  <c r="Q82" i="1"/>
  <c r="T82" i="1" s="1"/>
  <c r="P82" i="1"/>
  <c r="N82" i="1"/>
  <c r="O82" i="1"/>
  <c r="E83" i="1"/>
  <c r="S83" i="1" s="1"/>
  <c r="J82" i="1"/>
  <c r="F82" i="1"/>
  <c r="K82" i="1"/>
  <c r="H82" i="1"/>
  <c r="G82" i="1"/>
  <c r="I82" i="1"/>
  <c r="M82" i="1" s="1"/>
  <c r="W83" i="1"/>
  <c r="X83" i="1"/>
  <c r="Y83" i="1"/>
  <c r="Z83" i="1"/>
  <c r="AA83" i="1"/>
  <c r="V83" i="1"/>
  <c r="AB83" i="1" s="1"/>
  <c r="U84" i="1"/>
  <c r="O83" i="4" l="1"/>
  <c r="I83" i="4"/>
  <c r="Q83" i="4"/>
  <c r="J83" i="4"/>
  <c r="F83" i="4"/>
  <c r="K83" i="4"/>
  <c r="N83" i="4"/>
  <c r="T83" i="4" s="1"/>
  <c r="M83" i="4"/>
  <c r="R83" i="4"/>
  <c r="E84" i="4"/>
  <c r="H83" i="4"/>
  <c r="S83" i="4"/>
  <c r="P83" i="4"/>
  <c r="G83" i="4"/>
  <c r="Z82" i="4"/>
  <c r="U83" i="4"/>
  <c r="AG82" i="4"/>
  <c r="AA82" i="4"/>
  <c r="AH82" i="4"/>
  <c r="Y82" i="4"/>
  <c r="AB82" i="4" s="1"/>
  <c r="AD82" i="4"/>
  <c r="AF82" i="4"/>
  <c r="AI82" i="4" s="1"/>
  <c r="X82" i="4"/>
  <c r="W82" i="4"/>
  <c r="V82" i="4"/>
  <c r="AE82" i="4"/>
  <c r="AC82" i="4"/>
  <c r="Q83" i="1"/>
  <c r="T83" i="1" s="1"/>
  <c r="R83" i="1"/>
  <c r="N83" i="1"/>
  <c r="P83" i="1"/>
  <c r="O83" i="1"/>
  <c r="E84" i="1"/>
  <c r="S84" i="1" s="1"/>
  <c r="J83" i="1"/>
  <c r="G83" i="1"/>
  <c r="F83" i="1"/>
  <c r="H83" i="1"/>
  <c r="K83" i="1"/>
  <c r="I83" i="1"/>
  <c r="M83" i="1" s="1"/>
  <c r="Y84" i="1"/>
  <c r="Z84" i="1"/>
  <c r="AA84" i="1"/>
  <c r="V84" i="1"/>
  <c r="AB84" i="1" s="1"/>
  <c r="W84" i="1"/>
  <c r="X84" i="1"/>
  <c r="U85" i="1"/>
  <c r="V83" i="4" l="1"/>
  <c r="AC83" i="4"/>
  <c r="U84" i="4"/>
  <c r="AG83" i="4"/>
  <c r="AB83" i="4"/>
  <c r="Y83" i="4"/>
  <c r="AH83" i="4"/>
  <c r="W83" i="4"/>
  <c r="AD83" i="4"/>
  <c r="AF83" i="4"/>
  <c r="AI83" i="4"/>
  <c r="AA83" i="4"/>
  <c r="AE83" i="4"/>
  <c r="Z83" i="4"/>
  <c r="X83" i="4"/>
  <c r="H84" i="4"/>
  <c r="S84" i="4"/>
  <c r="E85" i="4"/>
  <c r="K84" i="4"/>
  <c r="F84" i="4"/>
  <c r="P84" i="4"/>
  <c r="O84" i="4"/>
  <c r="J84" i="4"/>
  <c r="G84" i="4"/>
  <c r="Q84" i="4"/>
  <c r="N84" i="4"/>
  <c r="T84" i="4" s="1"/>
  <c r="R84" i="4"/>
  <c r="I84" i="4"/>
  <c r="M84" i="4" s="1"/>
  <c r="R84" i="1"/>
  <c r="Q84" i="1"/>
  <c r="T84" i="1" s="1"/>
  <c r="N84" i="1"/>
  <c r="P84" i="1"/>
  <c r="O84" i="1"/>
  <c r="E85" i="1"/>
  <c r="S85" i="1" s="1"/>
  <c r="J84" i="1"/>
  <c r="G84" i="1"/>
  <c r="F84" i="1"/>
  <c r="H84" i="1"/>
  <c r="K84" i="1"/>
  <c r="I84" i="1"/>
  <c r="M84" i="1" s="1"/>
  <c r="AA85" i="1"/>
  <c r="V85" i="1"/>
  <c r="AB85" i="1" s="1"/>
  <c r="W85" i="1"/>
  <c r="X85" i="1"/>
  <c r="Y85" i="1"/>
  <c r="Z85" i="1"/>
  <c r="U86" i="1"/>
  <c r="AF84" i="4" l="1"/>
  <c r="AI84" i="4" s="1"/>
  <c r="U85" i="4"/>
  <c r="X84" i="4"/>
  <c r="AG84" i="4"/>
  <c r="AD84" i="4"/>
  <c r="Z84" i="4"/>
  <c r="AE84" i="4"/>
  <c r="V84" i="4"/>
  <c r="AB84" i="4" s="1"/>
  <c r="AH84" i="4"/>
  <c r="AC84" i="4"/>
  <c r="AA84" i="4"/>
  <c r="W84" i="4"/>
  <c r="Y84" i="4"/>
  <c r="G85" i="4"/>
  <c r="E86" i="4"/>
  <c r="O85" i="4"/>
  <c r="K85" i="4"/>
  <c r="F85" i="4"/>
  <c r="S85" i="4"/>
  <c r="N85" i="4"/>
  <c r="J85" i="4"/>
  <c r="Q85" i="4"/>
  <c r="T85" i="4" s="1"/>
  <c r="P85" i="4"/>
  <c r="R85" i="4"/>
  <c r="H85" i="4"/>
  <c r="I85" i="4"/>
  <c r="Q85" i="1"/>
  <c r="T85" i="1" s="1"/>
  <c r="R85" i="1"/>
  <c r="P85" i="1"/>
  <c r="N85" i="1"/>
  <c r="O85" i="1"/>
  <c r="E86" i="1"/>
  <c r="S86" i="1" s="1"/>
  <c r="I85" i="1"/>
  <c r="M85" i="1" s="1"/>
  <c r="F85" i="1"/>
  <c r="G85" i="1"/>
  <c r="K85" i="1"/>
  <c r="J85" i="1"/>
  <c r="H85" i="1"/>
  <c r="V86" i="1"/>
  <c r="AB86" i="1" s="1"/>
  <c r="W86" i="1"/>
  <c r="X86" i="1"/>
  <c r="Y86" i="1"/>
  <c r="Z86" i="1"/>
  <c r="AA86" i="1"/>
  <c r="U87" i="1"/>
  <c r="M85" i="4" l="1"/>
  <c r="R86" i="4"/>
  <c r="S86" i="4"/>
  <c r="I86" i="4"/>
  <c r="O86" i="4"/>
  <c r="E87" i="4"/>
  <c r="Q86" i="4"/>
  <c r="T86" i="4" s="1"/>
  <c r="K86" i="4"/>
  <c r="F86" i="4"/>
  <c r="H86" i="4"/>
  <c r="P86" i="4"/>
  <c r="N86" i="4"/>
  <c r="G86" i="4"/>
  <c r="J86" i="4"/>
  <c r="X85" i="4"/>
  <c r="AE85" i="4"/>
  <c r="U86" i="4"/>
  <c r="AH85" i="4"/>
  <c r="W85" i="4"/>
  <c r="AD85" i="4"/>
  <c r="AG85" i="4"/>
  <c r="AC85" i="4"/>
  <c r="AF85" i="4"/>
  <c r="AI85" i="4" s="1"/>
  <c r="Y85" i="4"/>
  <c r="AA85" i="4"/>
  <c r="V85" i="4"/>
  <c r="Z85" i="4"/>
  <c r="R86" i="1"/>
  <c r="Q86" i="1"/>
  <c r="T86" i="1" s="1"/>
  <c r="O86" i="1"/>
  <c r="N86" i="1"/>
  <c r="P86" i="1"/>
  <c r="E87" i="1"/>
  <c r="S87" i="1" s="1"/>
  <c r="K86" i="1"/>
  <c r="I86" i="1"/>
  <c r="M86" i="1" s="1"/>
  <c r="F86" i="1"/>
  <c r="G86" i="1"/>
  <c r="H86" i="1"/>
  <c r="J86" i="1"/>
  <c r="W87" i="1"/>
  <c r="X87" i="1"/>
  <c r="Y87" i="1"/>
  <c r="Z87" i="1"/>
  <c r="AA87" i="1"/>
  <c r="V87" i="1"/>
  <c r="AB87" i="1" s="1"/>
  <c r="U88" i="1"/>
  <c r="AB85" i="4" l="1"/>
  <c r="N87" i="4"/>
  <c r="E88" i="4"/>
  <c r="O87" i="4"/>
  <c r="H87" i="4"/>
  <c r="G87" i="4"/>
  <c r="I87" i="4"/>
  <c r="T87" i="4"/>
  <c r="Q87" i="4"/>
  <c r="S87" i="4"/>
  <c r="K87" i="4"/>
  <c r="P87" i="4"/>
  <c r="J87" i="4"/>
  <c r="R87" i="4"/>
  <c r="F87" i="4"/>
  <c r="M87" i="4" s="1"/>
  <c r="AG86" i="4"/>
  <c r="Y86" i="4"/>
  <c r="AF86" i="4"/>
  <c r="AI86" i="4" s="1"/>
  <c r="AC86" i="4"/>
  <c r="W86" i="4"/>
  <c r="Z86" i="4"/>
  <c r="AH86" i="4"/>
  <c r="AD86" i="4"/>
  <c r="X86" i="4"/>
  <c r="AE86" i="4"/>
  <c r="V86" i="4"/>
  <c r="AA86" i="4"/>
  <c r="U87" i="4"/>
  <c r="M86" i="4"/>
  <c r="Q87" i="1"/>
  <c r="T87" i="1" s="1"/>
  <c r="R87" i="1"/>
  <c r="P87" i="1"/>
  <c r="O87" i="1"/>
  <c r="N87" i="1"/>
  <c r="E88" i="1"/>
  <c r="S88" i="1" s="1"/>
  <c r="J87" i="1"/>
  <c r="K87" i="1"/>
  <c r="H87" i="1"/>
  <c r="G87" i="1"/>
  <c r="F87" i="1"/>
  <c r="I87" i="1"/>
  <c r="M87" i="1" s="1"/>
  <c r="Y88" i="1"/>
  <c r="Z88" i="1"/>
  <c r="AA88" i="1"/>
  <c r="V88" i="1"/>
  <c r="AB88" i="1" s="1"/>
  <c r="W88" i="1"/>
  <c r="X88" i="1"/>
  <c r="U89" i="1"/>
  <c r="W87" i="4" l="1"/>
  <c r="Z87" i="4"/>
  <c r="AD87" i="4"/>
  <c r="AG87" i="4"/>
  <c r="Y87" i="4"/>
  <c r="AB87" i="4" s="1"/>
  <c r="AI87" i="4"/>
  <c r="AE87" i="4"/>
  <c r="V87" i="4"/>
  <c r="AC87" i="4"/>
  <c r="U88" i="4"/>
  <c r="X87" i="4"/>
  <c r="AA87" i="4"/>
  <c r="AF87" i="4"/>
  <c r="AH87" i="4"/>
  <c r="I88" i="4"/>
  <c r="M88" i="4" s="1"/>
  <c r="K88" i="4"/>
  <c r="F88" i="4"/>
  <c r="G88" i="4"/>
  <c r="Q88" i="4"/>
  <c r="O88" i="4"/>
  <c r="H88" i="4"/>
  <c r="J88" i="4"/>
  <c r="P88" i="4"/>
  <c r="S88" i="4"/>
  <c r="N88" i="4"/>
  <c r="E89" i="4"/>
  <c r="R88" i="4"/>
  <c r="T88" i="4"/>
  <c r="AB86" i="4"/>
  <c r="R88" i="1"/>
  <c r="Q88" i="1"/>
  <c r="T88" i="1" s="1"/>
  <c r="P88" i="1"/>
  <c r="O88" i="1"/>
  <c r="N88" i="1"/>
  <c r="E89" i="1"/>
  <c r="S89" i="1" s="1"/>
  <c r="J88" i="1"/>
  <c r="K88" i="1"/>
  <c r="G88" i="1"/>
  <c r="H88" i="1"/>
  <c r="F88" i="1"/>
  <c r="I88" i="1"/>
  <c r="M88" i="1" s="1"/>
  <c r="AA89" i="1"/>
  <c r="V89" i="1"/>
  <c r="AB89" i="1" s="1"/>
  <c r="W89" i="1"/>
  <c r="X89" i="1"/>
  <c r="Y89" i="1"/>
  <c r="Z89" i="1"/>
  <c r="U90" i="1"/>
  <c r="Y88" i="4" l="1"/>
  <c r="W88" i="4"/>
  <c r="X88" i="4"/>
  <c r="AH88" i="4"/>
  <c r="AF88" i="4"/>
  <c r="AI88" i="4" s="1"/>
  <c r="U89" i="4"/>
  <c r="AA88" i="4"/>
  <c r="AD88" i="4"/>
  <c r="V88" i="4"/>
  <c r="AE88" i="4"/>
  <c r="AG88" i="4"/>
  <c r="AC88" i="4"/>
  <c r="Z88" i="4"/>
  <c r="P89" i="4"/>
  <c r="O89" i="4"/>
  <c r="S89" i="4"/>
  <c r="J89" i="4"/>
  <c r="G89" i="4"/>
  <c r="I89" i="4"/>
  <c r="E90" i="4"/>
  <c r="Q89" i="4"/>
  <c r="T89" i="4" s="1"/>
  <c r="R89" i="4"/>
  <c r="K89" i="4"/>
  <c r="F89" i="4"/>
  <c r="M89" i="4" s="1"/>
  <c r="N89" i="4"/>
  <c r="H89" i="4"/>
  <c r="R89" i="1"/>
  <c r="P89" i="1"/>
  <c r="O89" i="1"/>
  <c r="Q89" i="1"/>
  <c r="T89" i="1" s="1"/>
  <c r="N89" i="1"/>
  <c r="E90" i="1"/>
  <c r="S90" i="1" s="1"/>
  <c r="J89" i="1"/>
  <c r="F89" i="1"/>
  <c r="G89" i="1"/>
  <c r="K89" i="1"/>
  <c r="H89" i="1"/>
  <c r="I89" i="1"/>
  <c r="M89" i="1" s="1"/>
  <c r="V90" i="1"/>
  <c r="AB90" i="1" s="1"/>
  <c r="W90" i="1"/>
  <c r="X90" i="1"/>
  <c r="Y90" i="1"/>
  <c r="Z90" i="1"/>
  <c r="AA90" i="1"/>
  <c r="U91" i="1"/>
  <c r="AF89" i="4" l="1"/>
  <c r="AI89" i="4" s="1"/>
  <c r="Y89" i="4"/>
  <c r="AB89" i="4" s="1"/>
  <c r="X89" i="4"/>
  <c r="AE89" i="4"/>
  <c r="W89" i="4"/>
  <c r="U90" i="4"/>
  <c r="AD89" i="4"/>
  <c r="AA89" i="4"/>
  <c r="V89" i="4"/>
  <c r="AH89" i="4"/>
  <c r="AG89" i="4"/>
  <c r="AC89" i="4"/>
  <c r="Z89" i="4"/>
  <c r="P90" i="4"/>
  <c r="N90" i="4"/>
  <c r="G90" i="4"/>
  <c r="E91" i="4"/>
  <c r="S90" i="4"/>
  <c r="K90" i="4"/>
  <c r="O90" i="4"/>
  <c r="R90" i="4"/>
  <c r="J90" i="4"/>
  <c r="H90" i="4"/>
  <c r="I90" i="4"/>
  <c r="Q90" i="4"/>
  <c r="F90" i="4"/>
  <c r="T90" i="4"/>
  <c r="AB88" i="4"/>
  <c r="R90" i="1"/>
  <c r="O90" i="1"/>
  <c r="N90" i="1"/>
  <c r="Q90" i="1"/>
  <c r="T90" i="1" s="1"/>
  <c r="P90" i="1"/>
  <c r="E91" i="1"/>
  <c r="S91" i="1" s="1"/>
  <c r="I90" i="1"/>
  <c r="M90" i="1" s="1"/>
  <c r="K90" i="1"/>
  <c r="J90" i="1"/>
  <c r="G90" i="1"/>
  <c r="F90" i="1"/>
  <c r="H90" i="1"/>
  <c r="W91" i="1"/>
  <c r="X91" i="1"/>
  <c r="Y91" i="1"/>
  <c r="Z91" i="1"/>
  <c r="AA91" i="1"/>
  <c r="V91" i="1"/>
  <c r="AB91" i="1" s="1"/>
  <c r="U92" i="1"/>
  <c r="M90" i="4" l="1"/>
  <c r="AG90" i="4"/>
  <c r="Y90" i="4"/>
  <c r="X90" i="4"/>
  <c r="U91" i="4"/>
  <c r="AD90" i="4"/>
  <c r="V90" i="4"/>
  <c r="AF90" i="4"/>
  <c r="AI90" i="4" s="1"/>
  <c r="AH90" i="4"/>
  <c r="W90" i="4"/>
  <c r="AE90" i="4"/>
  <c r="AA90" i="4"/>
  <c r="AC90" i="4"/>
  <c r="Z90" i="4"/>
  <c r="N91" i="4"/>
  <c r="Q91" i="4"/>
  <c r="T91" i="4" s="1"/>
  <c r="E92" i="4"/>
  <c r="O91" i="4"/>
  <c r="H91" i="4"/>
  <c r="K91" i="4"/>
  <c r="S91" i="4"/>
  <c r="P91" i="4"/>
  <c r="G91" i="4"/>
  <c r="J91" i="4"/>
  <c r="F91" i="4"/>
  <c r="M91" i="4" s="1"/>
  <c r="I91" i="4"/>
  <c r="R91" i="4"/>
  <c r="R91" i="1"/>
  <c r="Q91" i="1"/>
  <c r="T91" i="1" s="1"/>
  <c r="P91" i="1"/>
  <c r="O91" i="1"/>
  <c r="N91" i="1"/>
  <c r="E92" i="1"/>
  <c r="S92" i="1" s="1"/>
  <c r="F91" i="1"/>
  <c r="G91" i="1"/>
  <c r="I91" i="1"/>
  <c r="M91" i="1" s="1"/>
  <c r="K91" i="1"/>
  <c r="H91" i="1"/>
  <c r="J91" i="1"/>
  <c r="Y92" i="1"/>
  <c r="Z92" i="1"/>
  <c r="AA92" i="1"/>
  <c r="V92" i="1"/>
  <c r="AB92" i="1" s="1"/>
  <c r="W92" i="1"/>
  <c r="X92" i="1"/>
  <c r="U93" i="1"/>
  <c r="V91" i="4" l="1"/>
  <c r="AC91" i="4"/>
  <c r="U92" i="4"/>
  <c r="Y91" i="4"/>
  <c r="AB91" i="4" s="1"/>
  <c r="AF91" i="4"/>
  <c r="AI91" i="4"/>
  <c r="AA91" i="4"/>
  <c r="AE91" i="4"/>
  <c r="W91" i="4"/>
  <c r="AD91" i="4"/>
  <c r="X91" i="4"/>
  <c r="AH91" i="4"/>
  <c r="Z91" i="4"/>
  <c r="AG91" i="4"/>
  <c r="H92" i="4"/>
  <c r="O92" i="4"/>
  <c r="P92" i="4"/>
  <c r="J92" i="4"/>
  <c r="G92" i="4"/>
  <c r="F92" i="4"/>
  <c r="M92" i="4"/>
  <c r="R92" i="4"/>
  <c r="S92" i="4"/>
  <c r="N92" i="4"/>
  <c r="I92" i="4"/>
  <c r="E93" i="4"/>
  <c r="K92" i="4"/>
  <c r="Q92" i="4"/>
  <c r="T92" i="4"/>
  <c r="AB90" i="4"/>
  <c r="R92" i="1"/>
  <c r="Q92" i="1"/>
  <c r="T92" i="1" s="1"/>
  <c r="P92" i="1"/>
  <c r="O92" i="1"/>
  <c r="N92" i="1"/>
  <c r="E93" i="1"/>
  <c r="S93" i="1" s="1"/>
  <c r="F92" i="1"/>
  <c r="J92" i="1"/>
  <c r="H92" i="1"/>
  <c r="K92" i="1"/>
  <c r="G92" i="1"/>
  <c r="I92" i="1"/>
  <c r="M92" i="1" s="1"/>
  <c r="AA93" i="1"/>
  <c r="V93" i="1"/>
  <c r="AB93" i="1" s="1"/>
  <c r="W93" i="1"/>
  <c r="X93" i="1"/>
  <c r="Y93" i="1"/>
  <c r="Z93" i="1"/>
  <c r="U94" i="1"/>
  <c r="Y92" i="4" l="1"/>
  <c r="AE92" i="4"/>
  <c r="X92" i="4"/>
  <c r="AH92" i="4"/>
  <c r="Z92" i="4"/>
  <c r="U93" i="4"/>
  <c r="AF92" i="4"/>
  <c r="AI92" i="4" s="1"/>
  <c r="AA92" i="4"/>
  <c r="AC92" i="4"/>
  <c r="AD92" i="4"/>
  <c r="V92" i="4"/>
  <c r="W92" i="4"/>
  <c r="AG92" i="4"/>
  <c r="P93" i="4"/>
  <c r="E94" i="4"/>
  <c r="O93" i="4"/>
  <c r="F93" i="4"/>
  <c r="Q93" i="4"/>
  <c r="T93" i="4" s="1"/>
  <c r="M93" i="4"/>
  <c r="G93" i="4"/>
  <c r="K93" i="4"/>
  <c r="H93" i="4"/>
  <c r="R93" i="4"/>
  <c r="J93" i="4"/>
  <c r="S93" i="4"/>
  <c r="N93" i="4"/>
  <c r="I93" i="4"/>
  <c r="R93" i="1"/>
  <c r="Q93" i="1"/>
  <c r="T93" i="1" s="1"/>
  <c r="P93" i="1"/>
  <c r="N93" i="1"/>
  <c r="O93" i="1"/>
  <c r="E94" i="1"/>
  <c r="S94" i="1" s="1"/>
  <c r="H93" i="1"/>
  <c r="F93" i="1"/>
  <c r="I93" i="1"/>
  <c r="M93" i="1" s="1"/>
  <c r="J93" i="1"/>
  <c r="G93" i="1"/>
  <c r="K93" i="1"/>
  <c r="V94" i="1"/>
  <c r="AB94" i="1" s="1"/>
  <c r="W94" i="1"/>
  <c r="X94" i="1"/>
  <c r="Y94" i="1"/>
  <c r="Z94" i="1"/>
  <c r="AA94" i="1"/>
  <c r="U95" i="1"/>
  <c r="AE93" i="4" l="1"/>
  <c r="W93" i="4"/>
  <c r="Z93" i="4"/>
  <c r="AF93" i="4"/>
  <c r="AI93" i="4" s="1"/>
  <c r="U94" i="4"/>
  <c r="AD93" i="4"/>
  <c r="Y93" i="4"/>
  <c r="AA93" i="4"/>
  <c r="V93" i="4"/>
  <c r="AH93" i="4"/>
  <c r="AG93" i="4"/>
  <c r="AC93" i="4"/>
  <c r="X93" i="4"/>
  <c r="Q94" i="4"/>
  <c r="T94" i="4" s="1"/>
  <c r="H94" i="4"/>
  <c r="S94" i="4"/>
  <c r="K94" i="4"/>
  <c r="R94" i="4"/>
  <c r="F94" i="4"/>
  <c r="P94" i="4"/>
  <c r="J94" i="4"/>
  <c r="N94" i="4"/>
  <c r="G94" i="4"/>
  <c r="O94" i="4"/>
  <c r="I94" i="4"/>
  <c r="E95" i="4"/>
  <c r="AB92" i="4"/>
  <c r="R94" i="1"/>
  <c r="P94" i="1"/>
  <c r="N94" i="1"/>
  <c r="Q94" i="1"/>
  <c r="T94" i="1" s="1"/>
  <c r="O94" i="1"/>
  <c r="E95" i="1"/>
  <c r="S95" i="1" s="1"/>
  <c r="K94" i="1"/>
  <c r="H94" i="1"/>
  <c r="F94" i="1"/>
  <c r="I94" i="1"/>
  <c r="M94" i="1" s="1"/>
  <c r="G94" i="1"/>
  <c r="J94" i="1"/>
  <c r="W95" i="1"/>
  <c r="X95" i="1"/>
  <c r="Y95" i="1"/>
  <c r="Z95" i="1"/>
  <c r="AA95" i="1"/>
  <c r="V95" i="1"/>
  <c r="AB95" i="1" s="1"/>
  <c r="U96" i="1"/>
  <c r="M94" i="4" l="1"/>
  <c r="AB93" i="4"/>
  <c r="F95" i="4"/>
  <c r="I95" i="4"/>
  <c r="N95" i="4"/>
  <c r="Q95" i="4"/>
  <c r="P95" i="4"/>
  <c r="O95" i="4"/>
  <c r="R95" i="4"/>
  <c r="S95" i="4"/>
  <c r="E96" i="4"/>
  <c r="M95" i="4"/>
  <c r="G95" i="4"/>
  <c r="T95" i="4"/>
  <c r="H95" i="4"/>
  <c r="K95" i="4"/>
  <c r="J95" i="4"/>
  <c r="Z94" i="4"/>
  <c r="AE94" i="4"/>
  <c r="AG94" i="4"/>
  <c r="V94" i="4"/>
  <c r="AA94" i="4"/>
  <c r="Y94" i="4"/>
  <c r="AB94" i="4" s="1"/>
  <c r="AD94" i="4"/>
  <c r="W94" i="4"/>
  <c r="AH94" i="4"/>
  <c r="AF94" i="4"/>
  <c r="AI94" i="4" s="1"/>
  <c r="X94" i="4"/>
  <c r="U95" i="4"/>
  <c r="AC94" i="4"/>
  <c r="P95" i="1"/>
  <c r="O95" i="1"/>
  <c r="N95" i="1"/>
  <c r="R95" i="1"/>
  <c r="Q95" i="1"/>
  <c r="T95" i="1" s="1"/>
  <c r="E96" i="1"/>
  <c r="J95" i="1"/>
  <c r="K95" i="1"/>
  <c r="H95" i="1"/>
  <c r="F95" i="1"/>
  <c r="G95" i="1"/>
  <c r="I95" i="1"/>
  <c r="M95" i="1" s="1"/>
  <c r="Y96" i="1"/>
  <c r="Z96" i="1"/>
  <c r="AA96" i="1"/>
  <c r="V96" i="1"/>
  <c r="AB96" i="1" s="1"/>
  <c r="W96" i="1"/>
  <c r="X96" i="1"/>
  <c r="U97" i="1"/>
  <c r="W95" i="4" l="1"/>
  <c r="Z95" i="4"/>
  <c r="Y95" i="4"/>
  <c r="AD95" i="4"/>
  <c r="AC95" i="4"/>
  <c r="V95" i="4"/>
  <c r="AB95" i="4" s="1"/>
  <c r="AG95" i="4"/>
  <c r="U96" i="4"/>
  <c r="AF95" i="4"/>
  <c r="AH95" i="4"/>
  <c r="AA95" i="4"/>
  <c r="AE95" i="4"/>
  <c r="AI95" i="4"/>
  <c r="X95" i="4"/>
  <c r="I96" i="4"/>
  <c r="M96" i="4" s="1"/>
  <c r="K96" i="4"/>
  <c r="O96" i="4"/>
  <c r="F96" i="4"/>
  <c r="E97" i="4"/>
  <c r="Q96" i="4"/>
  <c r="S96" i="4"/>
  <c r="H96" i="4"/>
  <c r="J96" i="4"/>
  <c r="R96" i="4"/>
  <c r="P96" i="4"/>
  <c r="G96" i="4"/>
  <c r="N96" i="4"/>
  <c r="T96" i="4"/>
  <c r="T96" i="1"/>
  <c r="S96" i="1"/>
  <c r="R96" i="1"/>
  <c r="O96" i="1"/>
  <c r="Q96" i="1"/>
  <c r="P96" i="1"/>
  <c r="N96" i="1"/>
  <c r="E97" i="1"/>
  <c r="I96" i="1"/>
  <c r="M96" i="1" s="1"/>
  <c r="J96" i="1"/>
  <c r="K96" i="1"/>
  <c r="F96" i="1"/>
  <c r="G96" i="1"/>
  <c r="H96" i="1"/>
  <c r="AA97" i="1"/>
  <c r="V97" i="1"/>
  <c r="AB97" i="1" s="1"/>
  <c r="W97" i="1"/>
  <c r="X97" i="1"/>
  <c r="Y97" i="1"/>
  <c r="Z97" i="1"/>
  <c r="U98" i="1"/>
  <c r="G97" i="4" l="1"/>
  <c r="J97" i="4"/>
  <c r="E98" i="4"/>
  <c r="O97" i="4"/>
  <c r="K97" i="4"/>
  <c r="F97" i="4"/>
  <c r="M97" i="4" s="1"/>
  <c r="S97" i="4"/>
  <c r="N97" i="4"/>
  <c r="H97" i="4"/>
  <c r="I97" i="4"/>
  <c r="P97" i="4"/>
  <c r="Q97" i="4"/>
  <c r="T97" i="4" s="1"/>
  <c r="R97" i="4"/>
  <c r="X96" i="4"/>
  <c r="AI96" i="4"/>
  <c r="Z96" i="4"/>
  <c r="Y96" i="4"/>
  <c r="AF96" i="4"/>
  <c r="AD96" i="4"/>
  <c r="V96" i="4"/>
  <c r="W96" i="4"/>
  <c r="AH96" i="4"/>
  <c r="AC96" i="4"/>
  <c r="AE96" i="4"/>
  <c r="AG96" i="4"/>
  <c r="AA96" i="4"/>
  <c r="U97" i="4"/>
  <c r="S97" i="1"/>
  <c r="T97" i="1"/>
  <c r="P97" i="1"/>
  <c r="O97" i="1"/>
  <c r="R97" i="1"/>
  <c r="Q97" i="1"/>
  <c r="N97" i="1"/>
  <c r="E98" i="1"/>
  <c r="K97" i="1"/>
  <c r="H97" i="1"/>
  <c r="F97" i="1"/>
  <c r="I97" i="1"/>
  <c r="M97" i="1" s="1"/>
  <c r="G97" i="1"/>
  <c r="J97" i="1"/>
  <c r="V98" i="1"/>
  <c r="AB98" i="1" s="1"/>
  <c r="W98" i="1"/>
  <c r="X98" i="1"/>
  <c r="Y98" i="1"/>
  <c r="Z98" i="1"/>
  <c r="AA98" i="1"/>
  <c r="U99" i="1"/>
  <c r="X97" i="4" l="1"/>
  <c r="AE97" i="4"/>
  <c r="AG97" i="4"/>
  <c r="AC97" i="4"/>
  <c r="AF97" i="4"/>
  <c r="Y97" i="4"/>
  <c r="U98" i="4"/>
  <c r="W97" i="4"/>
  <c r="AH97" i="4"/>
  <c r="Z97" i="4"/>
  <c r="AI97" i="4"/>
  <c r="AD97" i="4"/>
  <c r="AA97" i="4"/>
  <c r="V97" i="4"/>
  <c r="AB97" i="4" s="1"/>
  <c r="I98" i="4"/>
  <c r="F98" i="4"/>
  <c r="M98" i="4" s="1"/>
  <c r="Q98" i="4"/>
  <c r="T98" i="4" s="1"/>
  <c r="O98" i="4"/>
  <c r="H98" i="4"/>
  <c r="R98" i="4"/>
  <c r="P98" i="4"/>
  <c r="N98" i="4"/>
  <c r="G98" i="4"/>
  <c r="E99" i="4"/>
  <c r="S98" i="4"/>
  <c r="K98" i="4"/>
  <c r="J98" i="4"/>
  <c r="AB96" i="4"/>
  <c r="S98" i="1"/>
  <c r="T98" i="1"/>
  <c r="R98" i="1"/>
  <c r="Q98" i="1"/>
  <c r="P98" i="1"/>
  <c r="O98" i="1"/>
  <c r="N98" i="1"/>
  <c r="E99" i="1"/>
  <c r="J98" i="1"/>
  <c r="I98" i="1"/>
  <c r="M98" i="1" s="1"/>
  <c r="K98" i="1"/>
  <c r="F98" i="1"/>
  <c r="G98" i="1"/>
  <c r="H98" i="1"/>
  <c r="W99" i="1"/>
  <c r="X99" i="1"/>
  <c r="Y99" i="1"/>
  <c r="Z99" i="1"/>
  <c r="AA99" i="1"/>
  <c r="V99" i="1"/>
  <c r="AB99" i="1" s="1"/>
  <c r="U100" i="1"/>
  <c r="AG98" i="4" l="1"/>
  <c r="Z98" i="4"/>
  <c r="Y98" i="4"/>
  <c r="V98" i="4"/>
  <c r="AF98" i="4"/>
  <c r="AI98" i="4" s="1"/>
  <c r="W98" i="4"/>
  <c r="AD98" i="4"/>
  <c r="X98" i="4"/>
  <c r="AH98" i="4"/>
  <c r="U99" i="4"/>
  <c r="AE98" i="4"/>
  <c r="AC98" i="4"/>
  <c r="AA98" i="4"/>
  <c r="N99" i="4"/>
  <c r="Q99" i="4"/>
  <c r="S99" i="4"/>
  <c r="F99" i="4"/>
  <c r="E100" i="4"/>
  <c r="O99" i="4"/>
  <c r="T99" i="4"/>
  <c r="H99" i="4"/>
  <c r="P99" i="4"/>
  <c r="I99" i="4"/>
  <c r="M99" i="4" s="1"/>
  <c r="K99" i="4"/>
  <c r="R99" i="4"/>
  <c r="G99" i="4"/>
  <c r="J99" i="4"/>
  <c r="S99" i="1"/>
  <c r="T99" i="1"/>
  <c r="Q99" i="1"/>
  <c r="P99" i="1"/>
  <c r="R99" i="1"/>
  <c r="N99" i="1"/>
  <c r="O99" i="1"/>
  <c r="E100" i="1"/>
  <c r="H99" i="1"/>
  <c r="F99" i="1"/>
  <c r="G99" i="1"/>
  <c r="I99" i="1"/>
  <c r="M99" i="1" s="1"/>
  <c r="J99" i="1"/>
  <c r="K99" i="1"/>
  <c r="Y100" i="1"/>
  <c r="Z100" i="1"/>
  <c r="AA100" i="1"/>
  <c r="V100" i="1"/>
  <c r="AB100" i="1" s="1"/>
  <c r="W100" i="1"/>
  <c r="X100" i="1"/>
  <c r="U101" i="1"/>
  <c r="AB98" i="4" l="1"/>
  <c r="I100" i="4"/>
  <c r="K100" i="4"/>
  <c r="S100" i="4"/>
  <c r="J100" i="4"/>
  <c r="N100" i="4"/>
  <c r="M100" i="4"/>
  <c r="Q100" i="4"/>
  <c r="F100" i="4"/>
  <c r="H100" i="4"/>
  <c r="P100" i="4"/>
  <c r="O100" i="4"/>
  <c r="G100" i="4"/>
  <c r="E101" i="4"/>
  <c r="R100" i="4"/>
  <c r="T100" i="4"/>
  <c r="W99" i="4"/>
  <c r="Z99" i="4"/>
  <c r="Y99" i="4"/>
  <c r="AB99" i="4" s="1"/>
  <c r="AI99" i="4"/>
  <c r="X99" i="4"/>
  <c r="AA99" i="4"/>
  <c r="AE99" i="4"/>
  <c r="AD99" i="4"/>
  <c r="AG99" i="4"/>
  <c r="V99" i="4"/>
  <c r="AC99" i="4"/>
  <c r="U100" i="4"/>
  <c r="AF99" i="4"/>
  <c r="AH99" i="4"/>
  <c r="S100" i="1"/>
  <c r="T100" i="1"/>
  <c r="R100" i="1"/>
  <c r="Q100" i="1"/>
  <c r="P100" i="1"/>
  <c r="O100" i="1"/>
  <c r="N100" i="1"/>
  <c r="E101" i="1"/>
  <c r="I100" i="1"/>
  <c r="M100" i="1" s="1"/>
  <c r="F100" i="1"/>
  <c r="G100" i="1"/>
  <c r="J100" i="1"/>
  <c r="K100" i="1"/>
  <c r="H100" i="1"/>
  <c r="AA101" i="1"/>
  <c r="V101" i="1"/>
  <c r="AB101" i="1" s="1"/>
  <c r="W101" i="1"/>
  <c r="X101" i="1"/>
  <c r="Y101" i="1"/>
  <c r="Z101" i="1"/>
  <c r="U102" i="1"/>
  <c r="G101" i="4" l="1"/>
  <c r="K101" i="4"/>
  <c r="F101" i="4"/>
  <c r="M101" i="4" s="1"/>
  <c r="E102" i="4"/>
  <c r="O101" i="4"/>
  <c r="S101" i="4"/>
  <c r="N101" i="4"/>
  <c r="R101" i="4"/>
  <c r="P101" i="4"/>
  <c r="J101" i="4"/>
  <c r="H101" i="4"/>
  <c r="Q101" i="4"/>
  <c r="T101" i="4" s="1"/>
  <c r="I101" i="4"/>
  <c r="AF100" i="4"/>
  <c r="AI100" i="4" s="1"/>
  <c r="U101" i="4"/>
  <c r="AG100" i="4"/>
  <c r="W100" i="4"/>
  <c r="X100" i="4"/>
  <c r="AD100" i="4"/>
  <c r="V100" i="4"/>
  <c r="AA100" i="4"/>
  <c r="AH100" i="4"/>
  <c r="AC100" i="4"/>
  <c r="Y100" i="4"/>
  <c r="AB100" i="4" s="1"/>
  <c r="Z100" i="4"/>
  <c r="AE100" i="4"/>
  <c r="S101" i="1"/>
  <c r="T101" i="1"/>
  <c r="R101" i="1"/>
  <c r="Q101" i="1"/>
  <c r="N101" i="1"/>
  <c r="P101" i="1"/>
  <c r="O101" i="1"/>
  <c r="E102" i="1"/>
  <c r="F101" i="1"/>
  <c r="I101" i="1"/>
  <c r="M101" i="1" s="1"/>
  <c r="G101" i="1"/>
  <c r="K101" i="1"/>
  <c r="J101" i="1"/>
  <c r="H101" i="1"/>
  <c r="V102" i="1"/>
  <c r="AB102" i="1" s="1"/>
  <c r="W102" i="1"/>
  <c r="X102" i="1"/>
  <c r="Y102" i="1"/>
  <c r="Z102" i="1"/>
  <c r="AA102" i="1"/>
  <c r="U103" i="1"/>
  <c r="H102" i="4" l="1"/>
  <c r="E103" i="4"/>
  <c r="K102" i="4"/>
  <c r="S102" i="4"/>
  <c r="O102" i="4"/>
  <c r="P102" i="4"/>
  <c r="J102" i="4"/>
  <c r="R102" i="4"/>
  <c r="Q102" i="4"/>
  <c r="T102" i="4" s="1"/>
  <c r="N102" i="4"/>
  <c r="G102" i="4"/>
  <c r="F102" i="4"/>
  <c r="M102" i="4" s="1"/>
  <c r="I102" i="4"/>
  <c r="Z101" i="4"/>
  <c r="AC101" i="4"/>
  <c r="U102" i="4"/>
  <c r="AH101" i="4"/>
  <c r="AF101" i="4"/>
  <c r="AI101" i="4" s="1"/>
  <c r="Y101" i="4"/>
  <c r="AB101" i="4" s="1"/>
  <c r="W101" i="4"/>
  <c r="AA101" i="4"/>
  <c r="X101" i="4"/>
  <c r="AE101" i="4"/>
  <c r="AD101" i="4"/>
  <c r="AG101" i="4"/>
  <c r="V101" i="4"/>
  <c r="S102" i="1"/>
  <c r="T102" i="1"/>
  <c r="R102" i="1"/>
  <c r="N102" i="1"/>
  <c r="Q102" i="1"/>
  <c r="O102" i="1"/>
  <c r="P102" i="1"/>
  <c r="E103" i="1"/>
  <c r="K102" i="1"/>
  <c r="J102" i="1"/>
  <c r="H102" i="1"/>
  <c r="F102" i="1"/>
  <c r="G102" i="1"/>
  <c r="I102" i="1"/>
  <c r="M102" i="1" s="1"/>
  <c r="W103" i="1"/>
  <c r="X103" i="1"/>
  <c r="Y103" i="1"/>
  <c r="Z103" i="1"/>
  <c r="AA103" i="1"/>
  <c r="V103" i="1"/>
  <c r="AB103" i="1" s="1"/>
  <c r="U104" i="1"/>
  <c r="AG102" i="4" l="1"/>
  <c r="V102" i="4"/>
  <c r="AA102" i="4"/>
  <c r="Z102" i="4"/>
  <c r="Y102" i="4"/>
  <c r="AB102" i="4" s="1"/>
  <c r="X102" i="4"/>
  <c r="AE102" i="4"/>
  <c r="AF102" i="4"/>
  <c r="AI102" i="4" s="1"/>
  <c r="AD102" i="4"/>
  <c r="AC102" i="4"/>
  <c r="W102" i="4"/>
  <c r="U103" i="4"/>
  <c r="AH102" i="4"/>
  <c r="N103" i="4"/>
  <c r="M103" i="4"/>
  <c r="R103" i="4"/>
  <c r="E104" i="4"/>
  <c r="H103" i="4"/>
  <c r="O103" i="4"/>
  <c r="Q103" i="4"/>
  <c r="T103" i="4" s="1"/>
  <c r="S103" i="4"/>
  <c r="K103" i="4"/>
  <c r="P103" i="4"/>
  <c r="F103" i="4"/>
  <c r="G103" i="4"/>
  <c r="J103" i="4"/>
  <c r="I103" i="4"/>
  <c r="S103" i="1"/>
  <c r="T103" i="1"/>
  <c r="R103" i="1"/>
  <c r="Q103" i="1"/>
  <c r="P103" i="1"/>
  <c r="O103" i="1"/>
  <c r="N103" i="1"/>
  <c r="E104" i="1"/>
  <c r="J103" i="1"/>
  <c r="K103" i="1"/>
  <c r="G103" i="1"/>
  <c r="F103" i="1"/>
  <c r="H103" i="1"/>
  <c r="I103" i="1"/>
  <c r="M103" i="1" s="1"/>
  <c r="Y104" i="1"/>
  <c r="Z104" i="1"/>
  <c r="AA104" i="1"/>
  <c r="V104" i="1"/>
  <c r="AB104" i="1" s="1"/>
  <c r="W104" i="1"/>
  <c r="X104" i="1"/>
  <c r="U105" i="1"/>
  <c r="AD103" i="4" l="1"/>
  <c r="AG103" i="4"/>
  <c r="AH103" i="4"/>
  <c r="V103" i="4"/>
  <c r="AC103" i="4"/>
  <c r="U104" i="4"/>
  <c r="Y103" i="4"/>
  <c r="AB103" i="4" s="1"/>
  <c r="AF103" i="4"/>
  <c r="AI103" i="4"/>
  <c r="X103" i="4"/>
  <c r="AE103" i="4"/>
  <c r="AA103" i="4"/>
  <c r="W103" i="4"/>
  <c r="Z103" i="4"/>
  <c r="Q104" i="4"/>
  <c r="O104" i="4"/>
  <c r="G104" i="4"/>
  <c r="N104" i="4"/>
  <c r="H104" i="4"/>
  <c r="J104" i="4"/>
  <c r="P104" i="4"/>
  <c r="F104" i="4"/>
  <c r="S104" i="4"/>
  <c r="M104" i="4"/>
  <c r="R104" i="4"/>
  <c r="E105" i="4"/>
  <c r="K104" i="4"/>
  <c r="I104" i="4"/>
  <c r="T104" i="4"/>
  <c r="S104" i="1"/>
  <c r="T104" i="1"/>
  <c r="R104" i="1"/>
  <c r="Q104" i="1"/>
  <c r="P104" i="1"/>
  <c r="O104" i="1"/>
  <c r="N104" i="1"/>
  <c r="E105" i="1"/>
  <c r="I104" i="1"/>
  <c r="M104" i="1" s="1"/>
  <c r="J104" i="1"/>
  <c r="H104" i="1"/>
  <c r="K104" i="1"/>
  <c r="G104" i="1"/>
  <c r="F104" i="1"/>
  <c r="AA105" i="1"/>
  <c r="V105" i="1"/>
  <c r="AB105" i="1" s="1"/>
  <c r="W105" i="1"/>
  <c r="X105" i="1"/>
  <c r="Y105" i="1"/>
  <c r="Z105" i="1"/>
  <c r="U106" i="1"/>
  <c r="AF104" i="4" l="1"/>
  <c r="AI104" i="4" s="1"/>
  <c r="U105" i="4"/>
  <c r="AH104" i="4"/>
  <c r="X104" i="4"/>
  <c r="V104" i="4"/>
  <c r="AD104" i="4"/>
  <c r="AC104" i="4"/>
  <c r="AA104" i="4"/>
  <c r="Y104" i="4"/>
  <c r="Z104" i="4"/>
  <c r="AE104" i="4"/>
  <c r="AG104" i="4"/>
  <c r="W104" i="4"/>
  <c r="G105" i="4"/>
  <c r="Q105" i="4"/>
  <c r="T105" i="4" s="1"/>
  <c r="E106" i="4"/>
  <c r="O105" i="4"/>
  <c r="N105" i="4"/>
  <c r="J105" i="4"/>
  <c r="I105" i="4"/>
  <c r="K105" i="4"/>
  <c r="F105" i="4"/>
  <c r="M105" i="4" s="1"/>
  <c r="S105" i="4"/>
  <c r="P105" i="4"/>
  <c r="R105" i="4"/>
  <c r="H105" i="4"/>
  <c r="T105" i="1"/>
  <c r="S105" i="1"/>
  <c r="R105" i="1"/>
  <c r="Q105" i="1"/>
  <c r="P105" i="1"/>
  <c r="O105" i="1"/>
  <c r="N105" i="1"/>
  <c r="E106" i="1"/>
  <c r="K105" i="1"/>
  <c r="F105" i="1"/>
  <c r="G105" i="1"/>
  <c r="H105" i="1"/>
  <c r="J105" i="1"/>
  <c r="I105" i="1"/>
  <c r="M105" i="1" s="1"/>
  <c r="V106" i="1"/>
  <c r="AB106" i="1" s="1"/>
  <c r="W106" i="1"/>
  <c r="X106" i="1"/>
  <c r="Y106" i="1"/>
  <c r="Z106" i="1"/>
  <c r="AA106" i="1"/>
  <c r="U107" i="1"/>
  <c r="F106" i="4" l="1"/>
  <c r="I106" i="4"/>
  <c r="K106" i="4"/>
  <c r="G106" i="4"/>
  <c r="N106" i="4"/>
  <c r="Q106" i="4"/>
  <c r="T106" i="4" s="1"/>
  <c r="J106" i="4"/>
  <c r="R106" i="4"/>
  <c r="E107" i="4"/>
  <c r="M106" i="4"/>
  <c r="H106" i="4"/>
  <c r="P106" i="4"/>
  <c r="S106" i="4"/>
  <c r="O106" i="4"/>
  <c r="Y105" i="4"/>
  <c r="AB105" i="4" s="1"/>
  <c r="V105" i="4"/>
  <c r="AI105" i="4"/>
  <c r="AG105" i="4"/>
  <c r="AF105" i="4"/>
  <c r="AA105" i="4"/>
  <c r="AE105" i="4"/>
  <c r="X105" i="4"/>
  <c r="AD105" i="4"/>
  <c r="Z105" i="4"/>
  <c r="W105" i="4"/>
  <c r="AC105" i="4"/>
  <c r="U106" i="4"/>
  <c r="AH105" i="4"/>
  <c r="AB104" i="4"/>
  <c r="S106" i="1"/>
  <c r="T106" i="1"/>
  <c r="R106" i="1"/>
  <c r="Q106" i="1"/>
  <c r="N106" i="1"/>
  <c r="P106" i="1"/>
  <c r="O106" i="1"/>
  <c r="E107" i="1"/>
  <c r="J106" i="1"/>
  <c r="K106" i="1"/>
  <c r="F106" i="1"/>
  <c r="G106" i="1"/>
  <c r="H106" i="1"/>
  <c r="I106" i="1"/>
  <c r="M106" i="1" s="1"/>
  <c r="W107" i="1"/>
  <c r="X107" i="1"/>
  <c r="Y107" i="1"/>
  <c r="Z107" i="1"/>
  <c r="AA107" i="1"/>
  <c r="V107" i="1"/>
  <c r="AB107" i="1" s="1"/>
  <c r="U108" i="1"/>
  <c r="Y106" i="4" l="1"/>
  <c r="AA106" i="4"/>
  <c r="Z106" i="4"/>
  <c r="U107" i="4"/>
  <c r="AH106" i="4"/>
  <c r="AF106" i="4"/>
  <c r="AI106" i="4" s="1"/>
  <c r="AE106" i="4"/>
  <c r="W106" i="4"/>
  <c r="AG106" i="4"/>
  <c r="X106" i="4"/>
  <c r="AD106" i="4"/>
  <c r="AC106" i="4"/>
  <c r="V106" i="4"/>
  <c r="AB106" i="4" s="1"/>
  <c r="P107" i="4"/>
  <c r="O107" i="4"/>
  <c r="N107" i="4"/>
  <c r="R107" i="4"/>
  <c r="E108" i="4"/>
  <c r="I107" i="4"/>
  <c r="G107" i="4"/>
  <c r="J107" i="4"/>
  <c r="K107" i="4"/>
  <c r="F107" i="4"/>
  <c r="H107" i="4"/>
  <c r="M107" i="4"/>
  <c r="S107" i="4"/>
  <c r="Q107" i="4"/>
  <c r="T107" i="4"/>
  <c r="T107" i="1"/>
  <c r="S107" i="1"/>
  <c r="O107" i="1"/>
  <c r="N107" i="1"/>
  <c r="Q107" i="1"/>
  <c r="P107" i="1"/>
  <c r="R107" i="1"/>
  <c r="E108" i="1"/>
  <c r="F107" i="1"/>
  <c r="H107" i="1"/>
  <c r="G107" i="1"/>
  <c r="K107" i="1"/>
  <c r="I107" i="1"/>
  <c r="M107" i="1" s="1"/>
  <c r="J107" i="1"/>
  <c r="Y108" i="1"/>
  <c r="Z108" i="1"/>
  <c r="AA108" i="1"/>
  <c r="V108" i="1"/>
  <c r="AB108" i="1" s="1"/>
  <c r="W108" i="1"/>
  <c r="X108" i="1"/>
  <c r="U109" i="1"/>
  <c r="Z107" i="4" l="1"/>
  <c r="AE107" i="4"/>
  <c r="Y107" i="4"/>
  <c r="AG107" i="4"/>
  <c r="W107" i="4"/>
  <c r="V107" i="4"/>
  <c r="U108" i="4"/>
  <c r="AD107" i="4"/>
  <c r="AC107" i="4"/>
  <c r="AF107" i="4"/>
  <c r="AI107" i="4" s="1"/>
  <c r="AA107" i="4"/>
  <c r="X107" i="4"/>
  <c r="AH107" i="4"/>
  <c r="R108" i="4"/>
  <c r="Q108" i="4"/>
  <c r="T108" i="4" s="1"/>
  <c r="P108" i="4"/>
  <c r="K108" i="4"/>
  <c r="I108" i="4"/>
  <c r="J108" i="4"/>
  <c r="F108" i="4"/>
  <c r="M108" i="4" s="1"/>
  <c r="N108" i="4"/>
  <c r="G108" i="4"/>
  <c r="E109" i="4"/>
  <c r="O108" i="4"/>
  <c r="S108" i="4"/>
  <c r="H108" i="4"/>
  <c r="T108" i="1"/>
  <c r="S108" i="1"/>
  <c r="R108" i="1"/>
  <c r="Q108" i="1"/>
  <c r="P108" i="1"/>
  <c r="N108" i="1"/>
  <c r="O108" i="1"/>
  <c r="E109" i="1"/>
  <c r="F108" i="1"/>
  <c r="J108" i="1"/>
  <c r="K108" i="1"/>
  <c r="I108" i="1"/>
  <c r="M108" i="1" s="1"/>
  <c r="G108" i="1"/>
  <c r="H108" i="1"/>
  <c r="AA109" i="1"/>
  <c r="V109" i="1"/>
  <c r="AB109" i="1" s="1"/>
  <c r="W109" i="1"/>
  <c r="X109" i="1"/>
  <c r="Y109" i="1"/>
  <c r="Z109" i="1"/>
  <c r="U110" i="1"/>
  <c r="U109" i="4" l="1"/>
  <c r="W108" i="4"/>
  <c r="AI108" i="4"/>
  <c r="AD108" i="4"/>
  <c r="AG108" i="4"/>
  <c r="AA108" i="4"/>
  <c r="V108" i="4"/>
  <c r="AB108" i="4" s="1"/>
  <c r="AH108" i="4"/>
  <c r="AF108" i="4"/>
  <c r="Z108" i="4"/>
  <c r="Y108" i="4"/>
  <c r="AC108" i="4"/>
  <c r="X108" i="4"/>
  <c r="AE108" i="4"/>
  <c r="AB107" i="4"/>
  <c r="H109" i="4"/>
  <c r="R109" i="4"/>
  <c r="O109" i="4"/>
  <c r="P109" i="4"/>
  <c r="J109" i="4"/>
  <c r="S109" i="4"/>
  <c r="I109" i="4"/>
  <c r="N109" i="4"/>
  <c r="G109" i="4"/>
  <c r="E110" i="4"/>
  <c r="Q109" i="4"/>
  <c r="T109" i="4" s="1"/>
  <c r="K109" i="4"/>
  <c r="F109" i="4"/>
  <c r="M109" i="4" s="1"/>
  <c r="S109" i="1"/>
  <c r="T109" i="1"/>
  <c r="O109" i="1"/>
  <c r="N109" i="1"/>
  <c r="R109" i="1"/>
  <c r="P109" i="1"/>
  <c r="Q109" i="1"/>
  <c r="E110" i="1"/>
  <c r="F109" i="1"/>
  <c r="G109" i="1"/>
  <c r="I109" i="1"/>
  <c r="M109" i="1" s="1"/>
  <c r="J109" i="1"/>
  <c r="H109" i="1"/>
  <c r="K109" i="1"/>
  <c r="V110" i="1"/>
  <c r="AB110" i="1" s="1"/>
  <c r="W110" i="1"/>
  <c r="X110" i="1"/>
  <c r="Y110" i="1"/>
  <c r="Z110" i="1"/>
  <c r="AA110" i="1"/>
  <c r="U111" i="1"/>
  <c r="T110" i="4" l="1"/>
  <c r="Q110" i="4"/>
  <c r="H110" i="4"/>
  <c r="K110" i="4"/>
  <c r="I110" i="4"/>
  <c r="N110" i="4"/>
  <c r="E111" i="4"/>
  <c r="P110" i="4"/>
  <c r="S110" i="4"/>
  <c r="G110" i="4"/>
  <c r="J110" i="4"/>
  <c r="O110" i="4"/>
  <c r="R110" i="4"/>
  <c r="M110" i="4"/>
  <c r="F110" i="4"/>
  <c r="AF109" i="4"/>
  <c r="AI109" i="4" s="1"/>
  <c r="Z109" i="4"/>
  <c r="AD109" i="4"/>
  <c r="X109" i="4"/>
  <c r="Y109" i="4"/>
  <c r="V109" i="4"/>
  <c r="AA109" i="4"/>
  <c r="AE109" i="4"/>
  <c r="AC109" i="4"/>
  <c r="W109" i="4"/>
  <c r="AH109" i="4"/>
  <c r="U110" i="4"/>
  <c r="AG109" i="4"/>
  <c r="S110" i="1"/>
  <c r="T110" i="1"/>
  <c r="R110" i="1"/>
  <c r="P110" i="1"/>
  <c r="O110" i="1"/>
  <c r="N110" i="1"/>
  <c r="Q110" i="1"/>
  <c r="E111" i="1"/>
  <c r="K110" i="1"/>
  <c r="H110" i="1"/>
  <c r="F110" i="1"/>
  <c r="G110" i="1"/>
  <c r="I110" i="1"/>
  <c r="M110" i="1" s="1"/>
  <c r="J110" i="1"/>
  <c r="W111" i="1"/>
  <c r="X111" i="1"/>
  <c r="Y111" i="1"/>
  <c r="Z111" i="1"/>
  <c r="AA111" i="1"/>
  <c r="V111" i="1"/>
  <c r="AB111" i="1" s="1"/>
  <c r="U112" i="1"/>
  <c r="AB109" i="4" l="1"/>
  <c r="P111" i="4"/>
  <c r="F111" i="4"/>
  <c r="N111" i="4"/>
  <c r="M111" i="4"/>
  <c r="G111" i="4"/>
  <c r="S111" i="4"/>
  <c r="R111" i="4"/>
  <c r="Q111" i="4"/>
  <c r="J111" i="4"/>
  <c r="I111" i="4"/>
  <c r="O111" i="4"/>
  <c r="H111" i="4"/>
  <c r="E112" i="4"/>
  <c r="K111" i="4"/>
  <c r="T111" i="4"/>
  <c r="Y110" i="4"/>
  <c r="U111" i="4"/>
  <c r="AF110" i="4"/>
  <c r="AA110" i="4"/>
  <c r="W110" i="4"/>
  <c r="AI110" i="4"/>
  <c r="AE110" i="4"/>
  <c r="AG110" i="4"/>
  <c r="V110" i="4"/>
  <c r="AB110" i="4" s="1"/>
  <c r="X110" i="4"/>
  <c r="Z110" i="4"/>
  <c r="AH110" i="4"/>
  <c r="AC110" i="4"/>
  <c r="AD110" i="4"/>
  <c r="S111" i="1"/>
  <c r="T111" i="1"/>
  <c r="R111" i="1"/>
  <c r="P111" i="1"/>
  <c r="O111" i="1"/>
  <c r="Q111" i="1"/>
  <c r="N111" i="1"/>
  <c r="E112" i="1"/>
  <c r="J111" i="1"/>
  <c r="K111" i="1"/>
  <c r="G111" i="1"/>
  <c r="F111" i="1"/>
  <c r="H111" i="1"/>
  <c r="I111" i="1"/>
  <c r="M111" i="1" s="1"/>
  <c r="Y112" i="1"/>
  <c r="Z112" i="1"/>
  <c r="AA112" i="1"/>
  <c r="V112" i="1"/>
  <c r="AB112" i="1" s="1"/>
  <c r="W112" i="1"/>
  <c r="X112" i="1"/>
  <c r="U113" i="1"/>
  <c r="R112" i="4" l="1"/>
  <c r="H112" i="4"/>
  <c r="I112" i="4"/>
  <c r="E113" i="4"/>
  <c r="N112" i="4"/>
  <c r="Q112" i="4"/>
  <c r="T112" i="4" s="1"/>
  <c r="P112" i="4"/>
  <c r="G112" i="4"/>
  <c r="F112" i="4"/>
  <c r="M112" i="4" s="1"/>
  <c r="K112" i="4"/>
  <c r="S112" i="4"/>
  <c r="O112" i="4"/>
  <c r="J112" i="4"/>
  <c r="Z111" i="4"/>
  <c r="AE111" i="4"/>
  <c r="AG111" i="4"/>
  <c r="AA111" i="4"/>
  <c r="AD111" i="4"/>
  <c r="Y111" i="4"/>
  <c r="W111" i="4"/>
  <c r="AF111" i="4"/>
  <c r="AI111" i="4" s="1"/>
  <c r="U112" i="4"/>
  <c r="X111" i="4"/>
  <c r="V111" i="4"/>
  <c r="AH111" i="4"/>
  <c r="AC111" i="4"/>
  <c r="S112" i="1"/>
  <c r="T112" i="1"/>
  <c r="R112" i="1"/>
  <c r="Q112" i="1"/>
  <c r="P112" i="1"/>
  <c r="O112" i="1"/>
  <c r="N112" i="1"/>
  <c r="E113" i="1"/>
  <c r="I112" i="1"/>
  <c r="M112" i="1" s="1"/>
  <c r="K112" i="1"/>
  <c r="G112" i="1"/>
  <c r="H112" i="1"/>
  <c r="J112" i="1"/>
  <c r="F112" i="1"/>
  <c r="AA113" i="1"/>
  <c r="V113" i="1"/>
  <c r="AB113" i="1" s="1"/>
  <c r="W113" i="1"/>
  <c r="X113" i="1"/>
  <c r="Y113" i="1"/>
  <c r="Z113" i="1"/>
  <c r="U114" i="1"/>
  <c r="AE112" i="4" l="1"/>
  <c r="W112" i="4"/>
  <c r="U113" i="4"/>
  <c r="AD112" i="4"/>
  <c r="AG112" i="4"/>
  <c r="AA112" i="4"/>
  <c r="V112" i="4"/>
  <c r="AH112" i="4"/>
  <c r="Z112" i="4"/>
  <c r="AF112" i="4"/>
  <c r="AI112" i="4" s="1"/>
  <c r="X112" i="4"/>
  <c r="AC112" i="4"/>
  <c r="Y112" i="4"/>
  <c r="E114" i="4"/>
  <c r="S113" i="4"/>
  <c r="K113" i="4"/>
  <c r="O113" i="4"/>
  <c r="R113" i="4"/>
  <c r="J113" i="4"/>
  <c r="H113" i="4"/>
  <c r="I113" i="4"/>
  <c r="F113" i="4"/>
  <c r="M113" i="4" s="1"/>
  <c r="G113" i="4"/>
  <c r="Q113" i="4"/>
  <c r="P113" i="4"/>
  <c r="N113" i="4"/>
  <c r="T113" i="4"/>
  <c r="AB111" i="4"/>
  <c r="S113" i="1"/>
  <c r="T113" i="1"/>
  <c r="R113" i="1"/>
  <c r="O113" i="1"/>
  <c r="N113" i="1"/>
  <c r="P113" i="1"/>
  <c r="Q113" i="1"/>
  <c r="E114" i="1"/>
  <c r="J113" i="1"/>
  <c r="K113" i="1"/>
  <c r="F113" i="1"/>
  <c r="G113" i="1"/>
  <c r="I113" i="1"/>
  <c r="M113" i="1" s="1"/>
  <c r="H113" i="1"/>
  <c r="V114" i="1"/>
  <c r="AB114" i="1" s="1"/>
  <c r="W114" i="1"/>
  <c r="X114" i="1"/>
  <c r="Y114" i="1"/>
  <c r="Z114" i="1"/>
  <c r="AA114" i="1"/>
  <c r="U115" i="1"/>
  <c r="G114" i="4" l="1"/>
  <c r="J114" i="4"/>
  <c r="R114" i="4"/>
  <c r="E115" i="4"/>
  <c r="H114" i="4"/>
  <c r="K114" i="4"/>
  <c r="S114" i="4"/>
  <c r="O114" i="4"/>
  <c r="F114" i="4"/>
  <c r="I114" i="4"/>
  <c r="T114" i="4"/>
  <c r="P114" i="4"/>
  <c r="N114" i="4"/>
  <c r="Q114" i="4"/>
  <c r="M114" i="4"/>
  <c r="AB112" i="4"/>
  <c r="AC113" i="4"/>
  <c r="AE113" i="4"/>
  <c r="AH113" i="4"/>
  <c r="Y113" i="4"/>
  <c r="U114" i="4"/>
  <c r="AA113" i="4"/>
  <c r="Z113" i="4"/>
  <c r="W113" i="4"/>
  <c r="AD113" i="4"/>
  <c r="AG113" i="4"/>
  <c r="AF113" i="4"/>
  <c r="AI113" i="4" s="1"/>
  <c r="X113" i="4"/>
  <c r="V113" i="4"/>
  <c r="S114" i="1"/>
  <c r="T114" i="1"/>
  <c r="R114" i="1"/>
  <c r="N114" i="1"/>
  <c r="P114" i="1"/>
  <c r="O114" i="1"/>
  <c r="Q114" i="1"/>
  <c r="E115" i="1"/>
  <c r="I114" i="1"/>
  <c r="M114" i="1" s="1"/>
  <c r="J114" i="1"/>
  <c r="K114" i="1"/>
  <c r="F114" i="1"/>
  <c r="G114" i="1"/>
  <c r="H114" i="1"/>
  <c r="W115" i="1"/>
  <c r="X115" i="1"/>
  <c r="Y115" i="1"/>
  <c r="Z115" i="1"/>
  <c r="AA115" i="1"/>
  <c r="V115" i="1"/>
  <c r="AB115" i="1" s="1"/>
  <c r="U116" i="1"/>
  <c r="AD114" i="4" l="1"/>
  <c r="AG114" i="4"/>
  <c r="AE114" i="4"/>
  <c r="V114" i="4"/>
  <c r="AC114" i="4"/>
  <c r="AB114" i="4"/>
  <c r="AI114" i="4"/>
  <c r="AA114" i="4"/>
  <c r="Z114" i="4"/>
  <c r="Y114" i="4"/>
  <c r="U115" i="4"/>
  <c r="AF114" i="4"/>
  <c r="AH114" i="4"/>
  <c r="W114" i="4"/>
  <c r="X114" i="4"/>
  <c r="AB113" i="4"/>
  <c r="Q115" i="4"/>
  <c r="S115" i="4"/>
  <c r="N115" i="4"/>
  <c r="T115" i="4" s="1"/>
  <c r="K115" i="4"/>
  <c r="H115" i="4"/>
  <c r="O115" i="4"/>
  <c r="P115" i="4"/>
  <c r="M115" i="4"/>
  <c r="J115" i="4"/>
  <c r="R115" i="4"/>
  <c r="E116" i="4"/>
  <c r="G115" i="4"/>
  <c r="F115" i="4"/>
  <c r="I115" i="4"/>
  <c r="S115" i="1"/>
  <c r="T115" i="1"/>
  <c r="R115" i="1"/>
  <c r="Q115" i="1"/>
  <c r="P115" i="1"/>
  <c r="O115" i="1"/>
  <c r="N115" i="1"/>
  <c r="E116" i="1"/>
  <c r="F115" i="1"/>
  <c r="H115" i="1"/>
  <c r="G115" i="1"/>
  <c r="K115" i="1"/>
  <c r="J115" i="1"/>
  <c r="I115" i="1"/>
  <c r="M115" i="1" s="1"/>
  <c r="Y116" i="1"/>
  <c r="Z116" i="1"/>
  <c r="AA116" i="1"/>
  <c r="V116" i="1"/>
  <c r="AB116" i="1" s="1"/>
  <c r="W116" i="1"/>
  <c r="X116" i="1"/>
  <c r="U117" i="1"/>
  <c r="E117" i="4" l="1"/>
  <c r="O116" i="4"/>
  <c r="K116" i="4"/>
  <c r="S116" i="4"/>
  <c r="F116" i="4"/>
  <c r="M116" i="4" s="1"/>
  <c r="P116" i="4"/>
  <c r="N116" i="4"/>
  <c r="J116" i="4"/>
  <c r="Q116" i="4"/>
  <c r="T116" i="4" s="1"/>
  <c r="R116" i="4"/>
  <c r="H116" i="4"/>
  <c r="I116" i="4"/>
  <c r="G116" i="4"/>
  <c r="AD115" i="4"/>
  <c r="V115" i="4"/>
  <c r="AB115" i="4" s="1"/>
  <c r="Y115" i="4"/>
  <c r="AA115" i="4"/>
  <c r="AH115" i="4"/>
  <c r="AC115" i="4"/>
  <c r="AF115" i="4"/>
  <c r="Z115" i="4"/>
  <c r="W115" i="4"/>
  <c r="U116" i="4"/>
  <c r="AI115" i="4"/>
  <c r="AE115" i="4"/>
  <c r="AG115" i="4"/>
  <c r="X115" i="4"/>
  <c r="S116" i="1"/>
  <c r="T116" i="1"/>
  <c r="R116" i="1"/>
  <c r="Q116" i="1"/>
  <c r="P116" i="1"/>
  <c r="O116" i="1"/>
  <c r="N116" i="1"/>
  <c r="E117" i="1"/>
  <c r="J116" i="1"/>
  <c r="F116" i="1"/>
  <c r="G116" i="1"/>
  <c r="K116" i="1"/>
  <c r="H116" i="1"/>
  <c r="I116" i="1"/>
  <c r="M116" i="1" s="1"/>
  <c r="AA117" i="1"/>
  <c r="V117" i="1"/>
  <c r="AB117" i="1" s="1"/>
  <c r="W117" i="1"/>
  <c r="X117" i="1"/>
  <c r="Y117" i="1"/>
  <c r="Z117" i="1"/>
  <c r="U118" i="1"/>
  <c r="Z116" i="4" l="1"/>
  <c r="Y116" i="4"/>
  <c r="AF116" i="4"/>
  <c r="AI116" i="4" s="1"/>
  <c r="AG116" i="4"/>
  <c r="AC116" i="4"/>
  <c r="U117" i="4"/>
  <c r="V116" i="4"/>
  <c r="AB116" i="4" s="1"/>
  <c r="X116" i="4"/>
  <c r="AE116" i="4"/>
  <c r="W116" i="4"/>
  <c r="AA116" i="4"/>
  <c r="AD116" i="4"/>
  <c r="AH116" i="4"/>
  <c r="T117" i="4"/>
  <c r="P117" i="4"/>
  <c r="O117" i="4"/>
  <c r="F117" i="4"/>
  <c r="M117" i="4" s="1"/>
  <c r="K117" i="4"/>
  <c r="G117" i="4"/>
  <c r="R117" i="4"/>
  <c r="N117" i="4"/>
  <c r="S117" i="4"/>
  <c r="E118" i="4"/>
  <c r="J117" i="4"/>
  <c r="Q117" i="4"/>
  <c r="H117" i="4"/>
  <c r="I117" i="4"/>
  <c r="T117" i="1"/>
  <c r="S117" i="1"/>
  <c r="R117" i="1"/>
  <c r="Q117" i="1"/>
  <c r="P117" i="1"/>
  <c r="N117" i="1"/>
  <c r="O117" i="1"/>
  <c r="E118" i="1"/>
  <c r="F117" i="1"/>
  <c r="I117" i="1"/>
  <c r="M117" i="1" s="1"/>
  <c r="G117" i="1"/>
  <c r="J117" i="1"/>
  <c r="K117" i="1"/>
  <c r="H117" i="1"/>
  <c r="V118" i="1"/>
  <c r="AB118" i="1" s="1"/>
  <c r="W118" i="1"/>
  <c r="X118" i="1"/>
  <c r="Y118" i="1"/>
  <c r="Z118" i="1"/>
  <c r="AA118" i="1"/>
  <c r="U119" i="1"/>
  <c r="AE117" i="4" l="1"/>
  <c r="Z117" i="4"/>
  <c r="AA117" i="4"/>
  <c r="W117" i="4"/>
  <c r="AD117" i="4"/>
  <c r="AH117" i="4"/>
  <c r="V117" i="4"/>
  <c r="AB117" i="4" s="1"/>
  <c r="AC117" i="4"/>
  <c r="AF117" i="4"/>
  <c r="AI117" i="4" s="1"/>
  <c r="AG117" i="4"/>
  <c r="X117" i="4"/>
  <c r="Y117" i="4"/>
  <c r="U118" i="4"/>
  <c r="N118" i="4"/>
  <c r="I118" i="4"/>
  <c r="T118" i="4"/>
  <c r="M118" i="4"/>
  <c r="Q118" i="4"/>
  <c r="K118" i="4"/>
  <c r="F118" i="4"/>
  <c r="R118" i="4"/>
  <c r="E119" i="4"/>
  <c r="H118" i="4"/>
  <c r="G118" i="4"/>
  <c r="O118" i="4"/>
  <c r="S118" i="4"/>
  <c r="P118" i="4"/>
  <c r="J118" i="4"/>
  <c r="S118" i="1"/>
  <c r="T118" i="1"/>
  <c r="R118" i="1"/>
  <c r="Q118" i="1"/>
  <c r="P118" i="1"/>
  <c r="N118" i="1"/>
  <c r="O118" i="1"/>
  <c r="E119" i="1"/>
  <c r="K118" i="1"/>
  <c r="I118" i="1"/>
  <c r="M118" i="1" s="1"/>
  <c r="F118" i="1"/>
  <c r="H118" i="1"/>
  <c r="G118" i="1"/>
  <c r="J118" i="1"/>
  <c r="W119" i="1"/>
  <c r="X119" i="1"/>
  <c r="Y119" i="1"/>
  <c r="Z119" i="1"/>
  <c r="AA119" i="1"/>
  <c r="V119" i="1"/>
  <c r="AB119" i="1" s="1"/>
  <c r="U120" i="1"/>
  <c r="AD118" i="4" l="1"/>
  <c r="Z118" i="4"/>
  <c r="V118" i="4"/>
  <c r="AB118" i="4" s="1"/>
  <c r="Y118" i="4"/>
  <c r="U119" i="4"/>
  <c r="W118" i="4"/>
  <c r="AC118" i="4"/>
  <c r="AG118" i="4"/>
  <c r="AF118" i="4"/>
  <c r="AI118" i="4"/>
  <c r="AH118" i="4"/>
  <c r="X118" i="4"/>
  <c r="AA118" i="4"/>
  <c r="AE118" i="4"/>
  <c r="Q119" i="4"/>
  <c r="T119" i="4"/>
  <c r="O119" i="4"/>
  <c r="N119" i="4"/>
  <c r="H119" i="4"/>
  <c r="K119" i="4"/>
  <c r="F119" i="4"/>
  <c r="M119" i="4" s="1"/>
  <c r="I119" i="4"/>
  <c r="P119" i="4"/>
  <c r="S119" i="4"/>
  <c r="G119" i="4"/>
  <c r="J119" i="4"/>
  <c r="E120" i="4"/>
  <c r="R119" i="4"/>
  <c r="T119" i="1"/>
  <c r="S119" i="1"/>
  <c r="Q119" i="1"/>
  <c r="R119" i="1"/>
  <c r="P119" i="1"/>
  <c r="N119" i="1"/>
  <c r="O119" i="1"/>
  <c r="E120" i="1"/>
  <c r="K119" i="1"/>
  <c r="G119" i="1"/>
  <c r="F119" i="1"/>
  <c r="J119" i="1"/>
  <c r="H119" i="1"/>
  <c r="I119" i="1"/>
  <c r="M119" i="1" s="1"/>
  <c r="Y120" i="1"/>
  <c r="Z120" i="1"/>
  <c r="AA120" i="1"/>
  <c r="V120" i="1"/>
  <c r="AB120" i="1" s="1"/>
  <c r="W120" i="1"/>
  <c r="X120" i="1"/>
  <c r="U121" i="1"/>
  <c r="AH119" i="4" l="1"/>
  <c r="AD119" i="4"/>
  <c r="AC119" i="4"/>
  <c r="AF119" i="4"/>
  <c r="Z119" i="4"/>
  <c r="V119" i="4"/>
  <c r="AB119" i="4" s="1"/>
  <c r="AI119" i="4"/>
  <c r="X119" i="4"/>
  <c r="W119" i="4"/>
  <c r="AG119" i="4"/>
  <c r="Y119" i="4"/>
  <c r="U120" i="4"/>
  <c r="AE119" i="4"/>
  <c r="AA119" i="4"/>
  <c r="Q120" i="4"/>
  <c r="T120" i="4" s="1"/>
  <c r="J120" i="4"/>
  <c r="H120" i="4"/>
  <c r="P120" i="4"/>
  <c r="E121" i="4"/>
  <c r="F120" i="4"/>
  <c r="K120" i="4"/>
  <c r="G120" i="4"/>
  <c r="S120" i="4"/>
  <c r="O120" i="4"/>
  <c r="R120" i="4"/>
  <c r="I120" i="4"/>
  <c r="N120" i="4"/>
  <c r="M120" i="4"/>
  <c r="T120" i="1"/>
  <c r="S120" i="1"/>
  <c r="R120" i="1"/>
  <c r="Q120" i="1"/>
  <c r="P120" i="1"/>
  <c r="N120" i="1"/>
  <c r="O120" i="1"/>
  <c r="E121" i="1"/>
  <c r="J120" i="1"/>
  <c r="K120" i="1"/>
  <c r="G120" i="1"/>
  <c r="I120" i="1"/>
  <c r="M120" i="1" s="1"/>
  <c r="F120" i="1"/>
  <c r="H120" i="1"/>
  <c r="AA121" i="1"/>
  <c r="V121" i="1"/>
  <c r="AB121" i="1" s="1"/>
  <c r="W121" i="1"/>
  <c r="X121" i="1"/>
  <c r="Y121" i="1"/>
  <c r="Z121" i="1"/>
  <c r="U122" i="1"/>
  <c r="AG120" i="4" l="1"/>
  <c r="AC120" i="4"/>
  <c r="Y120" i="4"/>
  <c r="X120" i="4"/>
  <c r="AE120" i="4"/>
  <c r="AA120" i="4"/>
  <c r="AH120" i="4"/>
  <c r="AF120" i="4"/>
  <c r="AI120" i="4" s="1"/>
  <c r="U121" i="4"/>
  <c r="W120" i="4"/>
  <c r="Z120" i="4"/>
  <c r="AD120" i="4"/>
  <c r="V120" i="4"/>
  <c r="Q121" i="4"/>
  <c r="T121" i="4" s="1"/>
  <c r="N121" i="4"/>
  <c r="H121" i="4"/>
  <c r="G121" i="4"/>
  <c r="F121" i="4"/>
  <c r="M121" i="4" s="1"/>
  <c r="I121" i="4"/>
  <c r="E122" i="4"/>
  <c r="P121" i="4"/>
  <c r="K121" i="4"/>
  <c r="S121" i="4"/>
  <c r="O121" i="4"/>
  <c r="J121" i="4"/>
  <c r="R121" i="4"/>
  <c r="S121" i="1"/>
  <c r="T121" i="1"/>
  <c r="O121" i="1"/>
  <c r="R121" i="1"/>
  <c r="Q121" i="1"/>
  <c r="P121" i="1"/>
  <c r="N121" i="1"/>
  <c r="E122" i="1"/>
  <c r="J121" i="1"/>
  <c r="K121" i="1"/>
  <c r="F121" i="1"/>
  <c r="G121" i="1"/>
  <c r="I121" i="1"/>
  <c r="M121" i="1" s="1"/>
  <c r="H121" i="1"/>
  <c r="V122" i="1"/>
  <c r="AB122" i="1" s="1"/>
  <c r="W122" i="1"/>
  <c r="X122" i="1"/>
  <c r="Y122" i="1"/>
  <c r="Z122" i="1"/>
  <c r="AA122" i="1"/>
  <c r="U123" i="1"/>
  <c r="F122" i="4" l="1"/>
  <c r="R122" i="4"/>
  <c r="Q122" i="4"/>
  <c r="K122" i="4"/>
  <c r="G122" i="4"/>
  <c r="O122" i="4"/>
  <c r="N122" i="4"/>
  <c r="I122" i="4"/>
  <c r="T122" i="4"/>
  <c r="S122" i="4"/>
  <c r="J122" i="4"/>
  <c r="M122" i="4"/>
  <c r="E123" i="4"/>
  <c r="H122" i="4"/>
  <c r="P122" i="4"/>
  <c r="AB120" i="4"/>
  <c r="U122" i="4"/>
  <c r="X121" i="4"/>
  <c r="AD121" i="4"/>
  <c r="Y121" i="4"/>
  <c r="AF121" i="4"/>
  <c r="AI121" i="4"/>
  <c r="AE121" i="4"/>
  <c r="AA121" i="4"/>
  <c r="AG121" i="4"/>
  <c r="W121" i="4"/>
  <c r="AH121" i="4"/>
  <c r="V121" i="4"/>
  <c r="AB121" i="4" s="1"/>
  <c r="AC121" i="4"/>
  <c r="Z121" i="4"/>
  <c r="S122" i="1"/>
  <c r="T122" i="1"/>
  <c r="R122" i="1"/>
  <c r="Q122" i="1"/>
  <c r="O122" i="1"/>
  <c r="N122" i="1"/>
  <c r="P122" i="1"/>
  <c r="E123" i="1"/>
  <c r="I122" i="1"/>
  <c r="M122" i="1" s="1"/>
  <c r="J122" i="1"/>
  <c r="K122" i="1"/>
  <c r="H122" i="1"/>
  <c r="F122" i="1"/>
  <c r="G122" i="1"/>
  <c r="W123" i="1"/>
  <c r="X123" i="1"/>
  <c r="Y123" i="1"/>
  <c r="Z123" i="1"/>
  <c r="AA123" i="1"/>
  <c r="AB123" i="1"/>
  <c r="V123" i="1"/>
  <c r="U124" i="1"/>
  <c r="H123" i="4" l="1"/>
  <c r="S123" i="4"/>
  <c r="P123" i="4"/>
  <c r="J123" i="4"/>
  <c r="R123" i="4"/>
  <c r="E124" i="4"/>
  <c r="Q123" i="4"/>
  <c r="G123" i="4"/>
  <c r="O123" i="4"/>
  <c r="F123" i="4"/>
  <c r="M123" i="4" s="1"/>
  <c r="N123" i="4"/>
  <c r="T123" i="4" s="1"/>
  <c r="I123" i="4"/>
  <c r="K123" i="4"/>
  <c r="AE122" i="4"/>
  <c r="AA122" i="4"/>
  <c r="V122" i="4"/>
  <c r="AB122" i="4" s="1"/>
  <c r="AC122" i="4"/>
  <c r="W122" i="4"/>
  <c r="AH122" i="4"/>
  <c r="AG122" i="4"/>
  <c r="X122" i="4"/>
  <c r="AI122" i="4"/>
  <c r="AD122" i="4"/>
  <c r="Z122" i="4"/>
  <c r="Y122" i="4"/>
  <c r="U123" i="4"/>
  <c r="AF122" i="4"/>
  <c r="S123" i="1"/>
  <c r="T123" i="1"/>
  <c r="R123" i="1"/>
  <c r="Q123" i="1"/>
  <c r="P123" i="1"/>
  <c r="N123" i="1"/>
  <c r="O123" i="1"/>
  <c r="E124" i="1"/>
  <c r="K123" i="1"/>
  <c r="F123" i="1"/>
  <c r="G123" i="1"/>
  <c r="J123" i="1"/>
  <c r="H123" i="1"/>
  <c r="I123" i="1"/>
  <c r="M123" i="1" s="1"/>
  <c r="Y124" i="1"/>
  <c r="Z124" i="1"/>
  <c r="AA124" i="1"/>
  <c r="V124" i="1"/>
  <c r="AB124" i="1" s="1"/>
  <c r="W124" i="1"/>
  <c r="X124" i="1"/>
  <c r="U125" i="1"/>
  <c r="R124" i="4" l="1"/>
  <c r="N124" i="4"/>
  <c r="I124" i="4"/>
  <c r="M124" i="4"/>
  <c r="H124" i="4"/>
  <c r="Q124" i="4"/>
  <c r="T124" i="4" s="1"/>
  <c r="E125" i="4"/>
  <c r="J124" i="4"/>
  <c r="K124" i="4"/>
  <c r="S124" i="4"/>
  <c r="P124" i="4"/>
  <c r="O124" i="4"/>
  <c r="G124" i="4"/>
  <c r="F124" i="4"/>
  <c r="AE123" i="4"/>
  <c r="AD123" i="4"/>
  <c r="Z123" i="4"/>
  <c r="AC123" i="4"/>
  <c r="U124" i="4"/>
  <c r="W123" i="4"/>
  <c r="AH123" i="4"/>
  <c r="X123" i="4"/>
  <c r="V123" i="4"/>
  <c r="AB123" i="4" s="1"/>
  <c r="AG123" i="4"/>
  <c r="Y123" i="4"/>
  <c r="AI123" i="4"/>
  <c r="AF123" i="4"/>
  <c r="AA123" i="4"/>
  <c r="S124" i="1"/>
  <c r="T124" i="1"/>
  <c r="R124" i="1"/>
  <c r="Q124" i="1"/>
  <c r="P124" i="1"/>
  <c r="O124" i="1"/>
  <c r="N124" i="1"/>
  <c r="E125" i="1"/>
  <c r="I124" i="1"/>
  <c r="M124" i="1" s="1"/>
  <c r="J124" i="1"/>
  <c r="F124" i="1"/>
  <c r="G124" i="1"/>
  <c r="H124" i="1"/>
  <c r="K124" i="1"/>
  <c r="AA125" i="1"/>
  <c r="V125" i="1"/>
  <c r="AB125" i="1" s="1"/>
  <c r="W125" i="1"/>
  <c r="X125" i="1"/>
  <c r="Y125" i="1"/>
  <c r="Z125" i="1"/>
  <c r="U126" i="1"/>
  <c r="Q125" i="4" l="1"/>
  <c r="T125" i="4" s="1"/>
  <c r="H125" i="4"/>
  <c r="E126" i="4"/>
  <c r="F125" i="4"/>
  <c r="M125" i="4" s="1"/>
  <c r="O125" i="4"/>
  <c r="N125" i="4"/>
  <c r="S125" i="4"/>
  <c r="P125" i="4"/>
  <c r="J125" i="4"/>
  <c r="I125" i="4"/>
  <c r="K125" i="4"/>
  <c r="G125" i="4"/>
  <c r="R125" i="4"/>
  <c r="AG124" i="4"/>
  <c r="AC124" i="4"/>
  <c r="Y124" i="4"/>
  <c r="AB124" i="4" s="1"/>
  <c r="W124" i="4"/>
  <c r="AH124" i="4"/>
  <c r="AF124" i="4"/>
  <c r="AI124" i="4" s="1"/>
  <c r="AD124" i="4"/>
  <c r="X124" i="4"/>
  <c r="AE124" i="4"/>
  <c r="U125" i="4"/>
  <c r="AA124" i="4"/>
  <c r="Z124" i="4"/>
  <c r="V124" i="4"/>
  <c r="S125" i="1"/>
  <c r="T125" i="1"/>
  <c r="R125" i="1"/>
  <c r="O125" i="1"/>
  <c r="P125" i="1"/>
  <c r="Q125" i="1"/>
  <c r="N125" i="1"/>
  <c r="E126" i="1"/>
  <c r="H125" i="1"/>
  <c r="F125" i="1"/>
  <c r="G125" i="1"/>
  <c r="J125" i="1"/>
  <c r="I125" i="1"/>
  <c r="M125" i="1" s="1"/>
  <c r="K125" i="1"/>
  <c r="V126" i="1"/>
  <c r="AB126" i="1" s="1"/>
  <c r="W126" i="1"/>
  <c r="X126" i="1"/>
  <c r="Y126" i="1"/>
  <c r="Z126" i="1"/>
  <c r="AA126" i="1"/>
  <c r="U127" i="1"/>
  <c r="AF125" i="4" l="1"/>
  <c r="U126" i="4"/>
  <c r="X125" i="4"/>
  <c r="W125" i="4"/>
  <c r="AI125" i="4"/>
  <c r="AE125" i="4"/>
  <c r="AA125" i="4"/>
  <c r="AH125" i="4"/>
  <c r="Z125" i="4"/>
  <c r="Y125" i="4"/>
  <c r="AD125" i="4"/>
  <c r="V125" i="4"/>
  <c r="AB125" i="4" s="1"/>
  <c r="AC125" i="4"/>
  <c r="AG125" i="4"/>
  <c r="O126" i="4"/>
  <c r="J126" i="4"/>
  <c r="E127" i="4"/>
  <c r="T126" i="4"/>
  <c r="F126" i="4"/>
  <c r="R126" i="4"/>
  <c r="K126" i="4"/>
  <c r="N126" i="4"/>
  <c r="I126" i="4"/>
  <c r="Q126" i="4"/>
  <c r="S126" i="4"/>
  <c r="M126" i="4"/>
  <c r="H126" i="4"/>
  <c r="P126" i="4"/>
  <c r="G126" i="4"/>
  <c r="S126" i="1"/>
  <c r="T126" i="1"/>
  <c r="R126" i="1"/>
  <c r="N126" i="1"/>
  <c r="O126" i="1"/>
  <c r="P126" i="1"/>
  <c r="Q126" i="1"/>
  <c r="E127" i="1"/>
  <c r="H126" i="1"/>
  <c r="G126" i="1"/>
  <c r="F126" i="1"/>
  <c r="I126" i="1"/>
  <c r="M126" i="1" s="1"/>
  <c r="J126" i="1"/>
  <c r="K126" i="1"/>
  <c r="W127" i="1"/>
  <c r="X127" i="1"/>
  <c r="Y127" i="1"/>
  <c r="Z127" i="1"/>
  <c r="AA127" i="1"/>
  <c r="V127" i="1"/>
  <c r="AB127" i="1" s="1"/>
  <c r="U128" i="1"/>
  <c r="V126" i="4" l="1"/>
  <c r="AG126" i="4"/>
  <c r="AA126" i="4"/>
  <c r="AH126" i="4"/>
  <c r="AC126" i="4"/>
  <c r="Y126" i="4"/>
  <c r="AB126" i="4"/>
  <c r="AI126" i="4"/>
  <c r="AE126" i="4"/>
  <c r="Z126" i="4"/>
  <c r="AF126" i="4"/>
  <c r="U127" i="4"/>
  <c r="X126" i="4"/>
  <c r="W126" i="4"/>
  <c r="AD126" i="4"/>
  <c r="H127" i="4"/>
  <c r="K127" i="4"/>
  <c r="S127" i="4"/>
  <c r="N127" i="4"/>
  <c r="E128" i="4"/>
  <c r="Q127" i="4"/>
  <c r="P127" i="4"/>
  <c r="J127" i="4"/>
  <c r="G127" i="4"/>
  <c r="T127" i="4"/>
  <c r="O127" i="4"/>
  <c r="R127" i="4"/>
  <c r="I127" i="4"/>
  <c r="F127" i="4"/>
  <c r="M127" i="4" s="1"/>
  <c r="S127" i="1"/>
  <c r="T127" i="1"/>
  <c r="R127" i="1"/>
  <c r="Q127" i="1"/>
  <c r="P127" i="1"/>
  <c r="O127" i="1"/>
  <c r="N127" i="1"/>
  <c r="E128" i="1"/>
  <c r="K127" i="1"/>
  <c r="H127" i="1"/>
  <c r="F127" i="1"/>
  <c r="G127" i="1"/>
  <c r="I127" i="1"/>
  <c r="M127" i="1" s="1"/>
  <c r="J127" i="1"/>
  <c r="Y128" i="1"/>
  <c r="Z128" i="1"/>
  <c r="AA128" i="1"/>
  <c r="V128" i="1"/>
  <c r="AB128" i="1" s="1"/>
  <c r="W128" i="1"/>
  <c r="X128" i="1"/>
  <c r="U129" i="1"/>
  <c r="I128" i="4" l="1"/>
  <c r="M128" i="4"/>
  <c r="E129" i="4"/>
  <c r="F128" i="4"/>
  <c r="R128" i="4"/>
  <c r="Q128" i="4"/>
  <c r="T128" i="4" s="1"/>
  <c r="P128" i="4"/>
  <c r="O128" i="4"/>
  <c r="H128" i="4"/>
  <c r="G128" i="4"/>
  <c r="K128" i="4"/>
  <c r="J128" i="4"/>
  <c r="S128" i="4"/>
  <c r="N128" i="4"/>
  <c r="AF127" i="4"/>
  <c r="AI127" i="4" s="1"/>
  <c r="U128" i="4"/>
  <c r="AH127" i="4"/>
  <c r="AG127" i="4"/>
  <c r="X127" i="4"/>
  <c r="AA127" i="4"/>
  <c r="AD127" i="4"/>
  <c r="Z127" i="4"/>
  <c r="AE127" i="4"/>
  <c r="V127" i="4"/>
  <c r="AB127" i="4" s="1"/>
  <c r="W127" i="4"/>
  <c r="AC127" i="4"/>
  <c r="Y127" i="4"/>
  <c r="S128" i="1"/>
  <c r="T128" i="1"/>
  <c r="R128" i="1"/>
  <c r="Q128" i="1"/>
  <c r="P128" i="1"/>
  <c r="O128" i="1"/>
  <c r="N128" i="1"/>
  <c r="E129" i="1"/>
  <c r="K128" i="1"/>
  <c r="G128" i="1"/>
  <c r="F128" i="1"/>
  <c r="H128" i="1"/>
  <c r="J128" i="1"/>
  <c r="I128" i="1"/>
  <c r="M128" i="1" s="1"/>
  <c r="AA129" i="1"/>
  <c r="V129" i="1"/>
  <c r="AB129" i="1" s="1"/>
  <c r="W129" i="1"/>
  <c r="X129" i="1"/>
  <c r="Y129" i="1"/>
  <c r="Z129" i="1"/>
  <c r="U130" i="1"/>
  <c r="AF128" i="4" l="1"/>
  <c r="AI128" i="4" s="1"/>
  <c r="Z128" i="4"/>
  <c r="X128" i="4"/>
  <c r="AC128" i="4"/>
  <c r="U129" i="4"/>
  <c r="AE128" i="4"/>
  <c r="V128" i="4"/>
  <c r="AA128" i="4"/>
  <c r="W128" i="4"/>
  <c r="AH128" i="4"/>
  <c r="AD128" i="4"/>
  <c r="AG128" i="4"/>
  <c r="Y128" i="4"/>
  <c r="E130" i="4"/>
  <c r="P129" i="4"/>
  <c r="S129" i="4"/>
  <c r="K129" i="4"/>
  <c r="G129" i="4"/>
  <c r="O129" i="4"/>
  <c r="J129" i="4"/>
  <c r="F129" i="4"/>
  <c r="M129" i="4" s="1"/>
  <c r="R129" i="4"/>
  <c r="I129" i="4"/>
  <c r="H129" i="4"/>
  <c r="Q129" i="4"/>
  <c r="T129" i="4" s="1"/>
  <c r="N129" i="4"/>
  <c r="T129" i="1"/>
  <c r="S129" i="1"/>
  <c r="R129" i="1"/>
  <c r="Q129" i="1"/>
  <c r="P129" i="1"/>
  <c r="N129" i="1"/>
  <c r="O129" i="1"/>
  <c r="E130" i="1"/>
  <c r="J129" i="1"/>
  <c r="K129" i="1"/>
  <c r="G129" i="1"/>
  <c r="F129" i="1"/>
  <c r="I129" i="1"/>
  <c r="M129" i="1" s="1"/>
  <c r="H129" i="1"/>
  <c r="V130" i="1"/>
  <c r="AB130" i="1" s="1"/>
  <c r="W130" i="1"/>
  <c r="X130" i="1"/>
  <c r="Y130" i="1"/>
  <c r="Z130" i="1"/>
  <c r="AA130" i="1"/>
  <c r="U131" i="1"/>
  <c r="G130" i="4" l="1"/>
  <c r="S130" i="4"/>
  <c r="F130" i="4"/>
  <c r="P130" i="4"/>
  <c r="O130" i="4"/>
  <c r="J130" i="4"/>
  <c r="R130" i="4"/>
  <c r="M130" i="4"/>
  <c r="H130" i="4"/>
  <c r="N130" i="4"/>
  <c r="I130" i="4"/>
  <c r="Q130" i="4"/>
  <c r="T130" i="4"/>
  <c r="K130" i="4"/>
  <c r="E131" i="4"/>
  <c r="AC129" i="4"/>
  <c r="Y129" i="4"/>
  <c r="AI129" i="4"/>
  <c r="AH129" i="4"/>
  <c r="AD129" i="4"/>
  <c r="AG129" i="4"/>
  <c r="AB129" i="4"/>
  <c r="AF129" i="4"/>
  <c r="X129" i="4"/>
  <c r="AE129" i="4"/>
  <c r="AA129" i="4"/>
  <c r="U130" i="4"/>
  <c r="V129" i="4"/>
  <c r="Z129" i="4"/>
  <c r="W129" i="4"/>
  <c r="AB128" i="4"/>
  <c r="S130" i="1"/>
  <c r="T130" i="1"/>
  <c r="R130" i="1"/>
  <c r="P130" i="1"/>
  <c r="N130" i="1"/>
  <c r="O130" i="1"/>
  <c r="Q130" i="1"/>
  <c r="E131" i="1"/>
  <c r="K130" i="1"/>
  <c r="F130" i="1"/>
  <c r="G130" i="1"/>
  <c r="H130" i="1"/>
  <c r="I130" i="1"/>
  <c r="M130" i="1" s="1"/>
  <c r="J130" i="1"/>
  <c r="W131" i="1"/>
  <c r="X131" i="1"/>
  <c r="Y131" i="1"/>
  <c r="Z131" i="1"/>
  <c r="AA131" i="1"/>
  <c r="AB131" i="1"/>
  <c r="V131" i="1"/>
  <c r="U132" i="1"/>
  <c r="AC130" i="4" l="1"/>
  <c r="Y130" i="4"/>
  <c r="AI130" i="4"/>
  <c r="AH130" i="4"/>
  <c r="V130" i="4"/>
  <c r="AB130" i="4"/>
  <c r="AA130" i="4"/>
  <c r="AG130" i="4"/>
  <c r="AF130" i="4"/>
  <c r="U131" i="4"/>
  <c r="X130" i="4"/>
  <c r="AE130" i="4"/>
  <c r="Z130" i="4"/>
  <c r="W130" i="4"/>
  <c r="AD130" i="4"/>
  <c r="P131" i="4"/>
  <c r="S131" i="4"/>
  <c r="N131" i="4"/>
  <c r="H131" i="4"/>
  <c r="G131" i="4"/>
  <c r="J131" i="4"/>
  <c r="F131" i="4"/>
  <c r="M131" i="4" s="1"/>
  <c r="E132" i="4"/>
  <c r="O131" i="4"/>
  <c r="I131" i="4"/>
  <c r="Q131" i="4"/>
  <c r="K131" i="4"/>
  <c r="R131" i="4"/>
  <c r="T131" i="4"/>
  <c r="S131" i="1"/>
  <c r="T131" i="1"/>
  <c r="P131" i="1"/>
  <c r="R131" i="1"/>
  <c r="Q131" i="1"/>
  <c r="N131" i="1"/>
  <c r="O131" i="1"/>
  <c r="E132" i="1"/>
  <c r="H131" i="1"/>
  <c r="F131" i="1"/>
  <c r="K131" i="1"/>
  <c r="G131" i="1"/>
  <c r="I131" i="1"/>
  <c r="M131" i="1" s="1"/>
  <c r="J131" i="1"/>
  <c r="Y132" i="1"/>
  <c r="Z132" i="1"/>
  <c r="AA132" i="1"/>
  <c r="V132" i="1"/>
  <c r="AB132" i="1" s="1"/>
  <c r="W132" i="1"/>
  <c r="X132" i="1"/>
  <c r="U133" i="1"/>
  <c r="I132" i="4" l="1"/>
  <c r="M132" i="4"/>
  <c r="Q132" i="4"/>
  <c r="T132" i="4" s="1"/>
  <c r="G132" i="4"/>
  <c r="H132" i="4"/>
  <c r="S132" i="4"/>
  <c r="J132" i="4"/>
  <c r="F132" i="4"/>
  <c r="R132" i="4"/>
  <c r="E133" i="4"/>
  <c r="P132" i="4"/>
  <c r="K132" i="4"/>
  <c r="O132" i="4"/>
  <c r="N132" i="4"/>
  <c r="AF131" i="4"/>
  <c r="U132" i="4"/>
  <c r="AG131" i="4"/>
  <c r="X131" i="4"/>
  <c r="AI131" i="4"/>
  <c r="V131" i="4"/>
  <c r="AE131" i="4"/>
  <c r="AA131" i="4"/>
  <c r="AD131" i="4"/>
  <c r="Y131" i="4"/>
  <c r="W131" i="4"/>
  <c r="AH131" i="4"/>
  <c r="Z131" i="4"/>
  <c r="AB131" i="4"/>
  <c r="AC131" i="4"/>
  <c r="T132" i="1"/>
  <c r="S132" i="1"/>
  <c r="R132" i="1"/>
  <c r="Q132" i="1"/>
  <c r="O132" i="1"/>
  <c r="P132" i="1"/>
  <c r="N132" i="1"/>
  <c r="E133" i="1"/>
  <c r="J132" i="1"/>
  <c r="F132" i="1"/>
  <c r="G132" i="1"/>
  <c r="H132" i="1"/>
  <c r="K132" i="1"/>
  <c r="I132" i="1"/>
  <c r="M132" i="1" s="1"/>
  <c r="AA133" i="1"/>
  <c r="V133" i="1"/>
  <c r="AB133" i="1" s="1"/>
  <c r="W133" i="1"/>
  <c r="X133" i="1"/>
  <c r="Y133" i="1"/>
  <c r="Z133" i="1"/>
  <c r="U134" i="1"/>
  <c r="AB132" i="4" l="1"/>
  <c r="X132" i="4"/>
  <c r="AA132" i="4"/>
  <c r="V132" i="4"/>
  <c r="AF132" i="4"/>
  <c r="AI132" i="4" s="1"/>
  <c r="U133" i="4"/>
  <c r="AE132" i="4"/>
  <c r="AD132" i="4"/>
  <c r="Y132" i="4"/>
  <c r="W132" i="4"/>
  <c r="AC132" i="4"/>
  <c r="AH132" i="4"/>
  <c r="Z132" i="4"/>
  <c r="AG132" i="4"/>
  <c r="R133" i="4"/>
  <c r="K133" i="4"/>
  <c r="I133" i="4"/>
  <c r="Q133" i="4"/>
  <c r="S133" i="4"/>
  <c r="J133" i="4"/>
  <c r="N133" i="4"/>
  <c r="O133" i="4"/>
  <c r="E134" i="4"/>
  <c r="H133" i="4"/>
  <c r="G133" i="4"/>
  <c r="F133" i="4"/>
  <c r="M133" i="4" s="1"/>
  <c r="T133" i="4"/>
  <c r="P133" i="4"/>
  <c r="S133" i="1"/>
  <c r="T133" i="1"/>
  <c r="P133" i="1"/>
  <c r="R133" i="1"/>
  <c r="Q133" i="1"/>
  <c r="O133" i="1"/>
  <c r="N133" i="1"/>
  <c r="E134" i="1"/>
  <c r="I133" i="1"/>
  <c r="M133" i="1" s="1"/>
  <c r="H133" i="1"/>
  <c r="K133" i="1"/>
  <c r="J133" i="1"/>
  <c r="G133" i="1"/>
  <c r="F133" i="1"/>
  <c r="AB134" i="1"/>
  <c r="V134" i="1"/>
  <c r="W134" i="1"/>
  <c r="X134" i="1"/>
  <c r="Y134" i="1"/>
  <c r="Z134" i="1"/>
  <c r="AA134" i="1"/>
  <c r="U135" i="1"/>
  <c r="AB133" i="4" l="1"/>
  <c r="AF133" i="4"/>
  <c r="AH133" i="4"/>
  <c r="Z133" i="4"/>
  <c r="U134" i="4"/>
  <c r="X133" i="4"/>
  <c r="AE133" i="4"/>
  <c r="V133" i="4"/>
  <c r="AI133" i="4"/>
  <c r="W133" i="4"/>
  <c r="AA133" i="4"/>
  <c r="AG133" i="4"/>
  <c r="AD133" i="4"/>
  <c r="AC133" i="4"/>
  <c r="Y133" i="4"/>
  <c r="O134" i="4"/>
  <c r="J134" i="4"/>
  <c r="T134" i="4"/>
  <c r="G134" i="4"/>
  <c r="F134" i="4"/>
  <c r="R134" i="4"/>
  <c r="N134" i="4"/>
  <c r="I134" i="4"/>
  <c r="M134" i="4"/>
  <c r="Q134" i="4"/>
  <c r="P134" i="4"/>
  <c r="S134" i="4"/>
  <c r="E135" i="4"/>
  <c r="H134" i="4"/>
  <c r="K134" i="4"/>
  <c r="S134" i="1"/>
  <c r="T134" i="1"/>
  <c r="R134" i="1"/>
  <c r="Q134" i="1"/>
  <c r="P134" i="1"/>
  <c r="N134" i="1"/>
  <c r="O134" i="1"/>
  <c r="E135" i="1"/>
  <c r="H134" i="1"/>
  <c r="F134" i="1"/>
  <c r="G134" i="1"/>
  <c r="J134" i="1"/>
  <c r="K134" i="1"/>
  <c r="I134" i="1"/>
  <c r="M134" i="1" s="1"/>
  <c r="W135" i="1"/>
  <c r="X135" i="1"/>
  <c r="Y135" i="1"/>
  <c r="Z135" i="1"/>
  <c r="AA135" i="1"/>
  <c r="V135" i="1"/>
  <c r="AB135" i="1" s="1"/>
  <c r="U136" i="1"/>
  <c r="W134" i="4" l="1"/>
  <c r="AH134" i="4"/>
  <c r="X134" i="4"/>
  <c r="AE134" i="4"/>
  <c r="AD134" i="4"/>
  <c r="Z134" i="4"/>
  <c r="V134" i="4"/>
  <c r="AG134" i="4"/>
  <c r="AB134" i="4"/>
  <c r="AF134" i="4"/>
  <c r="AC134" i="4"/>
  <c r="Y134" i="4"/>
  <c r="U135" i="4"/>
  <c r="AI134" i="4"/>
  <c r="AA134" i="4"/>
  <c r="P135" i="4"/>
  <c r="J135" i="4"/>
  <c r="K135" i="4"/>
  <c r="S135" i="4"/>
  <c r="G135" i="4"/>
  <c r="I135" i="4"/>
  <c r="H135" i="4"/>
  <c r="O135" i="4"/>
  <c r="F135" i="4"/>
  <c r="M135" i="4" s="1"/>
  <c r="R135" i="4"/>
  <c r="N135" i="4"/>
  <c r="T135" i="4" s="1"/>
  <c r="Q135" i="4"/>
  <c r="E136" i="4"/>
  <c r="S135" i="1"/>
  <c r="T135" i="1"/>
  <c r="O135" i="1"/>
  <c r="Q135" i="1"/>
  <c r="P135" i="1"/>
  <c r="R135" i="1"/>
  <c r="N135" i="1"/>
  <c r="E136" i="1"/>
  <c r="K135" i="1"/>
  <c r="G135" i="1"/>
  <c r="F135" i="1"/>
  <c r="H135" i="1"/>
  <c r="I135" i="1"/>
  <c r="M135" i="1" s="1"/>
  <c r="J135" i="1"/>
  <c r="Y136" i="1"/>
  <c r="Z136" i="1"/>
  <c r="AA136" i="1"/>
  <c r="V136" i="1"/>
  <c r="AB136" i="1" s="1"/>
  <c r="W136" i="1"/>
  <c r="X136" i="1"/>
  <c r="U137" i="1"/>
  <c r="X135" i="4" l="1"/>
  <c r="U136" i="4"/>
  <c r="AH135" i="4"/>
  <c r="AC135" i="4"/>
  <c r="AA135" i="4"/>
  <c r="AE135" i="4"/>
  <c r="AI135" i="4"/>
  <c r="W135" i="4"/>
  <c r="AG135" i="4"/>
  <c r="Y135" i="4"/>
  <c r="AD135" i="4"/>
  <c r="AF135" i="4"/>
  <c r="Z135" i="4"/>
  <c r="V135" i="4"/>
  <c r="AB135" i="4"/>
  <c r="J136" i="4"/>
  <c r="F136" i="4"/>
  <c r="R136" i="4"/>
  <c r="N136" i="4"/>
  <c r="I136" i="4"/>
  <c r="M136" i="4"/>
  <c r="Q136" i="4"/>
  <c r="T136" i="4" s="1"/>
  <c r="K136" i="4"/>
  <c r="O136" i="4"/>
  <c r="H136" i="4"/>
  <c r="E137" i="4"/>
  <c r="P136" i="4"/>
  <c r="G136" i="4"/>
  <c r="S136" i="4"/>
  <c r="S136" i="1"/>
  <c r="T136" i="1"/>
  <c r="R136" i="1"/>
  <c r="Q136" i="1"/>
  <c r="P136" i="1"/>
  <c r="O136" i="1"/>
  <c r="N136" i="1"/>
  <c r="E137" i="1"/>
  <c r="J136" i="1"/>
  <c r="I136" i="1"/>
  <c r="M136" i="1" s="1"/>
  <c r="K136" i="1"/>
  <c r="G136" i="1"/>
  <c r="F136" i="1"/>
  <c r="H136" i="1"/>
  <c r="AA137" i="1"/>
  <c r="V137" i="1"/>
  <c r="AB137" i="1" s="1"/>
  <c r="W137" i="1"/>
  <c r="X137" i="1"/>
  <c r="Y137" i="1"/>
  <c r="Z137" i="1"/>
  <c r="U138" i="1"/>
  <c r="E138" i="4" l="1"/>
  <c r="P137" i="4"/>
  <c r="K137" i="4"/>
  <c r="G137" i="4"/>
  <c r="J137" i="4"/>
  <c r="Q137" i="4"/>
  <c r="T137" i="4" s="1"/>
  <c r="H137" i="4"/>
  <c r="S137" i="4"/>
  <c r="O137" i="4"/>
  <c r="F137" i="4"/>
  <c r="M137" i="4" s="1"/>
  <c r="R137" i="4"/>
  <c r="N137" i="4"/>
  <c r="I137" i="4"/>
  <c r="AF136" i="4"/>
  <c r="AI136" i="4" s="1"/>
  <c r="W136" i="4"/>
  <c r="X136" i="4"/>
  <c r="AH136" i="4"/>
  <c r="U137" i="4"/>
  <c r="AE136" i="4"/>
  <c r="AA136" i="4"/>
  <c r="AC136" i="4"/>
  <c r="Y136" i="4"/>
  <c r="AB136" i="4" s="1"/>
  <c r="AD136" i="4"/>
  <c r="Z136" i="4"/>
  <c r="V136" i="4"/>
  <c r="AG136" i="4"/>
  <c r="S137" i="1"/>
  <c r="T137" i="1"/>
  <c r="R137" i="1"/>
  <c r="Q137" i="1"/>
  <c r="N137" i="1"/>
  <c r="P137" i="1"/>
  <c r="O137" i="1"/>
  <c r="E138" i="1"/>
  <c r="K137" i="1"/>
  <c r="F137" i="1"/>
  <c r="H137" i="1"/>
  <c r="G137" i="1"/>
  <c r="I137" i="1"/>
  <c r="M137" i="1" s="1"/>
  <c r="J137" i="1"/>
  <c r="V138" i="1"/>
  <c r="AB138" i="1" s="1"/>
  <c r="W138" i="1"/>
  <c r="X138" i="1"/>
  <c r="Y138" i="1"/>
  <c r="Z138" i="1"/>
  <c r="AA138" i="1"/>
  <c r="U139" i="1"/>
  <c r="AC137" i="4" l="1"/>
  <c r="Y137" i="4"/>
  <c r="AD137" i="4"/>
  <c r="AB137" i="4"/>
  <c r="AF137" i="4"/>
  <c r="X137" i="4"/>
  <c r="AI137" i="4"/>
  <c r="W137" i="4"/>
  <c r="V137" i="4"/>
  <c r="U138" i="4"/>
  <c r="AE137" i="4"/>
  <c r="AA137" i="4"/>
  <c r="AH137" i="4"/>
  <c r="Z137" i="4"/>
  <c r="AG137" i="4"/>
  <c r="G138" i="4"/>
  <c r="S138" i="4"/>
  <c r="N138" i="4"/>
  <c r="Q138" i="4"/>
  <c r="E139" i="4"/>
  <c r="O138" i="4"/>
  <c r="J138" i="4"/>
  <c r="M138" i="4"/>
  <c r="H138" i="4"/>
  <c r="F138" i="4"/>
  <c r="R138" i="4"/>
  <c r="I138" i="4"/>
  <c r="K138" i="4"/>
  <c r="P138" i="4"/>
  <c r="T138" i="4"/>
  <c r="S138" i="1"/>
  <c r="T138" i="1"/>
  <c r="R138" i="1"/>
  <c r="N138" i="1"/>
  <c r="Q138" i="1"/>
  <c r="P138" i="1"/>
  <c r="O138" i="1"/>
  <c r="E139" i="1"/>
  <c r="K138" i="1"/>
  <c r="G138" i="1"/>
  <c r="J138" i="1"/>
  <c r="F138" i="1"/>
  <c r="H138" i="1"/>
  <c r="I138" i="1"/>
  <c r="M138" i="1" s="1"/>
  <c r="W139" i="1"/>
  <c r="X139" i="1"/>
  <c r="Y139" i="1"/>
  <c r="Z139" i="1"/>
  <c r="AA139" i="1"/>
  <c r="V139" i="1"/>
  <c r="AB139" i="1" s="1"/>
  <c r="U140" i="1"/>
  <c r="H139" i="4" l="1"/>
  <c r="K139" i="4"/>
  <c r="N139" i="4"/>
  <c r="I139" i="4"/>
  <c r="Q139" i="4"/>
  <c r="P139" i="4"/>
  <c r="S139" i="4"/>
  <c r="F139" i="4"/>
  <c r="M139" i="4" s="1"/>
  <c r="G139" i="4"/>
  <c r="J139" i="4"/>
  <c r="R139" i="4"/>
  <c r="E140" i="4"/>
  <c r="O139" i="4"/>
  <c r="T139" i="4"/>
  <c r="V138" i="4"/>
  <c r="AG138" i="4"/>
  <c r="AH138" i="4"/>
  <c r="AC138" i="4"/>
  <c r="Y138" i="4"/>
  <c r="AF138" i="4"/>
  <c r="AB138" i="4"/>
  <c r="X138" i="4"/>
  <c r="AE138" i="4"/>
  <c r="U139" i="4"/>
  <c r="AI138" i="4"/>
  <c r="AA138" i="4"/>
  <c r="W138" i="4"/>
  <c r="Z138" i="4"/>
  <c r="AD138" i="4"/>
  <c r="S139" i="1"/>
  <c r="T139" i="1"/>
  <c r="R139" i="1"/>
  <c r="Q139" i="1"/>
  <c r="P139" i="1"/>
  <c r="O139" i="1"/>
  <c r="N139" i="1"/>
  <c r="E140" i="1"/>
  <c r="F139" i="1"/>
  <c r="G139" i="1"/>
  <c r="H139" i="1"/>
  <c r="J139" i="1"/>
  <c r="I139" i="1"/>
  <c r="M139" i="1" s="1"/>
  <c r="K139" i="1"/>
  <c r="Y140" i="1"/>
  <c r="Z140" i="1"/>
  <c r="AA140" i="1"/>
  <c r="V140" i="1"/>
  <c r="AB140" i="1" s="1"/>
  <c r="W140" i="1"/>
  <c r="X140" i="1"/>
  <c r="U141" i="1"/>
  <c r="Y139" i="4" l="1"/>
  <c r="AB139" i="4"/>
  <c r="U140" i="4"/>
  <c r="W139" i="4"/>
  <c r="AG139" i="4"/>
  <c r="AF139" i="4"/>
  <c r="AI139" i="4"/>
  <c r="AD139" i="4"/>
  <c r="X139" i="4"/>
  <c r="AA139" i="4"/>
  <c r="AH139" i="4"/>
  <c r="Z139" i="4"/>
  <c r="AE139" i="4"/>
  <c r="V139" i="4"/>
  <c r="AC139" i="4"/>
  <c r="R140" i="4"/>
  <c r="N140" i="4"/>
  <c r="I140" i="4"/>
  <c r="M140" i="4"/>
  <c r="H140" i="4"/>
  <c r="E141" i="4"/>
  <c r="F140" i="4"/>
  <c r="Q140" i="4"/>
  <c r="T140" i="4" s="1"/>
  <c r="P140" i="4"/>
  <c r="G140" i="4"/>
  <c r="K140" i="4"/>
  <c r="O140" i="4"/>
  <c r="S140" i="4"/>
  <c r="J140" i="4"/>
  <c r="S140" i="1"/>
  <c r="T140" i="1"/>
  <c r="R140" i="1"/>
  <c r="Q140" i="1"/>
  <c r="P140" i="1"/>
  <c r="O140" i="1"/>
  <c r="N140" i="1"/>
  <c r="E141" i="1"/>
  <c r="J140" i="1"/>
  <c r="F140" i="1"/>
  <c r="G140" i="1"/>
  <c r="I140" i="1"/>
  <c r="M140" i="1" s="1"/>
  <c r="H140" i="1"/>
  <c r="K140" i="1"/>
  <c r="AA141" i="1"/>
  <c r="V141" i="1"/>
  <c r="AB141" i="1" s="1"/>
  <c r="W141" i="1"/>
  <c r="X141" i="1"/>
  <c r="Y141" i="1"/>
  <c r="Z141" i="1"/>
  <c r="U142" i="1"/>
  <c r="S141" i="4" l="1"/>
  <c r="O141" i="4"/>
  <c r="Q141" i="4"/>
  <c r="J141" i="4"/>
  <c r="F141" i="4"/>
  <c r="M141" i="4" s="1"/>
  <c r="N141" i="4"/>
  <c r="R141" i="4"/>
  <c r="T141" i="4"/>
  <c r="G141" i="4"/>
  <c r="I141" i="4"/>
  <c r="E142" i="4"/>
  <c r="H141" i="4"/>
  <c r="P141" i="4"/>
  <c r="K141" i="4"/>
  <c r="Y140" i="4"/>
  <c r="U141" i="4"/>
  <c r="AC140" i="4"/>
  <c r="AF140" i="4"/>
  <c r="AI140" i="4" s="1"/>
  <c r="W140" i="4"/>
  <c r="AB140" i="4"/>
  <c r="X140" i="4"/>
  <c r="AA140" i="4"/>
  <c r="AD140" i="4"/>
  <c r="AE140" i="4"/>
  <c r="AH140" i="4"/>
  <c r="Z140" i="4"/>
  <c r="AG140" i="4"/>
  <c r="V140" i="4"/>
  <c r="S141" i="1"/>
  <c r="T141" i="1"/>
  <c r="R141" i="1"/>
  <c r="Q141" i="1"/>
  <c r="P141" i="1"/>
  <c r="O141" i="1"/>
  <c r="N141" i="1"/>
  <c r="E142" i="1"/>
  <c r="I141" i="1"/>
  <c r="M141" i="1" s="1"/>
  <c r="G141" i="1"/>
  <c r="H141" i="1"/>
  <c r="J141" i="1"/>
  <c r="F141" i="1"/>
  <c r="K141" i="1"/>
  <c r="V142" i="1"/>
  <c r="AB142" i="1" s="1"/>
  <c r="W142" i="1"/>
  <c r="X142" i="1"/>
  <c r="Y142" i="1"/>
  <c r="Z142" i="1"/>
  <c r="AA142" i="1"/>
  <c r="U143" i="1"/>
  <c r="AB141" i="4" l="1"/>
  <c r="AF141" i="4"/>
  <c r="AE141" i="4"/>
  <c r="Z141" i="4"/>
  <c r="AG141" i="4"/>
  <c r="U142" i="4"/>
  <c r="X141" i="4"/>
  <c r="AA141" i="4"/>
  <c r="AC141" i="4"/>
  <c r="AI141" i="4"/>
  <c r="W141" i="4"/>
  <c r="AD141" i="4"/>
  <c r="AH141" i="4"/>
  <c r="Y141" i="4"/>
  <c r="V141" i="4"/>
  <c r="O142" i="4"/>
  <c r="J142" i="4"/>
  <c r="H142" i="4"/>
  <c r="Q142" i="4"/>
  <c r="P142" i="4"/>
  <c r="S142" i="4"/>
  <c r="F142" i="4"/>
  <c r="R142" i="4"/>
  <c r="M142" i="4"/>
  <c r="T142" i="4"/>
  <c r="N142" i="4"/>
  <c r="I142" i="4"/>
  <c r="K142" i="4"/>
  <c r="G142" i="4"/>
  <c r="E143" i="4"/>
  <c r="S142" i="1"/>
  <c r="T142" i="1"/>
  <c r="R142" i="1"/>
  <c r="Q142" i="1"/>
  <c r="N142" i="1"/>
  <c r="O142" i="1"/>
  <c r="P142" i="1"/>
  <c r="E143" i="1"/>
  <c r="F142" i="1"/>
  <c r="G142" i="1"/>
  <c r="H142" i="1"/>
  <c r="I142" i="1"/>
  <c r="M142" i="1" s="1"/>
  <c r="J142" i="1"/>
  <c r="K142" i="1"/>
  <c r="W143" i="1"/>
  <c r="X143" i="1"/>
  <c r="Y143" i="1"/>
  <c r="Z143" i="1"/>
  <c r="AA143" i="1"/>
  <c r="V143" i="1"/>
  <c r="AB143" i="1" s="1"/>
  <c r="U144" i="1"/>
  <c r="G143" i="4" l="1"/>
  <c r="J143" i="4"/>
  <c r="O143" i="4"/>
  <c r="F143" i="4"/>
  <c r="M143" i="4" s="1"/>
  <c r="R143" i="4"/>
  <c r="N143" i="4"/>
  <c r="T143" i="4" s="1"/>
  <c r="E144" i="4"/>
  <c r="Q143" i="4"/>
  <c r="H143" i="4"/>
  <c r="I143" i="4"/>
  <c r="K143" i="4"/>
  <c r="S143" i="4"/>
  <c r="P143" i="4"/>
  <c r="AD142" i="4"/>
  <c r="Z142" i="4"/>
  <c r="Y142" i="4"/>
  <c r="W142" i="4"/>
  <c r="V142" i="4"/>
  <c r="AG142" i="4"/>
  <c r="AC142" i="4"/>
  <c r="AH142" i="4"/>
  <c r="AB142" i="4"/>
  <c r="AF142" i="4"/>
  <c r="U143" i="4"/>
  <c r="AI142" i="4"/>
  <c r="AA142" i="4"/>
  <c r="X142" i="4"/>
  <c r="AE142" i="4"/>
  <c r="T143" i="1"/>
  <c r="S143" i="1"/>
  <c r="Q143" i="1"/>
  <c r="R143" i="1"/>
  <c r="O143" i="1"/>
  <c r="N143" i="1"/>
  <c r="P143" i="1"/>
  <c r="E144" i="1"/>
  <c r="K143" i="1"/>
  <c r="G143" i="1"/>
  <c r="F143" i="1"/>
  <c r="I143" i="1"/>
  <c r="M143" i="1" s="1"/>
  <c r="H143" i="1"/>
  <c r="J143" i="1"/>
  <c r="Y144" i="1"/>
  <c r="Z144" i="1"/>
  <c r="AA144" i="1"/>
  <c r="V144" i="1"/>
  <c r="AB144" i="1" s="1"/>
  <c r="W144" i="1"/>
  <c r="X144" i="1"/>
  <c r="U145" i="1"/>
  <c r="J144" i="4" l="1"/>
  <c r="F144" i="4"/>
  <c r="Q144" i="4"/>
  <c r="T144" i="4" s="1"/>
  <c r="O144" i="4"/>
  <c r="R144" i="4"/>
  <c r="N144" i="4"/>
  <c r="I144" i="4"/>
  <c r="M144" i="4"/>
  <c r="H144" i="4"/>
  <c r="K144" i="4"/>
  <c r="E145" i="4"/>
  <c r="P144" i="4"/>
  <c r="G144" i="4"/>
  <c r="S144" i="4"/>
  <c r="X143" i="4"/>
  <c r="AA143" i="4"/>
  <c r="AD143" i="4"/>
  <c r="Z143" i="4"/>
  <c r="AE143" i="4"/>
  <c r="U144" i="4"/>
  <c r="AH143" i="4"/>
  <c r="AC143" i="4"/>
  <c r="Y143" i="4"/>
  <c r="W143" i="4"/>
  <c r="V143" i="4"/>
  <c r="AB143" i="4"/>
  <c r="AF143" i="4"/>
  <c r="AG143" i="4"/>
  <c r="AI143" i="4"/>
  <c r="T144" i="1"/>
  <c r="S144" i="1"/>
  <c r="P144" i="1"/>
  <c r="Q144" i="1"/>
  <c r="N144" i="1"/>
  <c r="R144" i="1"/>
  <c r="O144" i="1"/>
  <c r="E145" i="1"/>
  <c r="K144" i="1"/>
  <c r="G144" i="1"/>
  <c r="F144" i="1"/>
  <c r="H144" i="1"/>
  <c r="I144" i="1"/>
  <c r="M144" i="1" s="1"/>
  <c r="J144" i="1"/>
  <c r="AA145" i="1"/>
  <c r="V145" i="1"/>
  <c r="AB145" i="1" s="1"/>
  <c r="W145" i="1"/>
  <c r="X145" i="1"/>
  <c r="Y145" i="1"/>
  <c r="Z145" i="1"/>
  <c r="U146" i="1"/>
  <c r="AF144" i="4" l="1"/>
  <c r="AI144" i="4" s="1"/>
  <c r="AH144" i="4"/>
  <c r="V144" i="4"/>
  <c r="AG144" i="4"/>
  <c r="X144" i="4"/>
  <c r="AD144" i="4"/>
  <c r="U145" i="4"/>
  <c r="AE144" i="4"/>
  <c r="Z144" i="4"/>
  <c r="AC144" i="4"/>
  <c r="AA144" i="4"/>
  <c r="W144" i="4"/>
  <c r="Y144" i="4"/>
  <c r="AB144" i="4" s="1"/>
  <c r="E146" i="4"/>
  <c r="P145" i="4"/>
  <c r="K145" i="4"/>
  <c r="G145" i="4"/>
  <c r="F145" i="4"/>
  <c r="M145" i="4" s="1"/>
  <c r="I145" i="4"/>
  <c r="Q145" i="4"/>
  <c r="T145" i="4" s="1"/>
  <c r="S145" i="4"/>
  <c r="O145" i="4"/>
  <c r="R145" i="4"/>
  <c r="J145" i="4"/>
  <c r="H145" i="4"/>
  <c r="N145" i="4"/>
  <c r="S145" i="1"/>
  <c r="T145" i="1"/>
  <c r="N145" i="1"/>
  <c r="P145" i="1"/>
  <c r="O145" i="1"/>
  <c r="Q145" i="1"/>
  <c r="R145" i="1"/>
  <c r="E146" i="1"/>
  <c r="K145" i="1"/>
  <c r="F145" i="1"/>
  <c r="G145" i="1"/>
  <c r="I145" i="1"/>
  <c r="M145" i="1" s="1"/>
  <c r="J145" i="1"/>
  <c r="H145" i="1"/>
  <c r="V146" i="1"/>
  <c r="AB146" i="1" s="1"/>
  <c r="W146" i="1"/>
  <c r="X146" i="1"/>
  <c r="Y146" i="1"/>
  <c r="Z146" i="1"/>
  <c r="AA146" i="1"/>
  <c r="U147" i="1"/>
  <c r="O146" i="4" l="1"/>
  <c r="J146" i="4"/>
  <c r="I146" i="4"/>
  <c r="M146" i="4"/>
  <c r="F146" i="4"/>
  <c r="R146" i="4"/>
  <c r="Q146" i="4"/>
  <c r="H146" i="4"/>
  <c r="N146" i="4"/>
  <c r="E147" i="4"/>
  <c r="G146" i="4"/>
  <c r="P146" i="4"/>
  <c r="T146" i="4"/>
  <c r="K146" i="4"/>
  <c r="S146" i="4"/>
  <c r="AB145" i="4"/>
  <c r="AF145" i="4"/>
  <c r="W145" i="4"/>
  <c r="AH145" i="4"/>
  <c r="Z145" i="4"/>
  <c r="AC145" i="4"/>
  <c r="U146" i="4"/>
  <c r="X145" i="4"/>
  <c r="AE145" i="4"/>
  <c r="AD145" i="4"/>
  <c r="AI145" i="4"/>
  <c r="AA145" i="4"/>
  <c r="V145" i="4"/>
  <c r="Y145" i="4"/>
  <c r="AG145" i="4"/>
  <c r="S146" i="1"/>
  <c r="T146" i="1"/>
  <c r="R146" i="1"/>
  <c r="P146" i="1"/>
  <c r="O146" i="1"/>
  <c r="Q146" i="1"/>
  <c r="N146" i="1"/>
  <c r="E147" i="1"/>
  <c r="K146" i="1"/>
  <c r="F146" i="1"/>
  <c r="G146" i="1"/>
  <c r="H146" i="1"/>
  <c r="J146" i="1"/>
  <c r="I146" i="1"/>
  <c r="M146" i="1" s="1"/>
  <c r="W147" i="1"/>
  <c r="X147" i="1"/>
  <c r="Y147" i="1"/>
  <c r="Z147" i="1"/>
  <c r="AA147" i="1"/>
  <c r="V147" i="1"/>
  <c r="AB147" i="1" s="1"/>
  <c r="U148" i="1"/>
  <c r="W146" i="4" l="1"/>
  <c r="AH146" i="4"/>
  <c r="AA146" i="4"/>
  <c r="AD146" i="4"/>
  <c r="Z146" i="4"/>
  <c r="V146" i="4"/>
  <c r="AG146" i="4"/>
  <c r="AC146" i="4"/>
  <c r="Y146" i="4"/>
  <c r="X146" i="4"/>
  <c r="AE146" i="4"/>
  <c r="AB146" i="4"/>
  <c r="U147" i="4"/>
  <c r="AF146" i="4"/>
  <c r="AI146" i="4"/>
  <c r="P147" i="4"/>
  <c r="J147" i="4"/>
  <c r="K147" i="4"/>
  <c r="G147" i="4"/>
  <c r="O147" i="4"/>
  <c r="H147" i="4"/>
  <c r="F147" i="4"/>
  <c r="M147" i="4" s="1"/>
  <c r="I147" i="4"/>
  <c r="E148" i="4"/>
  <c r="S147" i="4"/>
  <c r="R147" i="4"/>
  <c r="N147" i="4"/>
  <c r="T147" i="4" s="1"/>
  <c r="Q147" i="4"/>
  <c r="S147" i="1"/>
  <c r="T147" i="1"/>
  <c r="R147" i="1"/>
  <c r="P147" i="1"/>
  <c r="Q147" i="1"/>
  <c r="N147" i="1"/>
  <c r="O147" i="1"/>
  <c r="E148" i="1"/>
  <c r="F147" i="1"/>
  <c r="K147" i="1"/>
  <c r="G147" i="1"/>
  <c r="I147" i="1"/>
  <c r="M147" i="1" s="1"/>
  <c r="J147" i="1"/>
  <c r="H147" i="1"/>
  <c r="Y148" i="1"/>
  <c r="Z148" i="1"/>
  <c r="AA148" i="1"/>
  <c r="V148" i="1"/>
  <c r="AB148" i="1" s="1"/>
  <c r="W148" i="1"/>
  <c r="X148" i="1"/>
  <c r="U149" i="1"/>
  <c r="Y147" i="4" l="1"/>
  <c r="AB147" i="4"/>
  <c r="AD147" i="4"/>
  <c r="AC147" i="4"/>
  <c r="AG147" i="4"/>
  <c r="AA147" i="4"/>
  <c r="AF147" i="4"/>
  <c r="AI147" i="4" s="1"/>
  <c r="AE147" i="4"/>
  <c r="V147" i="4"/>
  <c r="X147" i="4"/>
  <c r="W147" i="4"/>
  <c r="AH147" i="4"/>
  <c r="Z147" i="4"/>
  <c r="U148" i="4"/>
  <c r="I148" i="4"/>
  <c r="E149" i="4"/>
  <c r="K148" i="4"/>
  <c r="R148" i="4"/>
  <c r="Q148" i="4"/>
  <c r="T148" i="4"/>
  <c r="F148" i="4"/>
  <c r="H148" i="4"/>
  <c r="N148" i="4"/>
  <c r="O148" i="4"/>
  <c r="P148" i="4"/>
  <c r="J148" i="4"/>
  <c r="G148" i="4"/>
  <c r="M148" i="4"/>
  <c r="S148" i="4"/>
  <c r="S148" i="1"/>
  <c r="T148" i="1"/>
  <c r="R148" i="1"/>
  <c r="Q148" i="1"/>
  <c r="P148" i="1"/>
  <c r="O148" i="1"/>
  <c r="N148" i="1"/>
  <c r="E149" i="1"/>
  <c r="J148" i="1"/>
  <c r="F148" i="1"/>
  <c r="G148" i="1"/>
  <c r="K148" i="1"/>
  <c r="H148" i="1"/>
  <c r="I148" i="1"/>
  <c r="M148" i="1" s="1"/>
  <c r="AA149" i="1"/>
  <c r="V149" i="1"/>
  <c r="AB149" i="1" s="1"/>
  <c r="W149" i="1"/>
  <c r="X149" i="1"/>
  <c r="Y149" i="1"/>
  <c r="Z149" i="1"/>
  <c r="U150" i="1"/>
  <c r="AF148" i="4" l="1"/>
  <c r="X148" i="4"/>
  <c r="W148" i="4"/>
  <c r="AH148" i="4"/>
  <c r="AC148" i="4"/>
  <c r="AB148" i="4"/>
  <c r="U149" i="4"/>
  <c r="AI148" i="4"/>
  <c r="AE148" i="4"/>
  <c r="AA148" i="4"/>
  <c r="AD148" i="4"/>
  <c r="Y148" i="4"/>
  <c r="Z148" i="4"/>
  <c r="V148" i="4"/>
  <c r="AG148" i="4"/>
  <c r="R149" i="4"/>
  <c r="N149" i="4"/>
  <c r="I149" i="4"/>
  <c r="J149" i="4"/>
  <c r="H149" i="4"/>
  <c r="Q149" i="4"/>
  <c r="T149" i="4" s="1"/>
  <c r="P149" i="4"/>
  <c r="S149" i="4"/>
  <c r="F149" i="4"/>
  <c r="M149" i="4" s="1"/>
  <c r="E150" i="4"/>
  <c r="K149" i="4"/>
  <c r="G149" i="4"/>
  <c r="O149" i="4"/>
  <c r="S149" i="1"/>
  <c r="T149" i="1"/>
  <c r="R149" i="1"/>
  <c r="P149" i="1"/>
  <c r="Q149" i="1"/>
  <c r="O149" i="1"/>
  <c r="N149" i="1"/>
  <c r="E150" i="1"/>
  <c r="I149" i="1"/>
  <c r="M149" i="1" s="1"/>
  <c r="G149" i="1"/>
  <c r="F149" i="1"/>
  <c r="H149" i="1"/>
  <c r="K149" i="1"/>
  <c r="J149" i="1"/>
  <c r="V150" i="1"/>
  <c r="AB150" i="1" s="1"/>
  <c r="W150" i="1"/>
  <c r="X150" i="1"/>
  <c r="Y150" i="1"/>
  <c r="Z150" i="1"/>
  <c r="AA150" i="1"/>
  <c r="U151" i="1"/>
  <c r="AH149" i="4" l="1"/>
  <c r="V149" i="4"/>
  <c r="Y149" i="4"/>
  <c r="AB149" i="4" s="1"/>
  <c r="AC149" i="4"/>
  <c r="Z149" i="4"/>
  <c r="AD149" i="4"/>
  <c r="AF149" i="4"/>
  <c r="AI149" i="4" s="1"/>
  <c r="U150" i="4"/>
  <c r="AA149" i="4"/>
  <c r="AG149" i="4"/>
  <c r="X149" i="4"/>
  <c r="AE149" i="4"/>
  <c r="W149" i="4"/>
  <c r="N150" i="4"/>
  <c r="I150" i="4"/>
  <c r="O150" i="4"/>
  <c r="R150" i="4"/>
  <c r="M150" i="4"/>
  <c r="Q150" i="4"/>
  <c r="S150" i="4"/>
  <c r="E151" i="4"/>
  <c r="H150" i="4"/>
  <c r="P150" i="4"/>
  <c r="G150" i="4"/>
  <c r="T150" i="4"/>
  <c r="K150" i="4"/>
  <c r="F150" i="4"/>
  <c r="J150" i="4"/>
  <c r="S150" i="1"/>
  <c r="T150" i="1"/>
  <c r="R150" i="1"/>
  <c r="O150" i="1"/>
  <c r="N150" i="1"/>
  <c r="P150" i="1"/>
  <c r="Q150" i="1"/>
  <c r="E151" i="1"/>
  <c r="H150" i="1"/>
  <c r="F150" i="1"/>
  <c r="G150" i="1"/>
  <c r="I150" i="1"/>
  <c r="M150" i="1" s="1"/>
  <c r="J150" i="1"/>
  <c r="K150" i="1"/>
  <c r="W151" i="1"/>
  <c r="X151" i="1"/>
  <c r="Y151" i="1"/>
  <c r="Z151" i="1"/>
  <c r="AA151" i="1"/>
  <c r="V151" i="1"/>
  <c r="AB151" i="1" s="1"/>
  <c r="U152" i="1"/>
  <c r="U151" i="4" l="1"/>
  <c r="X150" i="4"/>
  <c r="AH150" i="4"/>
  <c r="AD150" i="4"/>
  <c r="V150" i="4"/>
  <c r="AI150" i="4"/>
  <c r="W150" i="4"/>
  <c r="AE150" i="4"/>
  <c r="AA150" i="4"/>
  <c r="Z150" i="4"/>
  <c r="AB150" i="4"/>
  <c r="AG150" i="4"/>
  <c r="AC150" i="4"/>
  <c r="AF150" i="4"/>
  <c r="Y150" i="4"/>
  <c r="O151" i="4"/>
  <c r="R151" i="4"/>
  <c r="P151" i="4"/>
  <c r="F151" i="4"/>
  <c r="I151" i="4"/>
  <c r="J151" i="4"/>
  <c r="N151" i="4"/>
  <c r="T151" i="4" s="1"/>
  <c r="K151" i="4"/>
  <c r="G151" i="4"/>
  <c r="M151" i="4"/>
  <c r="Q151" i="4"/>
  <c r="E152" i="4"/>
  <c r="H151" i="4"/>
  <c r="S151" i="4"/>
  <c r="S151" i="1"/>
  <c r="T151" i="1"/>
  <c r="R151" i="1"/>
  <c r="Q151" i="1"/>
  <c r="P151" i="1"/>
  <c r="O151" i="1"/>
  <c r="N151" i="1"/>
  <c r="E152" i="1"/>
  <c r="K151" i="1"/>
  <c r="G151" i="1"/>
  <c r="F151" i="1"/>
  <c r="J151" i="1"/>
  <c r="H151" i="1"/>
  <c r="I151" i="1"/>
  <c r="M151" i="1" s="1"/>
  <c r="Y152" i="1"/>
  <c r="Z152" i="1"/>
  <c r="AA152" i="1"/>
  <c r="V152" i="1"/>
  <c r="AB152" i="1" s="1"/>
  <c r="W152" i="1"/>
  <c r="X152" i="1"/>
  <c r="U153" i="1"/>
  <c r="Q152" i="4" l="1"/>
  <c r="E153" i="4"/>
  <c r="H152" i="4"/>
  <c r="T152" i="4"/>
  <c r="P152" i="4"/>
  <c r="K152" i="4"/>
  <c r="O152" i="4"/>
  <c r="G152" i="4"/>
  <c r="S152" i="4"/>
  <c r="J152" i="4"/>
  <c r="F152" i="4"/>
  <c r="R152" i="4"/>
  <c r="I152" i="4"/>
  <c r="N152" i="4"/>
  <c r="M152" i="4"/>
  <c r="X151" i="4"/>
  <c r="AI151" i="4"/>
  <c r="Y151" i="4"/>
  <c r="AE151" i="4"/>
  <c r="AA151" i="4"/>
  <c r="AB151" i="4"/>
  <c r="W151" i="4"/>
  <c r="Z151" i="4"/>
  <c r="V151" i="4"/>
  <c r="U152" i="4"/>
  <c r="AD151" i="4"/>
  <c r="AH151" i="4"/>
  <c r="AF151" i="4"/>
  <c r="AG151" i="4"/>
  <c r="AC151" i="4"/>
  <c r="S152" i="1"/>
  <c r="T152" i="1"/>
  <c r="R152" i="1"/>
  <c r="Q152" i="1"/>
  <c r="P152" i="1"/>
  <c r="N152" i="1"/>
  <c r="O152" i="1"/>
  <c r="E153" i="1"/>
  <c r="K152" i="1"/>
  <c r="F152" i="1"/>
  <c r="I152" i="1"/>
  <c r="M152" i="1" s="1"/>
  <c r="J152" i="1"/>
  <c r="G152" i="1"/>
  <c r="H152" i="1"/>
  <c r="AA153" i="1"/>
  <c r="V153" i="1"/>
  <c r="AB153" i="1" s="1"/>
  <c r="W153" i="1"/>
  <c r="X153" i="1"/>
  <c r="Y153" i="1"/>
  <c r="Z153" i="1"/>
  <c r="U154" i="1"/>
  <c r="Q153" i="4" l="1"/>
  <c r="T153" i="4" s="1"/>
  <c r="K153" i="4"/>
  <c r="H153" i="4"/>
  <c r="G153" i="4"/>
  <c r="I153" i="4"/>
  <c r="E154" i="4"/>
  <c r="P153" i="4"/>
  <c r="R153" i="4"/>
  <c r="S153" i="4"/>
  <c r="O153" i="4"/>
  <c r="J153" i="4"/>
  <c r="F153" i="4"/>
  <c r="M153" i="4" s="1"/>
  <c r="N153" i="4"/>
  <c r="AI152" i="4"/>
  <c r="AE152" i="4"/>
  <c r="AC152" i="4"/>
  <c r="AA152" i="4"/>
  <c r="W152" i="4"/>
  <c r="AB152" i="4"/>
  <c r="AH152" i="4"/>
  <c r="AD152" i="4"/>
  <c r="Z152" i="4"/>
  <c r="Y152" i="4"/>
  <c r="V152" i="4"/>
  <c r="AF152" i="4"/>
  <c r="X152" i="4"/>
  <c r="AG152" i="4"/>
  <c r="U153" i="4"/>
  <c r="T153" i="1"/>
  <c r="S153" i="1"/>
  <c r="R153" i="1"/>
  <c r="Q153" i="1"/>
  <c r="P153" i="1"/>
  <c r="O153" i="1"/>
  <c r="N153" i="1"/>
  <c r="E154" i="1"/>
  <c r="K153" i="1"/>
  <c r="F153" i="1"/>
  <c r="G153" i="1"/>
  <c r="I153" i="1"/>
  <c r="M153" i="1" s="1"/>
  <c r="J153" i="1"/>
  <c r="H153" i="1"/>
  <c r="V154" i="1"/>
  <c r="AB154" i="1" s="1"/>
  <c r="W154" i="1"/>
  <c r="X154" i="1"/>
  <c r="Y154" i="1"/>
  <c r="Z154" i="1"/>
  <c r="AA154" i="1"/>
  <c r="U155" i="1"/>
  <c r="M154" i="4" l="1"/>
  <c r="Q154" i="4"/>
  <c r="G154" i="4"/>
  <c r="E155" i="4"/>
  <c r="H154" i="4"/>
  <c r="I154" i="4"/>
  <c r="T154" i="4"/>
  <c r="P154" i="4"/>
  <c r="S154" i="4"/>
  <c r="J154" i="4"/>
  <c r="R154" i="4"/>
  <c r="K154" i="4"/>
  <c r="O154" i="4"/>
  <c r="N154" i="4"/>
  <c r="F154" i="4"/>
  <c r="U154" i="4"/>
  <c r="X153" i="4"/>
  <c r="Z153" i="4"/>
  <c r="AI153" i="4"/>
  <c r="AE153" i="4"/>
  <c r="AH153" i="4"/>
  <c r="AC153" i="4"/>
  <c r="AB153" i="4"/>
  <c r="AA153" i="4"/>
  <c r="W153" i="4"/>
  <c r="AD153" i="4"/>
  <c r="V153" i="4"/>
  <c r="AF153" i="4"/>
  <c r="AG153" i="4"/>
  <c r="Y153" i="4"/>
  <c r="S154" i="1"/>
  <c r="T154" i="1"/>
  <c r="Q154" i="1"/>
  <c r="R154" i="1"/>
  <c r="O154" i="1"/>
  <c r="P154" i="1"/>
  <c r="N154" i="1"/>
  <c r="E155" i="1"/>
  <c r="K154" i="1"/>
  <c r="G154" i="1"/>
  <c r="I154" i="1"/>
  <c r="M154" i="1" s="1"/>
  <c r="F154" i="1"/>
  <c r="J154" i="1"/>
  <c r="H154" i="1"/>
  <c r="W155" i="1"/>
  <c r="X155" i="1"/>
  <c r="Y155" i="1"/>
  <c r="Z155" i="1"/>
  <c r="AA155" i="1"/>
  <c r="V155" i="1"/>
  <c r="AB155" i="1" s="1"/>
  <c r="U156" i="1"/>
  <c r="AC154" i="4" l="1"/>
  <c r="Y154" i="4"/>
  <c r="AH154" i="4"/>
  <c r="AB154" i="4"/>
  <c r="AF154" i="4"/>
  <c r="W154" i="4"/>
  <c r="V154" i="4"/>
  <c r="U155" i="4"/>
  <c r="X154" i="4"/>
  <c r="AI154" i="4"/>
  <c r="AD154" i="4"/>
  <c r="AE154" i="4"/>
  <c r="AA154" i="4"/>
  <c r="Z154" i="4"/>
  <c r="AG154" i="4"/>
  <c r="F155" i="4"/>
  <c r="I155" i="4"/>
  <c r="O155" i="4"/>
  <c r="N155" i="4"/>
  <c r="M155" i="4"/>
  <c r="Q155" i="4"/>
  <c r="T155" i="4" s="1"/>
  <c r="E156" i="4"/>
  <c r="S155" i="4"/>
  <c r="J155" i="4"/>
  <c r="H155" i="4"/>
  <c r="K155" i="4"/>
  <c r="P155" i="4"/>
  <c r="G155" i="4"/>
  <c r="R155" i="4"/>
  <c r="S155" i="1"/>
  <c r="T155" i="1"/>
  <c r="Q155" i="1"/>
  <c r="R155" i="1"/>
  <c r="O155" i="1"/>
  <c r="P155" i="1"/>
  <c r="N155" i="1"/>
  <c r="E156" i="1"/>
  <c r="G155" i="1"/>
  <c r="K155" i="1"/>
  <c r="H155" i="1"/>
  <c r="J155" i="1"/>
  <c r="I155" i="1"/>
  <c r="M155" i="1" s="1"/>
  <c r="F155" i="1"/>
  <c r="Y156" i="1"/>
  <c r="Z156" i="1"/>
  <c r="AA156" i="1"/>
  <c r="V156" i="1"/>
  <c r="AB156" i="1" s="1"/>
  <c r="W156" i="1"/>
  <c r="X156" i="1"/>
  <c r="U157" i="1"/>
  <c r="AE155" i="4" l="1"/>
  <c r="AA155" i="4"/>
  <c r="W155" i="4"/>
  <c r="AH155" i="4"/>
  <c r="AG155" i="4"/>
  <c r="AB155" i="4"/>
  <c r="U156" i="4"/>
  <c r="AD155" i="4"/>
  <c r="Z155" i="4"/>
  <c r="V155" i="4"/>
  <c r="Y155" i="4"/>
  <c r="X155" i="4"/>
  <c r="AC155" i="4"/>
  <c r="AF155" i="4"/>
  <c r="AI155" i="4"/>
  <c r="I156" i="4"/>
  <c r="M156" i="4"/>
  <c r="K156" i="4"/>
  <c r="G156" i="4"/>
  <c r="S156" i="4"/>
  <c r="N156" i="4"/>
  <c r="Q156" i="4"/>
  <c r="E157" i="4"/>
  <c r="P156" i="4"/>
  <c r="O156" i="4"/>
  <c r="J156" i="4"/>
  <c r="H156" i="4"/>
  <c r="T156" i="4"/>
  <c r="F156" i="4"/>
  <c r="R156" i="4"/>
  <c r="T156" i="1"/>
  <c r="S156" i="1"/>
  <c r="Q156" i="1"/>
  <c r="R156" i="1"/>
  <c r="O156" i="1"/>
  <c r="P156" i="1"/>
  <c r="N156" i="1"/>
  <c r="E157" i="1"/>
  <c r="J156" i="1"/>
  <c r="G156" i="1"/>
  <c r="H156" i="1"/>
  <c r="K156" i="1"/>
  <c r="F156" i="1"/>
  <c r="I156" i="1"/>
  <c r="M156" i="1" s="1"/>
  <c r="AA157" i="1"/>
  <c r="V157" i="1"/>
  <c r="AB157" i="1" s="1"/>
  <c r="W157" i="1"/>
  <c r="X157" i="1"/>
  <c r="Y157" i="1"/>
  <c r="Z157" i="1"/>
  <c r="U158" i="1"/>
  <c r="AF156" i="4" l="1"/>
  <c r="W156" i="4"/>
  <c r="Z156" i="4"/>
  <c r="U157" i="4"/>
  <c r="X156" i="4"/>
  <c r="AB156" i="4"/>
  <c r="AI156" i="4"/>
  <c r="AE156" i="4"/>
  <c r="AA156" i="4"/>
  <c r="AD156" i="4"/>
  <c r="AH156" i="4"/>
  <c r="V156" i="4"/>
  <c r="AG156" i="4"/>
  <c r="AC156" i="4"/>
  <c r="Y156" i="4"/>
  <c r="R157" i="4"/>
  <c r="N157" i="4"/>
  <c r="H157" i="4"/>
  <c r="F157" i="4"/>
  <c r="M157" i="4" s="1"/>
  <c r="I157" i="4"/>
  <c r="J157" i="4"/>
  <c r="Q157" i="4"/>
  <c r="T157" i="4" s="1"/>
  <c r="P157" i="4"/>
  <c r="G157" i="4"/>
  <c r="S157" i="4"/>
  <c r="E158" i="4"/>
  <c r="K157" i="4"/>
  <c r="O157" i="4"/>
  <c r="S157" i="1"/>
  <c r="T157" i="1"/>
  <c r="Q157" i="1"/>
  <c r="R157" i="1"/>
  <c r="O157" i="1"/>
  <c r="N157" i="1"/>
  <c r="P157" i="1"/>
  <c r="E158" i="1"/>
  <c r="I157" i="1"/>
  <c r="M157" i="1" s="1"/>
  <c r="G157" i="1"/>
  <c r="H157" i="1"/>
  <c r="F157" i="1"/>
  <c r="K157" i="1"/>
  <c r="J157" i="1"/>
  <c r="V158" i="1"/>
  <c r="AB158" i="1" s="1"/>
  <c r="W158" i="1"/>
  <c r="X158" i="1"/>
  <c r="Y158" i="1"/>
  <c r="Z158" i="1"/>
  <c r="AA158" i="1"/>
  <c r="U159" i="1"/>
  <c r="AA157" i="4" l="1"/>
  <c r="W157" i="4"/>
  <c r="AF157" i="4"/>
  <c r="AE157" i="4"/>
  <c r="AH157" i="4"/>
  <c r="AD157" i="4"/>
  <c r="AB157" i="4"/>
  <c r="X157" i="4"/>
  <c r="Z157" i="4"/>
  <c r="V157" i="4"/>
  <c r="AG157" i="4"/>
  <c r="AI157" i="4"/>
  <c r="AC157" i="4"/>
  <c r="Y157" i="4"/>
  <c r="U158" i="4"/>
  <c r="T158" i="4"/>
  <c r="G158" i="4"/>
  <c r="O158" i="4"/>
  <c r="Q158" i="4"/>
  <c r="K158" i="4"/>
  <c r="P158" i="4"/>
  <c r="J158" i="4"/>
  <c r="E159" i="4"/>
  <c r="S158" i="4"/>
  <c r="R158" i="4"/>
  <c r="N158" i="4"/>
  <c r="M158" i="4"/>
  <c r="F158" i="4"/>
  <c r="H158" i="4"/>
  <c r="I158" i="4"/>
  <c r="S158" i="1"/>
  <c r="T158" i="1"/>
  <c r="R158" i="1"/>
  <c r="Q158" i="1"/>
  <c r="P158" i="1"/>
  <c r="O158" i="1"/>
  <c r="N158" i="1"/>
  <c r="E159" i="1"/>
  <c r="F158" i="1"/>
  <c r="H158" i="1"/>
  <c r="K158" i="1"/>
  <c r="I158" i="1"/>
  <c r="M158" i="1" s="1"/>
  <c r="G158" i="1"/>
  <c r="J158" i="1"/>
  <c r="W159" i="1"/>
  <c r="X159" i="1"/>
  <c r="Y159" i="1"/>
  <c r="Z159" i="1"/>
  <c r="AA159" i="1"/>
  <c r="V159" i="1"/>
  <c r="AB159" i="1" s="1"/>
  <c r="U160" i="1"/>
  <c r="V158" i="4" l="1"/>
  <c r="AG158" i="4"/>
  <c r="AC158" i="4"/>
  <c r="Y158" i="4"/>
  <c r="X158" i="4"/>
  <c r="AA158" i="4"/>
  <c r="W158" i="4"/>
  <c r="AD158" i="4"/>
  <c r="Z158" i="4"/>
  <c r="AB158" i="4"/>
  <c r="AF158" i="4"/>
  <c r="AI158" i="4"/>
  <c r="U159" i="4"/>
  <c r="AE158" i="4"/>
  <c r="AH158" i="4"/>
  <c r="O159" i="4"/>
  <c r="R159" i="4"/>
  <c r="F159" i="4"/>
  <c r="I159" i="4"/>
  <c r="N159" i="4"/>
  <c r="E160" i="4"/>
  <c r="H159" i="4"/>
  <c r="S159" i="4"/>
  <c r="M159" i="4"/>
  <c r="K159" i="4"/>
  <c r="P159" i="4"/>
  <c r="Q159" i="4"/>
  <c r="T159" i="4" s="1"/>
  <c r="J159" i="4"/>
  <c r="G159" i="4"/>
  <c r="S159" i="1"/>
  <c r="T159" i="1"/>
  <c r="R159" i="1"/>
  <c r="Q159" i="1"/>
  <c r="P159" i="1"/>
  <c r="N159" i="1"/>
  <c r="O159" i="1"/>
  <c r="E160" i="1"/>
  <c r="H159" i="1"/>
  <c r="G159" i="1"/>
  <c r="F159" i="1"/>
  <c r="K159" i="1"/>
  <c r="I159" i="1"/>
  <c r="M159" i="1" s="1"/>
  <c r="J159" i="1"/>
  <c r="Y160" i="1"/>
  <c r="Z160" i="1"/>
  <c r="AA160" i="1"/>
  <c r="V160" i="1"/>
  <c r="AB160" i="1" s="1"/>
  <c r="W160" i="1"/>
  <c r="X160" i="1"/>
  <c r="U161" i="1"/>
  <c r="I160" i="4" l="1"/>
  <c r="M160" i="4"/>
  <c r="H160" i="4"/>
  <c r="E161" i="4"/>
  <c r="S160" i="4"/>
  <c r="R160" i="4"/>
  <c r="Q160" i="4"/>
  <c r="K160" i="4"/>
  <c r="F160" i="4"/>
  <c r="N160" i="4"/>
  <c r="P160" i="4"/>
  <c r="T160" i="4"/>
  <c r="G160" i="4"/>
  <c r="O160" i="4"/>
  <c r="J160" i="4"/>
  <c r="AF159" i="4"/>
  <c r="U160" i="4"/>
  <c r="AE159" i="4"/>
  <c r="X159" i="4"/>
  <c r="AI159" i="4"/>
  <c r="AA159" i="4"/>
  <c r="AG159" i="4"/>
  <c r="Y159" i="4"/>
  <c r="W159" i="4"/>
  <c r="AH159" i="4"/>
  <c r="AD159" i="4"/>
  <c r="V159" i="4"/>
  <c r="Z159" i="4"/>
  <c r="AC159" i="4"/>
  <c r="AB159" i="4"/>
  <c r="S160" i="1"/>
  <c r="T160" i="1"/>
  <c r="R160" i="1"/>
  <c r="Q160" i="1"/>
  <c r="P160" i="1"/>
  <c r="O160" i="1"/>
  <c r="N160" i="1"/>
  <c r="E161" i="1"/>
  <c r="G160" i="1"/>
  <c r="H160" i="1"/>
  <c r="F160" i="1"/>
  <c r="K160" i="1"/>
  <c r="I160" i="1"/>
  <c r="M160" i="1" s="1"/>
  <c r="J160" i="1"/>
  <c r="AA161" i="1"/>
  <c r="V161" i="1"/>
  <c r="AB161" i="1" s="1"/>
  <c r="W161" i="1"/>
  <c r="X161" i="1"/>
  <c r="Y161" i="1"/>
  <c r="Z161" i="1"/>
  <c r="U162" i="1"/>
  <c r="I161" i="4" l="1"/>
  <c r="M161" i="4"/>
  <c r="E162" i="4"/>
  <c r="G161" i="4"/>
  <c r="Q161" i="4"/>
  <c r="T161" i="4" s="1"/>
  <c r="P161" i="4"/>
  <c r="H161" i="4"/>
  <c r="K161" i="4"/>
  <c r="R161" i="4"/>
  <c r="S161" i="4"/>
  <c r="O161" i="4"/>
  <c r="J161" i="4"/>
  <c r="F161" i="4"/>
  <c r="N161" i="4"/>
  <c r="AG160" i="4"/>
  <c r="AC160" i="4"/>
  <c r="Y160" i="4"/>
  <c r="AB160" i="4"/>
  <c r="AF160" i="4"/>
  <c r="AI160" i="4" s="1"/>
  <c r="U161" i="4"/>
  <c r="AH160" i="4"/>
  <c r="AD160" i="4"/>
  <c r="Z160" i="4"/>
  <c r="X160" i="4"/>
  <c r="AE160" i="4"/>
  <c r="AA160" i="4"/>
  <c r="W160" i="4"/>
  <c r="V160" i="4"/>
  <c r="S161" i="1"/>
  <c r="T161" i="1"/>
  <c r="R161" i="1"/>
  <c r="N161" i="1"/>
  <c r="P161" i="1"/>
  <c r="O161" i="1"/>
  <c r="Q161" i="1"/>
  <c r="E162" i="1"/>
  <c r="F161" i="1"/>
  <c r="G161" i="1"/>
  <c r="I161" i="1"/>
  <c r="M161" i="1" s="1"/>
  <c r="H161" i="1"/>
  <c r="J161" i="1"/>
  <c r="K161" i="1"/>
  <c r="V162" i="1"/>
  <c r="AB162" i="1" s="1"/>
  <c r="W162" i="1"/>
  <c r="X162" i="1"/>
  <c r="Y162" i="1"/>
  <c r="Z162" i="1"/>
  <c r="AA162" i="1"/>
  <c r="U163" i="1"/>
  <c r="AH161" i="4" l="1"/>
  <c r="AD161" i="4"/>
  <c r="Y161" i="4"/>
  <c r="AB161" i="4" s="1"/>
  <c r="Z161" i="4"/>
  <c r="V161" i="4"/>
  <c r="AC161" i="4"/>
  <c r="AG161" i="4"/>
  <c r="X161" i="4"/>
  <c r="AF161" i="4"/>
  <c r="AI161" i="4" s="1"/>
  <c r="AE161" i="4"/>
  <c r="U162" i="4"/>
  <c r="AA161" i="4"/>
  <c r="W161" i="4"/>
  <c r="N162" i="4"/>
  <c r="I162" i="4"/>
  <c r="K162" i="4"/>
  <c r="O162" i="4"/>
  <c r="F162" i="4"/>
  <c r="M162" i="4"/>
  <c r="Q162" i="4"/>
  <c r="H162" i="4"/>
  <c r="J162" i="4"/>
  <c r="R162" i="4"/>
  <c r="E163" i="4"/>
  <c r="G162" i="4"/>
  <c r="S162" i="4"/>
  <c r="T162" i="4"/>
  <c r="P162" i="4"/>
  <c r="S162" i="1"/>
  <c r="T162" i="1"/>
  <c r="R162" i="1"/>
  <c r="N162" i="1"/>
  <c r="O162" i="1"/>
  <c r="P162" i="1"/>
  <c r="Q162" i="1"/>
  <c r="E163" i="1"/>
  <c r="F162" i="1"/>
  <c r="G162" i="1"/>
  <c r="H162" i="1"/>
  <c r="I162" i="1"/>
  <c r="M162" i="1" s="1"/>
  <c r="K162" i="1"/>
  <c r="J162" i="1"/>
  <c r="W163" i="1"/>
  <c r="X163" i="1"/>
  <c r="Y163" i="1"/>
  <c r="Z163" i="1"/>
  <c r="AA163" i="1"/>
  <c r="V163" i="1"/>
  <c r="AB163" i="1" s="1"/>
  <c r="U164" i="1"/>
  <c r="G163" i="4" l="1"/>
  <c r="J163" i="4"/>
  <c r="K163" i="4"/>
  <c r="S163" i="4"/>
  <c r="O163" i="4"/>
  <c r="R163" i="4"/>
  <c r="N163" i="4"/>
  <c r="T163" i="4" s="1"/>
  <c r="M163" i="4"/>
  <c r="H163" i="4"/>
  <c r="F163" i="4"/>
  <c r="I163" i="4"/>
  <c r="Q163" i="4"/>
  <c r="E164" i="4"/>
  <c r="P163" i="4"/>
  <c r="AB162" i="4"/>
  <c r="AF162" i="4"/>
  <c r="X162" i="4"/>
  <c r="AI162" i="4"/>
  <c r="AE162" i="4"/>
  <c r="AA162" i="4"/>
  <c r="W162" i="4"/>
  <c r="AG162" i="4"/>
  <c r="Y162" i="4"/>
  <c r="U163" i="4"/>
  <c r="V162" i="4"/>
  <c r="AH162" i="4"/>
  <c r="AC162" i="4"/>
  <c r="AD162" i="4"/>
  <c r="Z162" i="4"/>
  <c r="S163" i="1"/>
  <c r="T163" i="1"/>
  <c r="R163" i="1"/>
  <c r="Q163" i="1"/>
  <c r="P163" i="1"/>
  <c r="O163" i="1"/>
  <c r="N163" i="1"/>
  <c r="E164" i="1"/>
  <c r="G163" i="1"/>
  <c r="H163" i="1"/>
  <c r="K163" i="1"/>
  <c r="I163" i="1"/>
  <c r="M163" i="1" s="1"/>
  <c r="J163" i="1"/>
  <c r="F163" i="1"/>
  <c r="Y164" i="1"/>
  <c r="Z164" i="1"/>
  <c r="AA164" i="1"/>
  <c r="V164" i="1"/>
  <c r="AB164" i="1" s="1"/>
  <c r="W164" i="1"/>
  <c r="X164" i="1"/>
  <c r="U165" i="1"/>
  <c r="I164" i="4" l="1"/>
  <c r="M164" i="4"/>
  <c r="G164" i="4"/>
  <c r="Q164" i="4"/>
  <c r="T164" i="4"/>
  <c r="H164" i="4"/>
  <c r="K164" i="4"/>
  <c r="E165" i="4"/>
  <c r="R164" i="4"/>
  <c r="P164" i="4"/>
  <c r="J164" i="4"/>
  <c r="N164" i="4"/>
  <c r="S164" i="4"/>
  <c r="O164" i="4"/>
  <c r="F164" i="4"/>
  <c r="AF163" i="4"/>
  <c r="U164" i="4"/>
  <c r="X163" i="4"/>
  <c r="AI163" i="4"/>
  <c r="AE163" i="4"/>
  <c r="AA163" i="4"/>
  <c r="Z163" i="4"/>
  <c r="W163" i="4"/>
  <c r="AH163" i="4"/>
  <c r="AB163" i="4"/>
  <c r="AD163" i="4"/>
  <c r="AC163" i="4"/>
  <c r="Y163" i="4"/>
  <c r="V163" i="4"/>
  <c r="AG163" i="4"/>
  <c r="S164" i="1"/>
  <c r="T164" i="1"/>
  <c r="R164" i="1"/>
  <c r="Q164" i="1"/>
  <c r="P164" i="1"/>
  <c r="O164" i="1"/>
  <c r="N164" i="1"/>
  <c r="E165" i="1"/>
  <c r="G164" i="1"/>
  <c r="H164" i="1"/>
  <c r="J164" i="1"/>
  <c r="I164" i="1"/>
  <c r="M164" i="1" s="1"/>
  <c r="K164" i="1"/>
  <c r="F164" i="1"/>
  <c r="AA165" i="1"/>
  <c r="V165" i="1"/>
  <c r="AB165" i="1" s="1"/>
  <c r="W165" i="1"/>
  <c r="X165" i="1"/>
  <c r="Y165" i="1"/>
  <c r="Z165" i="1"/>
  <c r="U166" i="1"/>
  <c r="I165" i="4" l="1"/>
  <c r="M165" i="4"/>
  <c r="H165" i="4"/>
  <c r="P165" i="4"/>
  <c r="G165" i="4"/>
  <c r="O165" i="4"/>
  <c r="Q165" i="4"/>
  <c r="T165" i="4" s="1"/>
  <c r="E166" i="4"/>
  <c r="R165" i="4"/>
  <c r="F165" i="4"/>
  <c r="N165" i="4"/>
  <c r="K165" i="4"/>
  <c r="S165" i="4"/>
  <c r="J165" i="4"/>
  <c r="AG164" i="4"/>
  <c r="AC164" i="4"/>
  <c r="AF164" i="4"/>
  <c r="AI164" i="4" s="1"/>
  <c r="U165" i="4"/>
  <c r="W164" i="4"/>
  <c r="Y164" i="4"/>
  <c r="AB164" i="4"/>
  <c r="AE164" i="4"/>
  <c r="X164" i="4"/>
  <c r="AA164" i="4"/>
  <c r="AH164" i="4"/>
  <c r="AD164" i="4"/>
  <c r="Z164" i="4"/>
  <c r="V164" i="4"/>
  <c r="S165" i="1"/>
  <c r="T165" i="1"/>
  <c r="R165" i="1"/>
  <c r="Q165" i="1"/>
  <c r="P165" i="1"/>
  <c r="O165" i="1"/>
  <c r="N165" i="1"/>
  <c r="E166" i="1"/>
  <c r="I165" i="1"/>
  <c r="M165" i="1" s="1"/>
  <c r="G165" i="1"/>
  <c r="H165" i="1"/>
  <c r="K165" i="1"/>
  <c r="J165" i="1"/>
  <c r="F165" i="1"/>
  <c r="V166" i="1"/>
  <c r="AB166" i="1" s="1"/>
  <c r="W166" i="1"/>
  <c r="X166" i="1"/>
  <c r="Y166" i="1"/>
  <c r="Z166" i="1"/>
  <c r="AA166" i="1"/>
  <c r="U167" i="1"/>
  <c r="O166" i="4" l="1"/>
  <c r="J166" i="4"/>
  <c r="N166" i="4"/>
  <c r="I166" i="4"/>
  <c r="G166" i="4"/>
  <c r="Q166" i="4"/>
  <c r="P166" i="4"/>
  <c r="S166" i="4"/>
  <c r="H166" i="4"/>
  <c r="T166" i="4"/>
  <c r="R166" i="4"/>
  <c r="F166" i="4"/>
  <c r="M166" i="4" s="1"/>
  <c r="E167" i="4"/>
  <c r="K166" i="4"/>
  <c r="Z165" i="4"/>
  <c r="V165" i="4"/>
  <c r="AF165" i="4"/>
  <c r="AI165" i="4" s="1"/>
  <c r="X165" i="4"/>
  <c r="AE165" i="4"/>
  <c r="AH165" i="4"/>
  <c r="AG165" i="4"/>
  <c r="U166" i="4"/>
  <c r="AC165" i="4"/>
  <c r="Y165" i="4"/>
  <c r="AB165" i="4" s="1"/>
  <c r="W165" i="4"/>
  <c r="AA165" i="4"/>
  <c r="AD165" i="4"/>
  <c r="S166" i="1"/>
  <c r="T166" i="1"/>
  <c r="P166" i="1"/>
  <c r="N166" i="1"/>
  <c r="R166" i="1"/>
  <c r="O166" i="1"/>
  <c r="Q166" i="1"/>
  <c r="E167" i="1"/>
  <c r="H166" i="1"/>
  <c r="F166" i="1"/>
  <c r="I166" i="1"/>
  <c r="M166" i="1" s="1"/>
  <c r="J166" i="1"/>
  <c r="G166" i="1"/>
  <c r="K166" i="1"/>
  <c r="W167" i="1"/>
  <c r="X167" i="1"/>
  <c r="Y167" i="1"/>
  <c r="Z167" i="1"/>
  <c r="AA167" i="1"/>
  <c r="V167" i="1"/>
  <c r="AB167" i="1" s="1"/>
  <c r="U168" i="1"/>
  <c r="Q167" i="4" l="1"/>
  <c r="T167" i="4" s="1"/>
  <c r="K167" i="4"/>
  <c r="E168" i="4"/>
  <c r="P167" i="4"/>
  <c r="G167" i="4"/>
  <c r="F167" i="4"/>
  <c r="N167" i="4"/>
  <c r="H167" i="4"/>
  <c r="S167" i="4"/>
  <c r="I167" i="4"/>
  <c r="O167" i="4"/>
  <c r="J167" i="4"/>
  <c r="M167" i="4"/>
  <c r="R167" i="4"/>
  <c r="X166" i="4"/>
  <c r="AA166" i="4"/>
  <c r="W166" i="4"/>
  <c r="V166" i="4"/>
  <c r="AI166" i="4"/>
  <c r="AE166" i="4"/>
  <c r="AH166" i="4"/>
  <c r="Z166" i="4"/>
  <c r="AB166" i="4"/>
  <c r="AD166" i="4"/>
  <c r="Y166" i="4"/>
  <c r="AG166" i="4"/>
  <c r="AC166" i="4"/>
  <c r="U167" i="4"/>
  <c r="AF166" i="4"/>
  <c r="S167" i="1"/>
  <c r="T167" i="1"/>
  <c r="P167" i="1"/>
  <c r="R167" i="1"/>
  <c r="Q167" i="1"/>
  <c r="N167" i="1"/>
  <c r="O167" i="1"/>
  <c r="E168" i="1"/>
  <c r="H167" i="1"/>
  <c r="F167" i="1"/>
  <c r="G167" i="1"/>
  <c r="I167" i="1"/>
  <c r="M167" i="1" s="1"/>
  <c r="K167" i="1"/>
  <c r="J167" i="1"/>
  <c r="Y168" i="1"/>
  <c r="Z168" i="1"/>
  <c r="AA168" i="1"/>
  <c r="V168" i="1"/>
  <c r="AB168" i="1" s="1"/>
  <c r="W168" i="1"/>
  <c r="X168" i="1"/>
  <c r="U169" i="1"/>
  <c r="AG167" i="4" l="1"/>
  <c r="AD167" i="4"/>
  <c r="X167" i="4"/>
  <c r="AE167" i="4"/>
  <c r="Y167" i="4"/>
  <c r="AB167" i="4"/>
  <c r="U168" i="4"/>
  <c r="AA167" i="4"/>
  <c r="AF167" i="4"/>
  <c r="W167" i="4"/>
  <c r="AC167" i="4"/>
  <c r="V167" i="4"/>
  <c r="AI167" i="4"/>
  <c r="Z167" i="4"/>
  <c r="AH167" i="4"/>
  <c r="S168" i="4"/>
  <c r="P168" i="4"/>
  <c r="J168" i="4"/>
  <c r="N168" i="4"/>
  <c r="F168" i="4"/>
  <c r="M168" i="4" s="1"/>
  <c r="R168" i="4"/>
  <c r="G168" i="4"/>
  <c r="Q168" i="4"/>
  <c r="T168" i="4" s="1"/>
  <c r="O168" i="4"/>
  <c r="I168" i="4"/>
  <c r="E169" i="4"/>
  <c r="K168" i="4"/>
  <c r="H168" i="4"/>
  <c r="T168" i="1"/>
  <c r="S168" i="1"/>
  <c r="O168" i="1"/>
  <c r="R168" i="1"/>
  <c r="N168" i="1"/>
  <c r="P168" i="1"/>
  <c r="Q168" i="1"/>
  <c r="E169" i="1"/>
  <c r="G168" i="1"/>
  <c r="H168" i="1"/>
  <c r="F168" i="1"/>
  <c r="J168" i="1"/>
  <c r="K168" i="1"/>
  <c r="I168" i="1"/>
  <c r="M168" i="1" s="1"/>
  <c r="AA169" i="1"/>
  <c r="V169" i="1"/>
  <c r="AB169" i="1" s="1"/>
  <c r="W169" i="1"/>
  <c r="X169" i="1"/>
  <c r="Y169" i="1"/>
  <c r="Z169" i="1"/>
  <c r="U170" i="1"/>
  <c r="AH168" i="4" l="1"/>
  <c r="AF168" i="4"/>
  <c r="AI168" i="4" s="1"/>
  <c r="AE168" i="4"/>
  <c r="U169" i="4"/>
  <c r="V168" i="4"/>
  <c r="Z168" i="4"/>
  <c r="AD168" i="4"/>
  <c r="Y168" i="4"/>
  <c r="AC168" i="4"/>
  <c r="W168" i="4"/>
  <c r="AG168" i="4"/>
  <c r="AB168" i="4"/>
  <c r="AA168" i="4"/>
  <c r="X168" i="4"/>
  <c r="J169" i="4"/>
  <c r="H169" i="4"/>
  <c r="F169" i="4"/>
  <c r="M169" i="4" s="1"/>
  <c r="R169" i="4"/>
  <c r="G169" i="4"/>
  <c r="Q169" i="4"/>
  <c r="T169" i="4" s="1"/>
  <c r="P169" i="4"/>
  <c r="I169" i="4"/>
  <c r="K169" i="4"/>
  <c r="O169" i="4"/>
  <c r="S169" i="4"/>
  <c r="N169" i="4"/>
  <c r="E170" i="4"/>
  <c r="S169" i="1"/>
  <c r="T169" i="1"/>
  <c r="P169" i="1"/>
  <c r="O169" i="1"/>
  <c r="R169" i="1"/>
  <c r="N169" i="1"/>
  <c r="Q169" i="1"/>
  <c r="E170" i="1"/>
  <c r="F169" i="1"/>
  <c r="J169" i="1"/>
  <c r="G169" i="1"/>
  <c r="H169" i="1"/>
  <c r="I169" i="1"/>
  <c r="M169" i="1" s="1"/>
  <c r="K169" i="1"/>
  <c r="V170" i="1"/>
  <c r="AB170" i="1" s="1"/>
  <c r="W170" i="1"/>
  <c r="X170" i="1"/>
  <c r="Y170" i="1"/>
  <c r="Z170" i="1"/>
  <c r="AA170" i="1"/>
  <c r="U171" i="1"/>
  <c r="AC169" i="4" l="1"/>
  <c r="X169" i="4"/>
  <c r="AA169" i="4"/>
  <c r="AG169" i="4"/>
  <c r="AB169" i="4"/>
  <c r="AH169" i="4"/>
  <c r="W169" i="4"/>
  <c r="U170" i="4"/>
  <c r="AF169" i="4"/>
  <c r="AD169" i="4"/>
  <c r="Z169" i="4"/>
  <c r="AI169" i="4"/>
  <c r="AE169" i="4"/>
  <c r="Y169" i="4"/>
  <c r="V169" i="4"/>
  <c r="F170" i="4"/>
  <c r="E171" i="4"/>
  <c r="K170" i="4"/>
  <c r="O170" i="4"/>
  <c r="N170" i="4"/>
  <c r="H170" i="4"/>
  <c r="I170" i="4"/>
  <c r="M170" i="4"/>
  <c r="J170" i="4"/>
  <c r="P170" i="4"/>
  <c r="Q170" i="4"/>
  <c r="T170" i="4" s="1"/>
  <c r="S170" i="4"/>
  <c r="R170" i="4"/>
  <c r="G170" i="4"/>
  <c r="S170" i="1"/>
  <c r="T170" i="1"/>
  <c r="R170" i="1"/>
  <c r="Q170" i="1"/>
  <c r="P170" i="1"/>
  <c r="O170" i="1"/>
  <c r="N170" i="1"/>
  <c r="E171" i="1"/>
  <c r="F170" i="1"/>
  <c r="G170" i="1"/>
  <c r="H170" i="1"/>
  <c r="J170" i="1"/>
  <c r="I170" i="1"/>
  <c r="M170" i="1" s="1"/>
  <c r="K170" i="1"/>
  <c r="W171" i="1"/>
  <c r="X171" i="1"/>
  <c r="Y171" i="1"/>
  <c r="Z171" i="1"/>
  <c r="AB171" i="1"/>
  <c r="AA171" i="1"/>
  <c r="V171" i="1"/>
  <c r="U172" i="1"/>
  <c r="AE170" i="4" l="1"/>
  <c r="AB170" i="4"/>
  <c r="X170" i="4"/>
  <c r="W170" i="4"/>
  <c r="Z170" i="4"/>
  <c r="AH170" i="4"/>
  <c r="AD170" i="4"/>
  <c r="Y170" i="4"/>
  <c r="AI170" i="4"/>
  <c r="V170" i="4"/>
  <c r="AG170" i="4"/>
  <c r="AC170" i="4"/>
  <c r="U171" i="4"/>
  <c r="AF170" i="4"/>
  <c r="AA170" i="4"/>
  <c r="I171" i="4"/>
  <c r="T171" i="4"/>
  <c r="F171" i="4"/>
  <c r="Q171" i="4"/>
  <c r="N171" i="4"/>
  <c r="O171" i="4"/>
  <c r="R171" i="4"/>
  <c r="H171" i="4"/>
  <c r="K171" i="4"/>
  <c r="J171" i="4"/>
  <c r="P171" i="4"/>
  <c r="E172" i="4"/>
  <c r="S171" i="4"/>
  <c r="G171" i="4"/>
  <c r="M171" i="4"/>
  <c r="S171" i="1"/>
  <c r="T171" i="1"/>
  <c r="Q171" i="1"/>
  <c r="P171" i="1"/>
  <c r="N171" i="1"/>
  <c r="O171" i="1"/>
  <c r="R171" i="1"/>
  <c r="E172" i="1"/>
  <c r="F171" i="1"/>
  <c r="G171" i="1"/>
  <c r="H171" i="1"/>
  <c r="K171" i="1"/>
  <c r="J171" i="1"/>
  <c r="I171" i="1"/>
  <c r="M171" i="1" s="1"/>
  <c r="Y172" i="1"/>
  <c r="Z172" i="1"/>
  <c r="AA172" i="1"/>
  <c r="V172" i="1"/>
  <c r="AB172" i="1" s="1"/>
  <c r="W172" i="1"/>
  <c r="X172" i="1"/>
  <c r="U173" i="1"/>
  <c r="AG171" i="4" l="1"/>
  <c r="V171" i="4"/>
  <c r="U172" i="4"/>
  <c r="AI171" i="4"/>
  <c r="Y171" i="4"/>
  <c r="AB171" i="4" s="1"/>
  <c r="AF171" i="4"/>
  <c r="W171" i="4"/>
  <c r="AH171" i="4"/>
  <c r="Z171" i="4"/>
  <c r="X171" i="4"/>
  <c r="AD171" i="4"/>
  <c r="AA171" i="4"/>
  <c r="AE171" i="4"/>
  <c r="AC171" i="4"/>
  <c r="S172" i="4"/>
  <c r="P172" i="4"/>
  <c r="J172" i="4"/>
  <c r="N172" i="4"/>
  <c r="H172" i="4"/>
  <c r="K172" i="4"/>
  <c r="R172" i="4"/>
  <c r="G172" i="4"/>
  <c r="Q172" i="4"/>
  <c r="T172" i="4" s="1"/>
  <c r="E173" i="4"/>
  <c r="I172" i="4"/>
  <c r="O172" i="4"/>
  <c r="F172" i="4"/>
  <c r="M172" i="4" s="1"/>
  <c r="S172" i="1"/>
  <c r="T172" i="1"/>
  <c r="R172" i="1"/>
  <c r="Q172" i="1"/>
  <c r="P172" i="1"/>
  <c r="O172" i="1"/>
  <c r="N172" i="1"/>
  <c r="E173" i="1"/>
  <c r="G172" i="1"/>
  <c r="I172" i="1"/>
  <c r="M172" i="1" s="1"/>
  <c r="H172" i="1"/>
  <c r="J172" i="1"/>
  <c r="K172" i="1"/>
  <c r="F172" i="1"/>
  <c r="AA173" i="1"/>
  <c r="V173" i="1"/>
  <c r="AB173" i="1" s="1"/>
  <c r="W173" i="1"/>
  <c r="X173" i="1"/>
  <c r="Y173" i="1"/>
  <c r="Z173" i="1"/>
  <c r="U174" i="1"/>
  <c r="T173" i="4" l="1"/>
  <c r="I173" i="4"/>
  <c r="Q173" i="4"/>
  <c r="H173" i="4"/>
  <c r="E174" i="4"/>
  <c r="K173" i="4"/>
  <c r="G173" i="4"/>
  <c r="F173" i="4"/>
  <c r="P173" i="4"/>
  <c r="S173" i="4"/>
  <c r="N173" i="4"/>
  <c r="O173" i="4"/>
  <c r="J173" i="4"/>
  <c r="M173" i="4"/>
  <c r="R173" i="4"/>
  <c r="AA172" i="4"/>
  <c r="AD172" i="4"/>
  <c r="W172" i="4"/>
  <c r="AH172" i="4"/>
  <c r="X172" i="4"/>
  <c r="Z172" i="4"/>
  <c r="V172" i="4"/>
  <c r="U173" i="4"/>
  <c r="AG172" i="4"/>
  <c r="AB172" i="4"/>
  <c r="AC172" i="4"/>
  <c r="Y172" i="4"/>
  <c r="AF172" i="4"/>
  <c r="AE172" i="4"/>
  <c r="AI172" i="4"/>
  <c r="S173" i="1"/>
  <c r="T173" i="1"/>
  <c r="Q173" i="1"/>
  <c r="R173" i="1"/>
  <c r="P173" i="1"/>
  <c r="N173" i="1"/>
  <c r="O173" i="1"/>
  <c r="E174" i="1"/>
  <c r="G173" i="1"/>
  <c r="H173" i="1"/>
  <c r="I173" i="1"/>
  <c r="M173" i="1" s="1"/>
  <c r="J173" i="1"/>
  <c r="K173" i="1"/>
  <c r="F173" i="1"/>
  <c r="V174" i="1"/>
  <c r="AB174" i="1" s="1"/>
  <c r="W174" i="1"/>
  <c r="X174" i="1"/>
  <c r="Y174" i="1"/>
  <c r="Z174" i="1"/>
  <c r="AA174" i="1"/>
  <c r="U175" i="1"/>
  <c r="N174" i="4" l="1"/>
  <c r="J174" i="4"/>
  <c r="M174" i="4"/>
  <c r="H174" i="4"/>
  <c r="R174" i="4"/>
  <c r="Q174" i="4"/>
  <c r="T174" i="4" s="1"/>
  <c r="S174" i="4"/>
  <c r="I174" i="4"/>
  <c r="E175" i="4"/>
  <c r="G174" i="4"/>
  <c r="P174" i="4"/>
  <c r="K174" i="4"/>
  <c r="O174" i="4"/>
  <c r="F174" i="4"/>
  <c r="AB173" i="4"/>
  <c r="Z173" i="4"/>
  <c r="AA173" i="4"/>
  <c r="V173" i="4"/>
  <c r="AF173" i="4"/>
  <c r="U174" i="4"/>
  <c r="X173" i="4"/>
  <c r="AG173" i="4"/>
  <c r="AD173" i="4"/>
  <c r="AH173" i="4"/>
  <c r="AC173" i="4"/>
  <c r="AI173" i="4"/>
  <c r="W173" i="4"/>
  <c r="Y173" i="4"/>
  <c r="AE173" i="4"/>
  <c r="S174" i="1"/>
  <c r="T174" i="1"/>
  <c r="R174" i="1"/>
  <c r="N174" i="1"/>
  <c r="Q174" i="1"/>
  <c r="P174" i="1"/>
  <c r="O174" i="1"/>
  <c r="E175" i="1"/>
  <c r="F174" i="1"/>
  <c r="H174" i="1"/>
  <c r="I174" i="1"/>
  <c r="M174" i="1" s="1"/>
  <c r="J174" i="1"/>
  <c r="K174" i="1"/>
  <c r="G174" i="1"/>
  <c r="W175" i="1"/>
  <c r="X175" i="1"/>
  <c r="Y175" i="1"/>
  <c r="Z175" i="1"/>
  <c r="V175" i="1"/>
  <c r="AB175" i="1" s="1"/>
  <c r="AA175" i="1"/>
  <c r="U176" i="1"/>
  <c r="X174" i="4" l="1"/>
  <c r="AA174" i="4"/>
  <c r="AE174" i="4"/>
  <c r="AH174" i="4"/>
  <c r="AC174" i="4"/>
  <c r="Y174" i="4"/>
  <c r="AF174" i="4"/>
  <c r="W174" i="4"/>
  <c r="AB174" i="4"/>
  <c r="AD174" i="4"/>
  <c r="Z174" i="4"/>
  <c r="AG174" i="4"/>
  <c r="U175" i="4"/>
  <c r="V174" i="4"/>
  <c r="AI174" i="4"/>
  <c r="Q175" i="4"/>
  <c r="N175" i="4"/>
  <c r="T175" i="4" s="1"/>
  <c r="R175" i="4"/>
  <c r="H175" i="4"/>
  <c r="K175" i="4"/>
  <c r="P175" i="4"/>
  <c r="O175" i="4"/>
  <c r="J175" i="4"/>
  <c r="G175" i="4"/>
  <c r="S175" i="4"/>
  <c r="F175" i="4"/>
  <c r="I175" i="4"/>
  <c r="M175" i="4"/>
  <c r="E176" i="4"/>
  <c r="S175" i="1"/>
  <c r="T175" i="1"/>
  <c r="R175" i="1"/>
  <c r="Q175" i="1"/>
  <c r="P175" i="1"/>
  <c r="O175" i="1"/>
  <c r="N175" i="1"/>
  <c r="E176" i="1"/>
  <c r="H175" i="1"/>
  <c r="F175" i="1"/>
  <c r="G175" i="1"/>
  <c r="J175" i="1"/>
  <c r="I175" i="1"/>
  <c r="M175" i="1" s="1"/>
  <c r="K175" i="1"/>
  <c r="Y176" i="1"/>
  <c r="W176" i="1"/>
  <c r="AA176" i="1"/>
  <c r="V176" i="1"/>
  <c r="AB176" i="1" s="1"/>
  <c r="X176" i="1"/>
  <c r="Z176" i="1"/>
  <c r="U177" i="1"/>
  <c r="Q176" i="4" l="1"/>
  <c r="T176" i="4" s="1"/>
  <c r="E177" i="4"/>
  <c r="F176" i="4"/>
  <c r="G176" i="4"/>
  <c r="P176" i="4"/>
  <c r="M176" i="4"/>
  <c r="H176" i="4"/>
  <c r="O176" i="4"/>
  <c r="K176" i="4"/>
  <c r="S176" i="4"/>
  <c r="J176" i="4"/>
  <c r="R176" i="4"/>
  <c r="N176" i="4"/>
  <c r="I176" i="4"/>
  <c r="AG175" i="4"/>
  <c r="V175" i="4"/>
  <c r="X175" i="4"/>
  <c r="AA175" i="4"/>
  <c r="AC175" i="4"/>
  <c r="Y175" i="4"/>
  <c r="AB175" i="4" s="1"/>
  <c r="AF175" i="4"/>
  <c r="AI175" i="4" s="1"/>
  <c r="AD175" i="4"/>
  <c r="U176" i="4"/>
  <c r="AE175" i="4"/>
  <c r="Z175" i="4"/>
  <c r="W175" i="4"/>
  <c r="AH175" i="4"/>
  <c r="S176" i="1"/>
  <c r="T176" i="1"/>
  <c r="R176" i="1"/>
  <c r="Q176" i="1"/>
  <c r="P176" i="1"/>
  <c r="O176" i="1"/>
  <c r="N176" i="1"/>
  <c r="E177" i="1"/>
  <c r="G176" i="1"/>
  <c r="H176" i="1"/>
  <c r="F176" i="1"/>
  <c r="I176" i="1"/>
  <c r="M176" i="1" s="1"/>
  <c r="J176" i="1"/>
  <c r="K176" i="1"/>
  <c r="V177" i="1"/>
  <c r="AB177" i="1" s="1"/>
  <c r="W177" i="1"/>
  <c r="X177" i="1"/>
  <c r="Y177" i="1"/>
  <c r="Z177" i="1"/>
  <c r="AA177" i="1"/>
  <c r="U178" i="1"/>
  <c r="T177" i="4" l="1"/>
  <c r="R177" i="4"/>
  <c r="K177" i="4"/>
  <c r="P177" i="4"/>
  <c r="F177" i="4"/>
  <c r="H177" i="4"/>
  <c r="G177" i="4"/>
  <c r="S177" i="4"/>
  <c r="E178" i="4"/>
  <c r="O177" i="4"/>
  <c r="J177" i="4"/>
  <c r="Q177" i="4"/>
  <c r="N177" i="4"/>
  <c r="M177" i="4"/>
  <c r="I177" i="4"/>
  <c r="Y176" i="4"/>
  <c r="AB176" i="4" s="1"/>
  <c r="AE176" i="4"/>
  <c r="X176" i="4"/>
  <c r="AC176" i="4"/>
  <c r="W176" i="4"/>
  <c r="AF176" i="4"/>
  <c r="AI176" i="4" s="1"/>
  <c r="AA176" i="4"/>
  <c r="Z176" i="4"/>
  <c r="U177" i="4"/>
  <c r="AG176" i="4"/>
  <c r="AD176" i="4"/>
  <c r="AH176" i="4"/>
  <c r="V176" i="4"/>
  <c r="T177" i="1"/>
  <c r="S177" i="1"/>
  <c r="R177" i="1"/>
  <c r="Q177" i="1"/>
  <c r="P177" i="1"/>
  <c r="O177" i="1"/>
  <c r="N177" i="1"/>
  <c r="E178" i="1"/>
  <c r="F177" i="1"/>
  <c r="G177" i="1"/>
  <c r="H177" i="1"/>
  <c r="I177" i="1"/>
  <c r="M177" i="1" s="1"/>
  <c r="J177" i="1"/>
  <c r="K177" i="1"/>
  <c r="W178" i="1"/>
  <c r="X178" i="1"/>
  <c r="Y178" i="1"/>
  <c r="Z178" i="1"/>
  <c r="AA178" i="1"/>
  <c r="V178" i="1"/>
  <c r="AB178" i="1" s="1"/>
  <c r="U179" i="1"/>
  <c r="AC177" i="4" l="1"/>
  <c r="AF177" i="4"/>
  <c r="AB177" i="4"/>
  <c r="Z177" i="4"/>
  <c r="AI177" i="4"/>
  <c r="W177" i="4"/>
  <c r="Y177" i="4"/>
  <c r="U178" i="4"/>
  <c r="X177" i="4"/>
  <c r="AA177" i="4"/>
  <c r="AG177" i="4"/>
  <c r="AE177" i="4"/>
  <c r="V177" i="4"/>
  <c r="AD177" i="4"/>
  <c r="AH177" i="4"/>
  <c r="G178" i="4"/>
  <c r="I178" i="4"/>
  <c r="N178" i="4"/>
  <c r="K178" i="4"/>
  <c r="O178" i="4"/>
  <c r="E179" i="4"/>
  <c r="M178" i="4"/>
  <c r="Q178" i="4"/>
  <c r="H178" i="4"/>
  <c r="P178" i="4"/>
  <c r="F178" i="4"/>
  <c r="T178" i="4"/>
  <c r="R178" i="4"/>
  <c r="S178" i="4"/>
  <c r="J178" i="4"/>
  <c r="S178" i="1"/>
  <c r="T178" i="1"/>
  <c r="R178" i="1"/>
  <c r="Q178" i="1"/>
  <c r="N178" i="1"/>
  <c r="P178" i="1"/>
  <c r="O178" i="1"/>
  <c r="E179" i="1"/>
  <c r="F178" i="1"/>
  <c r="H178" i="1"/>
  <c r="I178" i="1"/>
  <c r="M178" i="1" s="1"/>
  <c r="G178" i="1"/>
  <c r="K178" i="1"/>
  <c r="J178" i="1"/>
  <c r="Y179" i="1"/>
  <c r="X179" i="1"/>
  <c r="Z179" i="1"/>
  <c r="AA179" i="1"/>
  <c r="V179" i="1"/>
  <c r="AB179" i="1" s="1"/>
  <c r="W179" i="1"/>
  <c r="U180" i="1"/>
  <c r="AF178" i="4" l="1"/>
  <c r="AI178" i="4"/>
  <c r="X178" i="4"/>
  <c r="AA178" i="4"/>
  <c r="AD178" i="4"/>
  <c r="AE178" i="4"/>
  <c r="AH178" i="4"/>
  <c r="Z178" i="4"/>
  <c r="AG178" i="4"/>
  <c r="AC178" i="4"/>
  <c r="W178" i="4"/>
  <c r="AB178" i="4"/>
  <c r="U179" i="4"/>
  <c r="Y178" i="4"/>
  <c r="V178" i="4"/>
  <c r="I179" i="4"/>
  <c r="N179" i="4"/>
  <c r="G179" i="4"/>
  <c r="M179" i="4"/>
  <c r="Q179" i="4"/>
  <c r="K179" i="4"/>
  <c r="S179" i="4"/>
  <c r="H179" i="4"/>
  <c r="E180" i="4"/>
  <c r="O179" i="4"/>
  <c r="P179" i="4"/>
  <c r="T179" i="4"/>
  <c r="F179" i="4"/>
  <c r="J179" i="4"/>
  <c r="R179" i="4"/>
  <c r="S179" i="1"/>
  <c r="T179" i="1"/>
  <c r="O179" i="1"/>
  <c r="R179" i="1"/>
  <c r="Q179" i="1"/>
  <c r="P179" i="1"/>
  <c r="N179" i="1"/>
  <c r="E180" i="1"/>
  <c r="F179" i="1"/>
  <c r="G179" i="1"/>
  <c r="H179" i="1"/>
  <c r="K179" i="1"/>
  <c r="J179" i="1"/>
  <c r="I179" i="1"/>
  <c r="M179" i="1" s="1"/>
  <c r="AA180" i="1"/>
  <c r="V180" i="1"/>
  <c r="AB180" i="1" s="1"/>
  <c r="W180" i="1"/>
  <c r="X180" i="1"/>
  <c r="Z180" i="1"/>
  <c r="Y180" i="1"/>
  <c r="U181" i="1"/>
  <c r="I180" i="4" l="1"/>
  <c r="H180" i="4"/>
  <c r="O180" i="4"/>
  <c r="Q180" i="4"/>
  <c r="T180" i="4" s="1"/>
  <c r="R180" i="4"/>
  <c r="J180" i="4"/>
  <c r="E181" i="4"/>
  <c r="P180" i="4"/>
  <c r="K180" i="4"/>
  <c r="F180" i="4"/>
  <c r="M180" i="4" s="1"/>
  <c r="S180" i="4"/>
  <c r="G180" i="4"/>
  <c r="N180" i="4"/>
  <c r="U180" i="4"/>
  <c r="X179" i="4"/>
  <c r="AA179" i="4"/>
  <c r="AI179" i="4"/>
  <c r="AE179" i="4"/>
  <c r="W179" i="4"/>
  <c r="AH179" i="4"/>
  <c r="Y179" i="4"/>
  <c r="AB179" i="4" s="1"/>
  <c r="AC179" i="4"/>
  <c r="Z179" i="4"/>
  <c r="AD179" i="4"/>
  <c r="AG179" i="4"/>
  <c r="V179" i="4"/>
  <c r="AF179" i="4"/>
  <c r="T180" i="1"/>
  <c r="S180" i="1"/>
  <c r="R180" i="1"/>
  <c r="Q180" i="1"/>
  <c r="O180" i="1"/>
  <c r="P180" i="1"/>
  <c r="N180" i="1"/>
  <c r="E181" i="1"/>
  <c r="G180" i="1"/>
  <c r="H180" i="1"/>
  <c r="K180" i="1"/>
  <c r="I180" i="1"/>
  <c r="M180" i="1" s="1"/>
  <c r="J180" i="1"/>
  <c r="F180" i="1"/>
  <c r="V181" i="1"/>
  <c r="AB181" i="1" s="1"/>
  <c r="W181" i="1"/>
  <c r="X181" i="1"/>
  <c r="Y181" i="1"/>
  <c r="Z181" i="1"/>
  <c r="AA181" i="1"/>
  <c r="U182" i="1"/>
  <c r="N181" i="4" l="1"/>
  <c r="H181" i="4"/>
  <c r="T181" i="4"/>
  <c r="M181" i="4"/>
  <c r="R181" i="4"/>
  <c r="K181" i="4"/>
  <c r="E182" i="4"/>
  <c r="P181" i="4"/>
  <c r="G181" i="4"/>
  <c r="S181" i="4"/>
  <c r="I181" i="4"/>
  <c r="J181" i="4"/>
  <c r="Q181" i="4"/>
  <c r="F181" i="4"/>
  <c r="O181" i="4"/>
  <c r="AH180" i="4"/>
  <c r="X180" i="4"/>
  <c r="Y180" i="4"/>
  <c r="AB180" i="4" s="1"/>
  <c r="AE180" i="4"/>
  <c r="U181" i="4"/>
  <c r="AA180" i="4"/>
  <c r="Z180" i="4"/>
  <c r="V180" i="4"/>
  <c r="AG180" i="4"/>
  <c r="W180" i="4"/>
  <c r="AC180" i="4"/>
  <c r="AF180" i="4"/>
  <c r="AI180" i="4" s="1"/>
  <c r="AD180" i="4"/>
  <c r="S181" i="1"/>
  <c r="T181" i="1"/>
  <c r="R181" i="1"/>
  <c r="N181" i="1"/>
  <c r="Q181" i="1"/>
  <c r="O181" i="1"/>
  <c r="P181" i="1"/>
  <c r="E182" i="1"/>
  <c r="G181" i="1"/>
  <c r="I181" i="1"/>
  <c r="M181" i="1" s="1"/>
  <c r="H181" i="1"/>
  <c r="J181" i="1"/>
  <c r="F181" i="1"/>
  <c r="K181" i="1"/>
  <c r="W182" i="1"/>
  <c r="X182" i="1"/>
  <c r="Y182" i="1"/>
  <c r="Z182" i="1"/>
  <c r="AA182" i="1"/>
  <c r="V182" i="1"/>
  <c r="AB182" i="1" s="1"/>
  <c r="U183" i="1"/>
  <c r="G182" i="4" l="1"/>
  <c r="R182" i="4"/>
  <c r="H182" i="4"/>
  <c r="O182" i="4"/>
  <c r="K182" i="4"/>
  <c r="N182" i="4"/>
  <c r="T182" i="4" s="1"/>
  <c r="P182" i="4"/>
  <c r="F182" i="4"/>
  <c r="I182" i="4"/>
  <c r="M182" i="4"/>
  <c r="Q182" i="4"/>
  <c r="E183" i="4"/>
  <c r="S182" i="4"/>
  <c r="J182" i="4"/>
  <c r="AB181" i="4"/>
  <c r="Z181" i="4"/>
  <c r="AI181" i="4"/>
  <c r="AG181" i="4"/>
  <c r="AD181" i="4"/>
  <c r="Y181" i="4"/>
  <c r="U182" i="4"/>
  <c r="X181" i="4"/>
  <c r="W181" i="4"/>
  <c r="AE181" i="4"/>
  <c r="AA181" i="4"/>
  <c r="AC181" i="4"/>
  <c r="AH181" i="4"/>
  <c r="AF181" i="4"/>
  <c r="V181" i="4"/>
  <c r="S182" i="1"/>
  <c r="T182" i="1"/>
  <c r="P182" i="1"/>
  <c r="O182" i="1"/>
  <c r="R182" i="1"/>
  <c r="N182" i="1"/>
  <c r="Q182" i="1"/>
  <c r="E183" i="1"/>
  <c r="K182" i="1"/>
  <c r="F182" i="1"/>
  <c r="H182" i="1"/>
  <c r="G182" i="1"/>
  <c r="I182" i="1"/>
  <c r="M182" i="1" s="1"/>
  <c r="J182" i="1"/>
  <c r="Y183" i="1"/>
  <c r="Z183" i="1"/>
  <c r="AA183" i="1"/>
  <c r="X183" i="1"/>
  <c r="V183" i="1"/>
  <c r="AB183" i="1" s="1"/>
  <c r="W183" i="1"/>
  <c r="U184" i="1"/>
  <c r="AF182" i="4" l="1"/>
  <c r="AI182" i="4"/>
  <c r="Z182" i="4"/>
  <c r="X182" i="4"/>
  <c r="AA182" i="4"/>
  <c r="W182" i="4"/>
  <c r="AG182" i="4"/>
  <c r="U183" i="4"/>
  <c r="AE182" i="4"/>
  <c r="AH182" i="4"/>
  <c r="AD182" i="4"/>
  <c r="AC182" i="4"/>
  <c r="V182" i="4"/>
  <c r="AB182" i="4"/>
  <c r="Y182" i="4"/>
  <c r="I183" i="4"/>
  <c r="N183" i="4"/>
  <c r="P183" i="4"/>
  <c r="S183" i="4"/>
  <c r="R183" i="4"/>
  <c r="T183" i="4"/>
  <c r="M183" i="4"/>
  <c r="O183" i="4"/>
  <c r="J183" i="4"/>
  <c r="H183" i="4"/>
  <c r="K183" i="4"/>
  <c r="Q183" i="4"/>
  <c r="E184" i="4"/>
  <c r="G183" i="4"/>
  <c r="F183" i="4"/>
  <c r="S183" i="1"/>
  <c r="T183" i="1"/>
  <c r="P183" i="1"/>
  <c r="O183" i="1"/>
  <c r="R183" i="1"/>
  <c r="Q183" i="1"/>
  <c r="N183" i="1"/>
  <c r="E184" i="1"/>
  <c r="H183" i="1"/>
  <c r="F183" i="1"/>
  <c r="I183" i="1"/>
  <c r="M183" i="1" s="1"/>
  <c r="J183" i="1"/>
  <c r="G183" i="1"/>
  <c r="K183" i="1"/>
  <c r="AA184" i="1"/>
  <c r="Z184" i="1"/>
  <c r="V184" i="1"/>
  <c r="AB184" i="1" s="1"/>
  <c r="W184" i="1"/>
  <c r="X184" i="1"/>
  <c r="Y184" i="1"/>
  <c r="U185" i="1"/>
  <c r="Y183" i="4" l="1"/>
  <c r="AB183" i="4"/>
  <c r="U184" i="4"/>
  <c r="V183" i="4"/>
  <c r="AF183" i="4"/>
  <c r="AI183" i="4" s="1"/>
  <c r="W183" i="4"/>
  <c r="AA183" i="4"/>
  <c r="Z183" i="4"/>
  <c r="AG183" i="4"/>
  <c r="AE183" i="4"/>
  <c r="AD183" i="4"/>
  <c r="X183" i="4"/>
  <c r="AC183" i="4"/>
  <c r="AH183" i="4"/>
  <c r="Q184" i="4"/>
  <c r="T184" i="4" s="1"/>
  <c r="G184" i="4"/>
  <c r="S184" i="4"/>
  <c r="I184" i="4"/>
  <c r="M184" i="4"/>
  <c r="H184" i="4"/>
  <c r="E185" i="4"/>
  <c r="P184" i="4"/>
  <c r="K184" i="4"/>
  <c r="J184" i="4"/>
  <c r="O184" i="4"/>
  <c r="N184" i="4"/>
  <c r="F184" i="4"/>
  <c r="R184" i="4"/>
  <c r="S184" i="1"/>
  <c r="T184" i="1"/>
  <c r="R184" i="1"/>
  <c r="Q184" i="1"/>
  <c r="P184" i="1"/>
  <c r="O184" i="1"/>
  <c r="N184" i="1"/>
  <c r="E185" i="1"/>
  <c r="G184" i="1"/>
  <c r="H184" i="1"/>
  <c r="F184" i="1"/>
  <c r="K184" i="1"/>
  <c r="J184" i="1"/>
  <c r="I184" i="1"/>
  <c r="M184" i="1" s="1"/>
  <c r="V185" i="1"/>
  <c r="AB185" i="1" s="1"/>
  <c r="W185" i="1"/>
  <c r="X185" i="1"/>
  <c r="Y185" i="1"/>
  <c r="Z185" i="1"/>
  <c r="AA185" i="1"/>
  <c r="U186" i="1"/>
  <c r="AG184" i="4" l="1"/>
  <c r="AC184" i="4"/>
  <c r="W184" i="4"/>
  <c r="Y184" i="4"/>
  <c r="AB184" i="4" s="1"/>
  <c r="AA184" i="4"/>
  <c r="AF184" i="4"/>
  <c r="AI184" i="4" s="1"/>
  <c r="U185" i="4"/>
  <c r="AE184" i="4"/>
  <c r="X184" i="4"/>
  <c r="V184" i="4"/>
  <c r="Z184" i="4"/>
  <c r="AH184" i="4"/>
  <c r="AD184" i="4"/>
  <c r="E186" i="4"/>
  <c r="P185" i="4"/>
  <c r="K185" i="4"/>
  <c r="G185" i="4"/>
  <c r="S185" i="4"/>
  <c r="O185" i="4"/>
  <c r="R185" i="4"/>
  <c r="T185" i="4"/>
  <c r="H185" i="4"/>
  <c r="J185" i="4"/>
  <c r="F185" i="4"/>
  <c r="N185" i="4"/>
  <c r="I185" i="4"/>
  <c r="M185" i="4"/>
  <c r="Q185" i="4"/>
  <c r="S185" i="1"/>
  <c r="T185" i="1"/>
  <c r="O185" i="1"/>
  <c r="R185" i="1"/>
  <c r="N185" i="1"/>
  <c r="Q185" i="1"/>
  <c r="P185" i="1"/>
  <c r="E186" i="1"/>
  <c r="F185" i="1"/>
  <c r="G185" i="1"/>
  <c r="H185" i="1"/>
  <c r="I185" i="1"/>
  <c r="M185" i="1" s="1"/>
  <c r="J185" i="1"/>
  <c r="K185" i="1"/>
  <c r="W186" i="1"/>
  <c r="X186" i="1"/>
  <c r="Y186" i="1"/>
  <c r="Z186" i="1"/>
  <c r="AA186" i="1"/>
  <c r="V186" i="1"/>
  <c r="AB186" i="1" s="1"/>
  <c r="U187" i="1"/>
  <c r="P186" i="4" l="1"/>
  <c r="S186" i="4"/>
  <c r="I186" i="4"/>
  <c r="N186" i="4"/>
  <c r="T186" i="4" s="1"/>
  <c r="G186" i="4"/>
  <c r="R186" i="4"/>
  <c r="E187" i="4"/>
  <c r="O186" i="4"/>
  <c r="J186" i="4"/>
  <c r="F186" i="4"/>
  <c r="M186" i="4"/>
  <c r="H186" i="4"/>
  <c r="K186" i="4"/>
  <c r="Q186" i="4"/>
  <c r="AC185" i="4"/>
  <c r="X185" i="4"/>
  <c r="AD185" i="4"/>
  <c r="AB185" i="4"/>
  <c r="AG185" i="4"/>
  <c r="AH185" i="4"/>
  <c r="U186" i="4"/>
  <c r="AF185" i="4"/>
  <c r="AI185" i="4"/>
  <c r="AE185" i="4"/>
  <c r="AA185" i="4"/>
  <c r="W185" i="4"/>
  <c r="Y185" i="4"/>
  <c r="Z185" i="4"/>
  <c r="V185" i="4"/>
  <c r="S186" i="1"/>
  <c r="T186" i="1"/>
  <c r="N186" i="1"/>
  <c r="P186" i="1"/>
  <c r="R186" i="1"/>
  <c r="Q186" i="1"/>
  <c r="O186" i="1"/>
  <c r="E187" i="1"/>
  <c r="F186" i="1"/>
  <c r="H186" i="1"/>
  <c r="G186" i="1"/>
  <c r="I186" i="1"/>
  <c r="M186" i="1" s="1"/>
  <c r="J186" i="1"/>
  <c r="K186" i="1"/>
  <c r="Y187" i="1"/>
  <c r="Z187" i="1"/>
  <c r="AA187" i="1"/>
  <c r="V187" i="1"/>
  <c r="AB187" i="1" s="1"/>
  <c r="W187" i="1"/>
  <c r="X187" i="1"/>
  <c r="U188" i="1"/>
  <c r="AF186" i="4" l="1"/>
  <c r="AA186" i="4"/>
  <c r="AB186" i="4"/>
  <c r="X186" i="4"/>
  <c r="Z186" i="4"/>
  <c r="AI186" i="4"/>
  <c r="AD186" i="4"/>
  <c r="AG186" i="4"/>
  <c r="AE186" i="4"/>
  <c r="U187" i="4"/>
  <c r="W186" i="4"/>
  <c r="AH186" i="4"/>
  <c r="AC186" i="4"/>
  <c r="V186" i="4"/>
  <c r="Y186" i="4"/>
  <c r="I187" i="4"/>
  <c r="M187" i="4"/>
  <c r="P187" i="4"/>
  <c r="Q187" i="4"/>
  <c r="T187" i="4" s="1"/>
  <c r="K187" i="4"/>
  <c r="O187" i="4"/>
  <c r="J187" i="4"/>
  <c r="H187" i="4"/>
  <c r="E188" i="4"/>
  <c r="F187" i="4"/>
  <c r="G187" i="4"/>
  <c r="S187" i="4"/>
  <c r="N187" i="4"/>
  <c r="R187" i="4"/>
  <c r="S187" i="1"/>
  <c r="T187" i="1"/>
  <c r="R187" i="1"/>
  <c r="Q187" i="1"/>
  <c r="P187" i="1"/>
  <c r="O187" i="1"/>
  <c r="N187" i="1"/>
  <c r="E188" i="1"/>
  <c r="F187" i="1"/>
  <c r="G187" i="1"/>
  <c r="J187" i="1"/>
  <c r="H187" i="1"/>
  <c r="K187" i="1"/>
  <c r="I187" i="1"/>
  <c r="M187" i="1" s="1"/>
  <c r="AA188" i="1"/>
  <c r="V188" i="1"/>
  <c r="AB188" i="1" s="1"/>
  <c r="W188" i="1"/>
  <c r="X188" i="1"/>
  <c r="Z188" i="1"/>
  <c r="Y188" i="1"/>
  <c r="U189" i="1"/>
  <c r="Q188" i="4" l="1"/>
  <c r="T188" i="4" s="1"/>
  <c r="H188" i="4"/>
  <c r="G188" i="4"/>
  <c r="M188" i="4"/>
  <c r="J188" i="4"/>
  <c r="F188" i="4"/>
  <c r="E189" i="4"/>
  <c r="P188" i="4"/>
  <c r="S188" i="4"/>
  <c r="K188" i="4"/>
  <c r="I188" i="4"/>
  <c r="O188" i="4"/>
  <c r="N188" i="4"/>
  <c r="R188" i="4"/>
  <c r="Y187" i="4"/>
  <c r="AB187" i="4"/>
  <c r="U188" i="4"/>
  <c r="AA187" i="4"/>
  <c r="Z187" i="4"/>
  <c r="AG187" i="4"/>
  <c r="AF187" i="4"/>
  <c r="AI187" i="4" s="1"/>
  <c r="AE187" i="4"/>
  <c r="W187" i="4"/>
  <c r="AH187" i="4"/>
  <c r="X187" i="4"/>
  <c r="AC187" i="4"/>
  <c r="V187" i="4"/>
  <c r="AD187" i="4"/>
  <c r="S188" i="1"/>
  <c r="T188" i="1"/>
  <c r="R188" i="1"/>
  <c r="Q188" i="1"/>
  <c r="P188" i="1"/>
  <c r="O188" i="1"/>
  <c r="N188" i="1"/>
  <c r="E189" i="1"/>
  <c r="F188" i="1"/>
  <c r="G188" i="1"/>
  <c r="I188" i="1"/>
  <c r="M188" i="1" s="1"/>
  <c r="H188" i="1"/>
  <c r="J188" i="1"/>
  <c r="K188" i="1"/>
  <c r="V189" i="1"/>
  <c r="AB189" i="1" s="1"/>
  <c r="W189" i="1"/>
  <c r="X189" i="1"/>
  <c r="Y189" i="1"/>
  <c r="Z189" i="1"/>
  <c r="AA189" i="1"/>
  <c r="U190" i="1"/>
  <c r="E190" i="4" l="1"/>
  <c r="P189" i="4"/>
  <c r="T189" i="4"/>
  <c r="H189" i="4"/>
  <c r="G189" i="4"/>
  <c r="J189" i="4"/>
  <c r="Q189" i="4"/>
  <c r="K189" i="4"/>
  <c r="F189" i="4"/>
  <c r="S189" i="4"/>
  <c r="R189" i="4"/>
  <c r="N189" i="4"/>
  <c r="O189" i="4"/>
  <c r="I189" i="4"/>
  <c r="M189" i="4"/>
  <c r="AG188" i="4"/>
  <c r="AF188" i="4"/>
  <c r="AI188" i="4" s="1"/>
  <c r="AE188" i="4"/>
  <c r="W188" i="4"/>
  <c r="Y188" i="4"/>
  <c r="AB188" i="4" s="1"/>
  <c r="U189" i="4"/>
  <c r="AD188" i="4"/>
  <c r="AC188" i="4"/>
  <c r="X188" i="4"/>
  <c r="Z188" i="4"/>
  <c r="AH188" i="4"/>
  <c r="AA188" i="4"/>
  <c r="V188" i="4"/>
  <c r="S189" i="1"/>
  <c r="T189" i="1"/>
  <c r="R189" i="1"/>
  <c r="Q189" i="1"/>
  <c r="P189" i="1"/>
  <c r="N189" i="1"/>
  <c r="O189" i="1"/>
  <c r="E190" i="1"/>
  <c r="F189" i="1"/>
  <c r="H189" i="1"/>
  <c r="I189" i="1"/>
  <c r="M189" i="1" s="1"/>
  <c r="G189" i="1"/>
  <c r="J189" i="1"/>
  <c r="K189" i="1"/>
  <c r="W190" i="1"/>
  <c r="V190" i="1"/>
  <c r="AB190" i="1" s="1"/>
  <c r="X190" i="1"/>
  <c r="Y190" i="1"/>
  <c r="Z190" i="1"/>
  <c r="AA190" i="1"/>
  <c r="U191" i="1"/>
  <c r="AB189" i="4" l="1"/>
  <c r="Y189" i="4"/>
  <c r="W189" i="4"/>
  <c r="AD189" i="4"/>
  <c r="V189" i="4"/>
  <c r="U190" i="4"/>
  <c r="X189" i="4"/>
  <c r="AA189" i="4"/>
  <c r="AH189" i="4"/>
  <c r="AI189" i="4"/>
  <c r="AE189" i="4"/>
  <c r="AG189" i="4"/>
  <c r="AF189" i="4"/>
  <c r="AC189" i="4"/>
  <c r="Z189" i="4"/>
  <c r="G190" i="4"/>
  <c r="R190" i="4"/>
  <c r="P190" i="4"/>
  <c r="O190" i="4"/>
  <c r="J190" i="4"/>
  <c r="F190" i="4"/>
  <c r="I190" i="4"/>
  <c r="M190" i="4"/>
  <c r="H190" i="4"/>
  <c r="K190" i="4"/>
  <c r="N190" i="4"/>
  <c r="T190" i="4" s="1"/>
  <c r="Q190" i="4"/>
  <c r="E191" i="4"/>
  <c r="S190" i="4"/>
  <c r="S190" i="1"/>
  <c r="T190" i="1"/>
  <c r="Q190" i="1"/>
  <c r="P190" i="1"/>
  <c r="N190" i="1"/>
  <c r="R190" i="1"/>
  <c r="O190" i="1"/>
  <c r="E191" i="1"/>
  <c r="F190" i="1"/>
  <c r="H190" i="1"/>
  <c r="G190" i="1"/>
  <c r="I190" i="1"/>
  <c r="M190" i="1" s="1"/>
  <c r="J190" i="1"/>
  <c r="K190" i="1"/>
  <c r="Y191" i="1"/>
  <c r="Z191" i="1"/>
  <c r="AA191" i="1"/>
  <c r="X191" i="1"/>
  <c r="V191" i="1"/>
  <c r="AB191" i="1" s="1"/>
  <c r="W191" i="1"/>
  <c r="U192" i="1"/>
  <c r="AF190" i="4" l="1"/>
  <c r="AI190" i="4"/>
  <c r="X190" i="4"/>
  <c r="AH190" i="4"/>
  <c r="AD190" i="4"/>
  <c r="AB190" i="4"/>
  <c r="AE190" i="4"/>
  <c r="AA190" i="4"/>
  <c r="AG190" i="4"/>
  <c r="W190" i="4"/>
  <c r="Z190" i="4"/>
  <c r="U191" i="4"/>
  <c r="V190" i="4"/>
  <c r="AC190" i="4"/>
  <c r="Y190" i="4"/>
  <c r="I191" i="4"/>
  <c r="E192" i="4"/>
  <c r="K191" i="4"/>
  <c r="G191" i="4"/>
  <c r="R191" i="4"/>
  <c r="Q191" i="4"/>
  <c r="T191" i="4"/>
  <c r="O191" i="4"/>
  <c r="F191" i="4"/>
  <c r="H191" i="4"/>
  <c r="M191" i="4"/>
  <c r="P191" i="4"/>
  <c r="J191" i="4"/>
  <c r="N191" i="4"/>
  <c r="S191" i="4"/>
  <c r="T191" i="1"/>
  <c r="S191" i="1"/>
  <c r="Q191" i="1"/>
  <c r="P191" i="1"/>
  <c r="R191" i="1"/>
  <c r="O191" i="1"/>
  <c r="N191" i="1"/>
  <c r="E192" i="1"/>
  <c r="H191" i="1"/>
  <c r="G191" i="1"/>
  <c r="I191" i="1"/>
  <c r="M191" i="1" s="1"/>
  <c r="F191" i="1"/>
  <c r="K191" i="1"/>
  <c r="J191" i="1"/>
  <c r="AA192" i="1"/>
  <c r="V192" i="1"/>
  <c r="AB192" i="1" s="1"/>
  <c r="W192" i="1"/>
  <c r="X192" i="1"/>
  <c r="Y192" i="1"/>
  <c r="Z192" i="1"/>
  <c r="U193" i="1"/>
  <c r="AG191" i="4" l="1"/>
  <c r="AC191" i="4"/>
  <c r="U192" i="4"/>
  <c r="AA191" i="4"/>
  <c r="AH191" i="4"/>
  <c r="Y191" i="4"/>
  <c r="AB191" i="4"/>
  <c r="V191" i="4"/>
  <c r="AF191" i="4"/>
  <c r="AI191" i="4" s="1"/>
  <c r="X191" i="4"/>
  <c r="W191" i="4"/>
  <c r="AE191" i="4"/>
  <c r="AD191" i="4"/>
  <c r="Z191" i="4"/>
  <c r="I192" i="4"/>
  <c r="P192" i="4"/>
  <c r="K192" i="4"/>
  <c r="S192" i="4"/>
  <c r="O192" i="4"/>
  <c r="Q192" i="4"/>
  <c r="T192" i="4" s="1"/>
  <c r="E193" i="4"/>
  <c r="M192" i="4"/>
  <c r="H192" i="4"/>
  <c r="F192" i="4"/>
  <c r="G192" i="4"/>
  <c r="R192" i="4"/>
  <c r="J192" i="4"/>
  <c r="N192" i="4"/>
  <c r="T192" i="1"/>
  <c r="S192" i="1"/>
  <c r="Q192" i="1"/>
  <c r="P192" i="1"/>
  <c r="N192" i="1"/>
  <c r="R192" i="1"/>
  <c r="O192" i="1"/>
  <c r="E193" i="1"/>
  <c r="G192" i="1"/>
  <c r="H192" i="1"/>
  <c r="I192" i="1"/>
  <c r="M192" i="1" s="1"/>
  <c r="F192" i="1"/>
  <c r="J192" i="1"/>
  <c r="K192" i="1"/>
  <c r="V193" i="1"/>
  <c r="AB193" i="1" s="1"/>
  <c r="W193" i="1"/>
  <c r="X193" i="1"/>
  <c r="Y193" i="1"/>
  <c r="Z193" i="1"/>
  <c r="AA193" i="1"/>
  <c r="U194" i="1"/>
  <c r="AG192" i="4" l="1"/>
  <c r="Y192" i="4"/>
  <c r="AB192" i="4" s="1"/>
  <c r="AA192" i="4"/>
  <c r="AH192" i="4"/>
  <c r="X192" i="4"/>
  <c r="U193" i="4"/>
  <c r="AF192" i="4"/>
  <c r="AI192" i="4" s="1"/>
  <c r="W192" i="4"/>
  <c r="V192" i="4"/>
  <c r="AC192" i="4"/>
  <c r="AE192" i="4"/>
  <c r="AD192" i="4"/>
  <c r="Z192" i="4"/>
  <c r="E194" i="4"/>
  <c r="G193" i="4"/>
  <c r="T193" i="4"/>
  <c r="O193" i="4"/>
  <c r="F193" i="4"/>
  <c r="H193" i="4"/>
  <c r="Q193" i="4"/>
  <c r="K193" i="4"/>
  <c r="P193" i="4"/>
  <c r="S193" i="4"/>
  <c r="J193" i="4"/>
  <c r="N193" i="4"/>
  <c r="M193" i="4"/>
  <c r="I193" i="4"/>
  <c r="R193" i="4"/>
  <c r="S193" i="1"/>
  <c r="T193" i="1"/>
  <c r="O193" i="1"/>
  <c r="Q193" i="1"/>
  <c r="P193" i="1"/>
  <c r="R193" i="1"/>
  <c r="N193" i="1"/>
  <c r="E194" i="1"/>
  <c r="F193" i="1"/>
  <c r="G193" i="1"/>
  <c r="H193" i="1"/>
  <c r="I193" i="1"/>
  <c r="M193" i="1" s="1"/>
  <c r="K193" i="1"/>
  <c r="J193" i="1"/>
  <c r="W194" i="1"/>
  <c r="X194" i="1"/>
  <c r="Y194" i="1"/>
  <c r="V194" i="1"/>
  <c r="AB194" i="1" s="1"/>
  <c r="Z194" i="1"/>
  <c r="AA194" i="1"/>
  <c r="U195" i="1"/>
  <c r="AB193" i="4" l="1"/>
  <c r="Y193" i="4"/>
  <c r="AE193" i="4"/>
  <c r="W193" i="4"/>
  <c r="U194" i="4"/>
  <c r="X193" i="4"/>
  <c r="AG193" i="4"/>
  <c r="AC193" i="4"/>
  <c r="AI193" i="4"/>
  <c r="AA193" i="4"/>
  <c r="AH193" i="4"/>
  <c r="Z193" i="4"/>
  <c r="AD193" i="4"/>
  <c r="V193" i="4"/>
  <c r="AF193" i="4"/>
  <c r="G194" i="4"/>
  <c r="I194" i="4"/>
  <c r="Q194" i="4"/>
  <c r="P194" i="4"/>
  <c r="O194" i="4"/>
  <c r="S194" i="4"/>
  <c r="M194" i="4"/>
  <c r="H194" i="4"/>
  <c r="F194" i="4"/>
  <c r="R194" i="4"/>
  <c r="N194" i="4"/>
  <c r="T194" i="4" s="1"/>
  <c r="K194" i="4"/>
  <c r="E195" i="4"/>
  <c r="J194" i="4"/>
  <c r="S194" i="1"/>
  <c r="T194" i="1"/>
  <c r="R194" i="1"/>
  <c r="Q194" i="1"/>
  <c r="P194" i="1"/>
  <c r="O194" i="1"/>
  <c r="N194" i="1"/>
  <c r="E195" i="1"/>
  <c r="F194" i="1"/>
  <c r="G194" i="1"/>
  <c r="H194" i="1"/>
  <c r="K194" i="1"/>
  <c r="I194" i="1"/>
  <c r="M194" i="1" s="1"/>
  <c r="J194" i="1"/>
  <c r="Y195" i="1"/>
  <c r="X195" i="1"/>
  <c r="Z195" i="1"/>
  <c r="AA195" i="1"/>
  <c r="V195" i="1"/>
  <c r="AB195" i="1" s="1"/>
  <c r="W195" i="1"/>
  <c r="U196" i="1"/>
  <c r="X194" i="4" l="1"/>
  <c r="AH194" i="4"/>
  <c r="U195" i="4"/>
  <c r="AG194" i="4"/>
  <c r="AF194" i="4"/>
  <c r="AE194" i="4"/>
  <c r="AA194" i="4"/>
  <c r="Y194" i="4"/>
  <c r="W194" i="4"/>
  <c r="Z194" i="4"/>
  <c r="AD194" i="4"/>
  <c r="AC194" i="4"/>
  <c r="AI194" i="4"/>
  <c r="V194" i="4"/>
  <c r="AB194" i="4"/>
  <c r="Q195" i="4"/>
  <c r="K195" i="4"/>
  <c r="J195" i="4"/>
  <c r="H195" i="4"/>
  <c r="E196" i="4"/>
  <c r="G195" i="4"/>
  <c r="O195" i="4"/>
  <c r="P195" i="4"/>
  <c r="T195" i="4"/>
  <c r="S195" i="4"/>
  <c r="R195" i="4"/>
  <c r="M195" i="4"/>
  <c r="N195" i="4"/>
  <c r="I195" i="4"/>
  <c r="F195" i="4"/>
  <c r="S195" i="1"/>
  <c r="T195" i="1"/>
  <c r="R195" i="1"/>
  <c r="Q195" i="1"/>
  <c r="O195" i="1"/>
  <c r="N195" i="1"/>
  <c r="P195" i="1"/>
  <c r="E196" i="1"/>
  <c r="F195" i="1"/>
  <c r="G195" i="1"/>
  <c r="H195" i="1"/>
  <c r="I195" i="1"/>
  <c r="M195" i="1" s="1"/>
  <c r="K195" i="1"/>
  <c r="J195" i="1"/>
  <c r="AA196" i="1"/>
  <c r="V196" i="1"/>
  <c r="AB196" i="1" s="1"/>
  <c r="W196" i="1"/>
  <c r="X196" i="1"/>
  <c r="Z196" i="1"/>
  <c r="Y196" i="1"/>
  <c r="U197" i="1"/>
  <c r="I196" i="4" l="1"/>
  <c r="Q196" i="4"/>
  <c r="T196" i="4" s="1"/>
  <c r="S196" i="4"/>
  <c r="M196" i="4"/>
  <c r="H196" i="4"/>
  <c r="G196" i="4"/>
  <c r="E197" i="4"/>
  <c r="P196" i="4"/>
  <c r="K196" i="4"/>
  <c r="O196" i="4"/>
  <c r="N196" i="4"/>
  <c r="J196" i="4"/>
  <c r="R196" i="4"/>
  <c r="F196" i="4"/>
  <c r="AG195" i="4"/>
  <c r="AC195" i="4"/>
  <c r="AA195" i="4"/>
  <c r="AH195" i="4"/>
  <c r="AD195" i="4"/>
  <c r="Y195" i="4"/>
  <c r="AB195" i="4"/>
  <c r="V195" i="4"/>
  <c r="AF195" i="4"/>
  <c r="AI195" i="4" s="1"/>
  <c r="U196" i="4"/>
  <c r="X195" i="4"/>
  <c r="AE195" i="4"/>
  <c r="Z195" i="4"/>
  <c r="W195" i="4"/>
  <c r="S196" i="1"/>
  <c r="T196" i="1"/>
  <c r="R196" i="1"/>
  <c r="Q196" i="1"/>
  <c r="P196" i="1"/>
  <c r="O196" i="1"/>
  <c r="N196" i="1"/>
  <c r="E197" i="1"/>
  <c r="F196" i="1"/>
  <c r="G196" i="1"/>
  <c r="I196" i="1"/>
  <c r="M196" i="1" s="1"/>
  <c r="H196" i="1"/>
  <c r="K196" i="1"/>
  <c r="J196" i="1"/>
  <c r="V197" i="1"/>
  <c r="AB197" i="1" s="1"/>
  <c r="W197" i="1"/>
  <c r="X197" i="1"/>
  <c r="Y197" i="1"/>
  <c r="Z197" i="1"/>
  <c r="AA197" i="1"/>
  <c r="U198" i="1"/>
  <c r="AG196" i="4" l="1"/>
  <c r="AC196" i="4"/>
  <c r="AA196" i="4"/>
  <c r="Y196" i="4"/>
  <c r="AB196" i="4" s="1"/>
  <c r="AF196" i="4"/>
  <c r="AI196" i="4" s="1"/>
  <c r="U197" i="4"/>
  <c r="AD196" i="4"/>
  <c r="AH196" i="4"/>
  <c r="V196" i="4"/>
  <c r="X196" i="4"/>
  <c r="AE196" i="4"/>
  <c r="Z196" i="4"/>
  <c r="W196" i="4"/>
  <c r="E198" i="4"/>
  <c r="P197" i="4"/>
  <c r="J197" i="4"/>
  <c r="Q197" i="4"/>
  <c r="T197" i="4"/>
  <c r="H197" i="4"/>
  <c r="K197" i="4"/>
  <c r="G197" i="4"/>
  <c r="S197" i="4"/>
  <c r="O197" i="4"/>
  <c r="M197" i="4"/>
  <c r="F197" i="4"/>
  <c r="N197" i="4"/>
  <c r="R197" i="4"/>
  <c r="I197" i="4"/>
  <c r="S197" i="1"/>
  <c r="T197" i="1"/>
  <c r="R197" i="1"/>
  <c r="O197" i="1"/>
  <c r="Q197" i="1"/>
  <c r="N197" i="1"/>
  <c r="P197" i="1"/>
  <c r="E198" i="1"/>
  <c r="I197" i="1"/>
  <c r="M197" i="1" s="1"/>
  <c r="G197" i="1"/>
  <c r="H197" i="1"/>
  <c r="J197" i="1"/>
  <c r="K197" i="1"/>
  <c r="F197" i="1"/>
  <c r="W198" i="1"/>
  <c r="X198" i="1"/>
  <c r="Y198" i="1"/>
  <c r="Z198" i="1"/>
  <c r="AA198" i="1"/>
  <c r="V198" i="1"/>
  <c r="AB198" i="1" s="1"/>
  <c r="U199" i="1"/>
  <c r="G198" i="4" l="1"/>
  <c r="R198" i="4"/>
  <c r="E199" i="4"/>
  <c r="O198" i="4"/>
  <c r="J198" i="4"/>
  <c r="F198" i="4"/>
  <c r="I198" i="4"/>
  <c r="M198" i="4"/>
  <c r="H198" i="4"/>
  <c r="N198" i="4"/>
  <c r="T198" i="4" s="1"/>
  <c r="S198" i="4"/>
  <c r="K198" i="4"/>
  <c r="P198" i="4"/>
  <c r="Q198" i="4"/>
  <c r="AB197" i="4"/>
  <c r="Y197" i="4"/>
  <c r="W197" i="4"/>
  <c r="U198" i="4"/>
  <c r="X197" i="4"/>
  <c r="AH197" i="4"/>
  <c r="AF197" i="4"/>
  <c r="AI197" i="4"/>
  <c r="AD197" i="4"/>
  <c r="AE197" i="4"/>
  <c r="AA197" i="4"/>
  <c r="Z197" i="4"/>
  <c r="AG197" i="4"/>
  <c r="V197" i="4"/>
  <c r="AC197" i="4"/>
  <c r="S198" i="1"/>
  <c r="T198" i="1"/>
  <c r="N198" i="1"/>
  <c r="R198" i="1"/>
  <c r="O198" i="1"/>
  <c r="P198" i="1"/>
  <c r="Q198" i="1"/>
  <c r="E199" i="1"/>
  <c r="F198" i="1"/>
  <c r="H198" i="1"/>
  <c r="G198" i="1"/>
  <c r="I198" i="1"/>
  <c r="M198" i="1" s="1"/>
  <c r="K198" i="1"/>
  <c r="J198" i="1"/>
  <c r="Y199" i="1"/>
  <c r="Z199" i="1"/>
  <c r="AA199" i="1"/>
  <c r="X199" i="1"/>
  <c r="V199" i="1"/>
  <c r="AB199" i="1" s="1"/>
  <c r="W199" i="1"/>
  <c r="U200" i="1"/>
  <c r="I199" i="4" l="1"/>
  <c r="T199" i="4"/>
  <c r="P199" i="4"/>
  <c r="F199" i="4"/>
  <c r="Q199" i="4"/>
  <c r="M199" i="4"/>
  <c r="E200" i="4"/>
  <c r="R199" i="4"/>
  <c r="H199" i="4"/>
  <c r="K199" i="4"/>
  <c r="S199" i="4"/>
  <c r="J199" i="4"/>
  <c r="N199" i="4"/>
  <c r="G199" i="4"/>
  <c r="O199" i="4"/>
  <c r="AF198" i="4"/>
  <c r="U199" i="4"/>
  <c r="AA198" i="4"/>
  <c r="V198" i="4"/>
  <c r="X198" i="4"/>
  <c r="AI198" i="4"/>
  <c r="W198" i="4"/>
  <c r="Z198" i="4"/>
  <c r="Y198" i="4"/>
  <c r="AE198" i="4"/>
  <c r="AH198" i="4"/>
  <c r="AD198" i="4"/>
  <c r="AG198" i="4"/>
  <c r="AC198" i="4"/>
  <c r="AB198" i="4"/>
  <c r="S199" i="1"/>
  <c r="T199" i="1"/>
  <c r="R199" i="1"/>
  <c r="Q199" i="1"/>
  <c r="P199" i="1"/>
  <c r="O199" i="1"/>
  <c r="N199" i="1"/>
  <c r="E200" i="1"/>
  <c r="H199" i="1"/>
  <c r="F199" i="1"/>
  <c r="G199" i="1"/>
  <c r="K199" i="1"/>
  <c r="I199" i="1"/>
  <c r="M199" i="1" s="1"/>
  <c r="J199" i="1"/>
  <c r="AA200" i="1"/>
  <c r="V200" i="1"/>
  <c r="AB200" i="1" s="1"/>
  <c r="Z200" i="1"/>
  <c r="W200" i="1"/>
  <c r="X200" i="1"/>
  <c r="Y200" i="1"/>
  <c r="U201" i="1"/>
  <c r="Q200" i="4" l="1"/>
  <c r="T200" i="4" s="1"/>
  <c r="G200" i="4"/>
  <c r="S200" i="4"/>
  <c r="I200" i="4"/>
  <c r="H200" i="4"/>
  <c r="K200" i="4"/>
  <c r="E201" i="4"/>
  <c r="P200" i="4"/>
  <c r="O200" i="4"/>
  <c r="R200" i="4"/>
  <c r="F200" i="4"/>
  <c r="M200" i="4" s="1"/>
  <c r="J200" i="4"/>
  <c r="N200" i="4"/>
  <c r="AG199" i="4"/>
  <c r="AC199" i="4"/>
  <c r="Y199" i="4"/>
  <c r="AB199" i="4"/>
  <c r="AE199" i="4"/>
  <c r="AH199" i="4"/>
  <c r="AF199" i="4"/>
  <c r="AI199" i="4" s="1"/>
  <c r="Z199" i="4"/>
  <c r="V199" i="4"/>
  <c r="X199" i="4"/>
  <c r="U200" i="4"/>
  <c r="AA199" i="4"/>
  <c r="W199" i="4"/>
  <c r="AD199" i="4"/>
  <c r="S200" i="1"/>
  <c r="T200" i="1"/>
  <c r="R200" i="1"/>
  <c r="Q200" i="1"/>
  <c r="P200" i="1"/>
  <c r="O200" i="1"/>
  <c r="N200" i="1"/>
  <c r="E201" i="1"/>
  <c r="G200" i="1"/>
  <c r="F200" i="1"/>
  <c r="H200" i="1"/>
  <c r="I200" i="1"/>
  <c r="M200" i="1" s="1"/>
  <c r="K200" i="1"/>
  <c r="J200" i="1"/>
  <c r="V201" i="1"/>
  <c r="AB201" i="1" s="1"/>
  <c r="W201" i="1"/>
  <c r="X201" i="1"/>
  <c r="Y201" i="1"/>
  <c r="Z201" i="1"/>
  <c r="AA201" i="1"/>
  <c r="U202" i="1"/>
  <c r="AG200" i="4" l="1"/>
  <c r="AE200" i="4"/>
  <c r="AC200" i="4"/>
  <c r="U201" i="4"/>
  <c r="V200" i="4"/>
  <c r="AF200" i="4"/>
  <c r="AI200" i="4" s="1"/>
  <c r="Y200" i="4"/>
  <c r="AB200" i="4" s="1"/>
  <c r="W200" i="4"/>
  <c r="X200" i="4"/>
  <c r="AA200" i="4"/>
  <c r="Z200" i="4"/>
  <c r="AH200" i="4"/>
  <c r="AD200" i="4"/>
  <c r="E202" i="4"/>
  <c r="P201" i="4"/>
  <c r="N201" i="4"/>
  <c r="R201" i="4"/>
  <c r="T201" i="4"/>
  <c r="I201" i="4"/>
  <c r="F201" i="4"/>
  <c r="M201" i="4"/>
  <c r="K201" i="4"/>
  <c r="G201" i="4"/>
  <c r="J201" i="4"/>
  <c r="H201" i="4"/>
  <c r="S201" i="4"/>
  <c r="Q201" i="4"/>
  <c r="O201" i="4"/>
  <c r="T201" i="1"/>
  <c r="S201" i="1"/>
  <c r="R201" i="1"/>
  <c r="Q201" i="1"/>
  <c r="P201" i="1"/>
  <c r="O201" i="1"/>
  <c r="N201" i="1"/>
  <c r="E202" i="1"/>
  <c r="F201" i="1"/>
  <c r="G201" i="1"/>
  <c r="H201" i="1"/>
  <c r="K201" i="1"/>
  <c r="I201" i="1"/>
  <c r="M201" i="1" s="1"/>
  <c r="J201" i="1"/>
  <c r="W202" i="1"/>
  <c r="V202" i="1"/>
  <c r="AB202" i="1" s="1"/>
  <c r="X202" i="1"/>
  <c r="Y202" i="1"/>
  <c r="Z202" i="1"/>
  <c r="AA202" i="1"/>
  <c r="U203" i="1"/>
  <c r="G202" i="4" l="1"/>
  <c r="K202" i="4"/>
  <c r="O202" i="4"/>
  <c r="I202" i="4"/>
  <c r="J202" i="4"/>
  <c r="F202" i="4"/>
  <c r="E203" i="4"/>
  <c r="H202" i="4"/>
  <c r="N202" i="4"/>
  <c r="T202" i="4" s="1"/>
  <c r="Q202" i="4"/>
  <c r="R202" i="4"/>
  <c r="M202" i="4"/>
  <c r="S202" i="4"/>
  <c r="P202" i="4"/>
  <c r="AB201" i="4"/>
  <c r="AH201" i="4"/>
  <c r="AI201" i="4"/>
  <c r="AG201" i="4"/>
  <c r="U202" i="4"/>
  <c r="AF201" i="4"/>
  <c r="AE201" i="4"/>
  <c r="AA201" i="4"/>
  <c r="Y201" i="4"/>
  <c r="Z201" i="4"/>
  <c r="X201" i="4"/>
  <c r="W201" i="4"/>
  <c r="AD201" i="4"/>
  <c r="V201" i="4"/>
  <c r="AC201" i="4"/>
  <c r="S202" i="1"/>
  <c r="T202" i="1"/>
  <c r="P202" i="1"/>
  <c r="R202" i="1"/>
  <c r="N202" i="1"/>
  <c r="Q202" i="1"/>
  <c r="O202" i="1"/>
  <c r="E203" i="1"/>
  <c r="G202" i="1"/>
  <c r="I202" i="1"/>
  <c r="M202" i="1" s="1"/>
  <c r="K202" i="1"/>
  <c r="F202" i="1"/>
  <c r="H202" i="1"/>
  <c r="J202" i="1"/>
  <c r="Y203" i="1"/>
  <c r="Z203" i="1"/>
  <c r="AA203" i="1"/>
  <c r="X203" i="1"/>
  <c r="V203" i="1"/>
  <c r="AB203" i="1" s="1"/>
  <c r="W203" i="1"/>
  <c r="U204" i="1"/>
  <c r="X202" i="4" l="1"/>
  <c r="AA202" i="4"/>
  <c r="Z202" i="4"/>
  <c r="AD202" i="4"/>
  <c r="AC202" i="4"/>
  <c r="U203" i="4"/>
  <c r="AF202" i="4"/>
  <c r="AE202" i="4"/>
  <c r="AB202" i="4"/>
  <c r="AH202" i="4"/>
  <c r="V202" i="4"/>
  <c r="W202" i="4"/>
  <c r="AI202" i="4"/>
  <c r="AG202" i="4"/>
  <c r="Y202" i="4"/>
  <c r="R203" i="4"/>
  <c r="M203" i="4"/>
  <c r="E204" i="4"/>
  <c r="S203" i="4"/>
  <c r="I203" i="4"/>
  <c r="T203" i="4"/>
  <c r="F203" i="4"/>
  <c r="Q203" i="4"/>
  <c r="N203" i="4"/>
  <c r="P203" i="4"/>
  <c r="H203" i="4"/>
  <c r="K203" i="4"/>
  <c r="G203" i="4"/>
  <c r="J203" i="4"/>
  <c r="O203" i="4"/>
  <c r="T203" i="1"/>
  <c r="S203" i="1"/>
  <c r="P203" i="1"/>
  <c r="R203" i="1"/>
  <c r="Q203" i="1"/>
  <c r="N203" i="1"/>
  <c r="O203" i="1"/>
  <c r="E204" i="1"/>
  <c r="F203" i="1"/>
  <c r="G203" i="1"/>
  <c r="H203" i="1"/>
  <c r="J203" i="1"/>
  <c r="K203" i="1"/>
  <c r="I203" i="1"/>
  <c r="M203" i="1" s="1"/>
  <c r="AA204" i="1"/>
  <c r="V204" i="1"/>
  <c r="AB204" i="1" s="1"/>
  <c r="W204" i="1"/>
  <c r="X204" i="1"/>
  <c r="Z204" i="1"/>
  <c r="Y204" i="1"/>
  <c r="U205" i="1"/>
  <c r="AF203" i="4" l="1"/>
  <c r="Z203" i="4"/>
  <c r="AB203" i="4"/>
  <c r="V203" i="4"/>
  <c r="U204" i="4"/>
  <c r="X203" i="4"/>
  <c r="AH203" i="4"/>
  <c r="AD203" i="4"/>
  <c r="AI203" i="4"/>
  <c r="AE203" i="4"/>
  <c r="W203" i="4"/>
  <c r="Y203" i="4"/>
  <c r="AA203" i="4"/>
  <c r="AC203" i="4"/>
  <c r="AG203" i="4"/>
  <c r="R204" i="4"/>
  <c r="G204" i="4"/>
  <c r="O204" i="4"/>
  <c r="K204" i="4"/>
  <c r="J204" i="4"/>
  <c r="I204" i="4"/>
  <c r="H204" i="4"/>
  <c r="F204" i="4"/>
  <c r="M204" i="4" s="1"/>
  <c r="S204" i="4"/>
  <c r="N204" i="4"/>
  <c r="Q204" i="4"/>
  <c r="T204" i="4" s="1"/>
  <c r="E205" i="4"/>
  <c r="P204" i="4"/>
  <c r="T204" i="1"/>
  <c r="S204" i="1"/>
  <c r="R204" i="1"/>
  <c r="O204" i="1"/>
  <c r="Q204" i="1"/>
  <c r="P204" i="1"/>
  <c r="N204" i="1"/>
  <c r="E205" i="1"/>
  <c r="F204" i="1"/>
  <c r="G204" i="1"/>
  <c r="H204" i="1"/>
  <c r="I204" i="1"/>
  <c r="M204" i="1" s="1"/>
  <c r="J204" i="1"/>
  <c r="K204" i="1"/>
  <c r="V205" i="1"/>
  <c r="AB205" i="1" s="1"/>
  <c r="W205" i="1"/>
  <c r="X205" i="1"/>
  <c r="Y205" i="1"/>
  <c r="Z205" i="1"/>
  <c r="AA205" i="1"/>
  <c r="U206" i="1"/>
  <c r="AA204" i="4" l="1"/>
  <c r="AD204" i="4"/>
  <c r="X204" i="4"/>
  <c r="Y204" i="4"/>
  <c r="AH204" i="4"/>
  <c r="AC204" i="4"/>
  <c r="U205" i="4"/>
  <c r="AF204" i="4"/>
  <c r="Z204" i="4"/>
  <c r="V204" i="4"/>
  <c r="AG204" i="4"/>
  <c r="AE204" i="4"/>
  <c r="W204" i="4"/>
  <c r="AI204" i="4"/>
  <c r="AB204" i="4"/>
  <c r="T205" i="4"/>
  <c r="I205" i="4"/>
  <c r="G205" i="4"/>
  <c r="O205" i="4"/>
  <c r="H205" i="4"/>
  <c r="E206" i="4"/>
  <c r="K205" i="4"/>
  <c r="N205" i="4"/>
  <c r="S205" i="4"/>
  <c r="J205" i="4"/>
  <c r="F205" i="4"/>
  <c r="M205" i="4"/>
  <c r="Q205" i="4"/>
  <c r="P205" i="4"/>
  <c r="R205" i="4"/>
  <c r="S205" i="1"/>
  <c r="T205" i="1"/>
  <c r="P205" i="1"/>
  <c r="R205" i="1"/>
  <c r="Q205" i="1"/>
  <c r="N205" i="1"/>
  <c r="O205" i="1"/>
  <c r="E206" i="1"/>
  <c r="I205" i="1"/>
  <c r="M205" i="1" s="1"/>
  <c r="H205" i="1"/>
  <c r="G205" i="1"/>
  <c r="J205" i="1"/>
  <c r="F205" i="1"/>
  <c r="K205" i="1"/>
  <c r="W206" i="1"/>
  <c r="X206" i="1"/>
  <c r="Y206" i="1"/>
  <c r="Z206" i="1"/>
  <c r="AA206" i="1"/>
  <c r="V206" i="1"/>
  <c r="AB206" i="1" s="1"/>
  <c r="U207" i="1"/>
  <c r="V205" i="4" l="1"/>
  <c r="AH205" i="4"/>
  <c r="U206" i="4"/>
  <c r="AC205" i="4"/>
  <c r="AF205" i="4"/>
  <c r="AI205" i="4"/>
  <c r="AB205" i="4"/>
  <c r="Z205" i="4"/>
  <c r="AE205" i="4"/>
  <c r="X205" i="4"/>
  <c r="AG205" i="4"/>
  <c r="AD205" i="4"/>
  <c r="Y205" i="4"/>
  <c r="AA205" i="4"/>
  <c r="W205" i="4"/>
  <c r="O206" i="4"/>
  <c r="K206" i="4"/>
  <c r="H206" i="4"/>
  <c r="F206" i="4"/>
  <c r="I206" i="4"/>
  <c r="G206" i="4"/>
  <c r="N206" i="4"/>
  <c r="M206" i="4"/>
  <c r="Q206" i="4"/>
  <c r="T206" i="4" s="1"/>
  <c r="J206" i="4"/>
  <c r="R206" i="4"/>
  <c r="S206" i="4"/>
  <c r="P206" i="4"/>
  <c r="E207" i="4"/>
  <c r="S206" i="1"/>
  <c r="T206" i="1"/>
  <c r="Q206" i="1"/>
  <c r="P206" i="1"/>
  <c r="R206" i="1"/>
  <c r="O206" i="1"/>
  <c r="N206" i="1"/>
  <c r="E207" i="1"/>
  <c r="H206" i="1"/>
  <c r="F206" i="1"/>
  <c r="G206" i="1"/>
  <c r="K206" i="1"/>
  <c r="I206" i="1"/>
  <c r="M206" i="1" s="1"/>
  <c r="J206" i="1"/>
  <c r="Y207" i="1"/>
  <c r="Z207" i="1"/>
  <c r="AA207" i="1"/>
  <c r="X207" i="1"/>
  <c r="V207" i="1"/>
  <c r="AB207" i="1" s="1"/>
  <c r="W207" i="1"/>
  <c r="U208" i="1"/>
  <c r="AF206" i="4" l="1"/>
  <c r="AI206" i="4"/>
  <c r="AA206" i="4"/>
  <c r="AH206" i="4"/>
  <c r="W206" i="4"/>
  <c r="X206" i="4"/>
  <c r="AB206" i="4"/>
  <c r="AD206" i="4"/>
  <c r="AC206" i="4"/>
  <c r="AE206" i="4"/>
  <c r="Z206" i="4"/>
  <c r="V206" i="4"/>
  <c r="AG206" i="4"/>
  <c r="Y206" i="4"/>
  <c r="U207" i="4"/>
  <c r="I207" i="4"/>
  <c r="E208" i="4"/>
  <c r="T207" i="4"/>
  <c r="H207" i="4"/>
  <c r="K207" i="4"/>
  <c r="G207" i="4"/>
  <c r="S207" i="4"/>
  <c r="R207" i="4"/>
  <c r="Q207" i="4"/>
  <c r="N207" i="4"/>
  <c r="P207" i="4"/>
  <c r="M207" i="4"/>
  <c r="O207" i="4"/>
  <c r="F207" i="4"/>
  <c r="J207" i="4"/>
  <c r="S207" i="1"/>
  <c r="T207" i="1"/>
  <c r="O207" i="1"/>
  <c r="Q207" i="1"/>
  <c r="P207" i="1"/>
  <c r="R207" i="1"/>
  <c r="N207" i="1"/>
  <c r="E208" i="1"/>
  <c r="H207" i="1"/>
  <c r="F207" i="1"/>
  <c r="G207" i="1"/>
  <c r="J207" i="1"/>
  <c r="I207" i="1"/>
  <c r="M207" i="1" s="1"/>
  <c r="K207" i="1"/>
  <c r="AA208" i="1"/>
  <c r="Z208" i="1"/>
  <c r="V208" i="1"/>
  <c r="AB208" i="1" s="1"/>
  <c r="W208" i="1"/>
  <c r="X208" i="1"/>
  <c r="Y208" i="1"/>
  <c r="U209" i="1"/>
  <c r="U208" i="4" l="1"/>
  <c r="X207" i="4"/>
  <c r="AE207" i="4"/>
  <c r="W207" i="4"/>
  <c r="AI207" i="4"/>
  <c r="AD207" i="4"/>
  <c r="AB207" i="4"/>
  <c r="Y207" i="4"/>
  <c r="AA207" i="4"/>
  <c r="AH207" i="4"/>
  <c r="V207" i="4"/>
  <c r="AC207" i="4"/>
  <c r="AG207" i="4"/>
  <c r="AF207" i="4"/>
  <c r="Z207" i="4"/>
  <c r="I208" i="4"/>
  <c r="H208" i="4"/>
  <c r="E209" i="4"/>
  <c r="G208" i="4"/>
  <c r="Q208" i="4"/>
  <c r="T208" i="4" s="1"/>
  <c r="O208" i="4"/>
  <c r="F208" i="4"/>
  <c r="M208" i="4" s="1"/>
  <c r="P208" i="4"/>
  <c r="K208" i="4"/>
  <c r="J208" i="4"/>
  <c r="R208" i="4"/>
  <c r="S208" i="4"/>
  <c r="N208" i="4"/>
  <c r="S208" i="1"/>
  <c r="T208" i="1"/>
  <c r="R208" i="1"/>
  <c r="Q208" i="1"/>
  <c r="P208" i="1"/>
  <c r="O208" i="1"/>
  <c r="N208" i="1"/>
  <c r="E209" i="1"/>
  <c r="G208" i="1"/>
  <c r="H208" i="1"/>
  <c r="F208" i="1"/>
  <c r="I208" i="1"/>
  <c r="M208" i="1" s="1"/>
  <c r="J208" i="1"/>
  <c r="K208" i="1"/>
  <c r="V209" i="1"/>
  <c r="AB209" i="1" s="1"/>
  <c r="W209" i="1"/>
  <c r="X209" i="1"/>
  <c r="Y209" i="1"/>
  <c r="Z209" i="1"/>
  <c r="AA209" i="1"/>
  <c r="U210" i="1"/>
  <c r="T209" i="4" l="1"/>
  <c r="R209" i="4"/>
  <c r="S209" i="4"/>
  <c r="O209" i="4"/>
  <c r="H209" i="4"/>
  <c r="K209" i="4"/>
  <c r="P209" i="4"/>
  <c r="Q209" i="4"/>
  <c r="J209" i="4"/>
  <c r="F209" i="4"/>
  <c r="I209" i="4"/>
  <c r="N209" i="4"/>
  <c r="G209" i="4"/>
  <c r="M209" i="4"/>
  <c r="E210" i="4"/>
  <c r="AA208" i="4"/>
  <c r="AD208" i="4"/>
  <c r="U209" i="4"/>
  <c r="AH208" i="4"/>
  <c r="X208" i="4"/>
  <c r="V208" i="4"/>
  <c r="AG208" i="4"/>
  <c r="AC208" i="4"/>
  <c r="AE208" i="4"/>
  <c r="Z208" i="4"/>
  <c r="AF208" i="4"/>
  <c r="AB208" i="4"/>
  <c r="Y208" i="4"/>
  <c r="W208" i="4"/>
  <c r="AI208" i="4"/>
  <c r="S209" i="1"/>
  <c r="T209" i="1"/>
  <c r="Q209" i="1"/>
  <c r="N209" i="1"/>
  <c r="R209" i="1"/>
  <c r="P209" i="1"/>
  <c r="O209" i="1"/>
  <c r="E210" i="1"/>
  <c r="F209" i="1"/>
  <c r="G209" i="1"/>
  <c r="H209" i="1"/>
  <c r="K209" i="1"/>
  <c r="I209" i="1"/>
  <c r="M209" i="1" s="1"/>
  <c r="J209" i="1"/>
  <c r="W210" i="1"/>
  <c r="X210" i="1"/>
  <c r="Y210" i="1"/>
  <c r="V210" i="1"/>
  <c r="AB210" i="1" s="1"/>
  <c r="Z210" i="1"/>
  <c r="AA210" i="1"/>
  <c r="U211" i="1"/>
  <c r="O210" i="4" l="1"/>
  <c r="E211" i="4"/>
  <c r="S210" i="4"/>
  <c r="F210" i="4"/>
  <c r="R210" i="4"/>
  <c r="Q210" i="4"/>
  <c r="T210" i="4" s="1"/>
  <c r="P210" i="4"/>
  <c r="N210" i="4"/>
  <c r="M210" i="4"/>
  <c r="G210" i="4"/>
  <c r="K210" i="4"/>
  <c r="I210" i="4"/>
  <c r="H210" i="4"/>
  <c r="J210" i="4"/>
  <c r="V209" i="4"/>
  <c r="AH209" i="4"/>
  <c r="AI209" i="4"/>
  <c r="AC209" i="4"/>
  <c r="AF209" i="4"/>
  <c r="U210" i="4"/>
  <c r="AB209" i="4"/>
  <c r="Z209" i="4"/>
  <c r="AG209" i="4"/>
  <c r="AD209" i="4"/>
  <c r="X209" i="4"/>
  <c r="W209" i="4"/>
  <c r="Y209" i="4"/>
  <c r="AE209" i="4"/>
  <c r="AA209" i="4"/>
  <c r="S210" i="1"/>
  <c r="T210" i="1"/>
  <c r="N210" i="1"/>
  <c r="Q210" i="1"/>
  <c r="P210" i="1"/>
  <c r="O210" i="1"/>
  <c r="R210" i="1"/>
  <c r="E211" i="1"/>
  <c r="G210" i="1"/>
  <c r="H210" i="1"/>
  <c r="I210" i="1"/>
  <c r="M210" i="1" s="1"/>
  <c r="J210" i="1"/>
  <c r="K210" i="1"/>
  <c r="F210" i="1"/>
  <c r="Y211" i="1"/>
  <c r="Z211" i="1"/>
  <c r="AA211" i="1"/>
  <c r="V211" i="1"/>
  <c r="AB211" i="1" s="1"/>
  <c r="W211" i="1"/>
  <c r="X211" i="1"/>
  <c r="U212" i="1"/>
  <c r="AF210" i="4" l="1"/>
  <c r="AI210" i="4"/>
  <c r="AB210" i="4"/>
  <c r="X210" i="4"/>
  <c r="AA210" i="4"/>
  <c r="AH210" i="4"/>
  <c r="V210" i="4"/>
  <c r="AC210" i="4"/>
  <c r="AE210" i="4"/>
  <c r="Z210" i="4"/>
  <c r="U211" i="4"/>
  <c r="W210" i="4"/>
  <c r="AG210" i="4"/>
  <c r="AD210" i="4"/>
  <c r="Y210" i="4"/>
  <c r="I211" i="4"/>
  <c r="N211" i="4"/>
  <c r="H211" i="4"/>
  <c r="T211" i="4"/>
  <c r="R211" i="4"/>
  <c r="Q211" i="4"/>
  <c r="K211" i="4"/>
  <c r="E212" i="4"/>
  <c r="P211" i="4"/>
  <c r="G211" i="4"/>
  <c r="J211" i="4"/>
  <c r="S211" i="4"/>
  <c r="F211" i="4"/>
  <c r="O211" i="4"/>
  <c r="M211" i="4"/>
  <c r="S211" i="1"/>
  <c r="T211" i="1"/>
  <c r="R211" i="1"/>
  <c r="Q211" i="1"/>
  <c r="P211" i="1"/>
  <c r="O211" i="1"/>
  <c r="N211" i="1"/>
  <c r="E212" i="1"/>
  <c r="K211" i="1"/>
  <c r="G211" i="1"/>
  <c r="J211" i="1"/>
  <c r="H211" i="1"/>
  <c r="I211" i="1"/>
  <c r="M211" i="1" s="1"/>
  <c r="F211" i="1"/>
  <c r="AA212" i="1"/>
  <c r="V212" i="1"/>
  <c r="AB212" i="1" s="1"/>
  <c r="Z212" i="1"/>
  <c r="W212" i="1"/>
  <c r="X212" i="1"/>
  <c r="Y212" i="1"/>
  <c r="U213" i="1"/>
  <c r="R212" i="4" l="1"/>
  <c r="G212" i="4"/>
  <c r="F212" i="4"/>
  <c r="M212" i="4" s="1"/>
  <c r="I212" i="4"/>
  <c r="Q212" i="4"/>
  <c r="T212" i="4" s="1"/>
  <c r="H212" i="4"/>
  <c r="O212" i="4"/>
  <c r="K212" i="4"/>
  <c r="J212" i="4"/>
  <c r="E213" i="4"/>
  <c r="S212" i="4"/>
  <c r="N212" i="4"/>
  <c r="P212" i="4"/>
  <c r="AF211" i="4"/>
  <c r="AI211" i="4"/>
  <c r="AA211" i="4"/>
  <c r="AC211" i="4"/>
  <c r="U212" i="4"/>
  <c r="X211" i="4"/>
  <c r="W211" i="4"/>
  <c r="V211" i="4"/>
  <c r="AE211" i="4"/>
  <c r="AH211" i="4"/>
  <c r="AD211" i="4"/>
  <c r="Z211" i="4"/>
  <c r="AG211" i="4"/>
  <c r="Y211" i="4"/>
  <c r="AB211" i="4" s="1"/>
  <c r="S212" i="1"/>
  <c r="T212" i="1"/>
  <c r="R212" i="1"/>
  <c r="Q212" i="1"/>
  <c r="P212" i="1"/>
  <c r="O212" i="1"/>
  <c r="N212" i="1"/>
  <c r="E213" i="1"/>
  <c r="F212" i="1"/>
  <c r="H212" i="1"/>
  <c r="I212" i="1"/>
  <c r="M212" i="1" s="1"/>
  <c r="G212" i="1"/>
  <c r="J212" i="1"/>
  <c r="K212" i="1"/>
  <c r="V213" i="1"/>
  <c r="AB213" i="1" s="1"/>
  <c r="W213" i="1"/>
  <c r="X213" i="1"/>
  <c r="Y213" i="1"/>
  <c r="Z213" i="1"/>
  <c r="AA213" i="1"/>
  <c r="U214" i="1"/>
  <c r="AH212" i="4" l="1"/>
  <c r="X212" i="4"/>
  <c r="AE212" i="4"/>
  <c r="AC212" i="4"/>
  <c r="W212" i="4"/>
  <c r="AF212" i="4"/>
  <c r="AI212" i="4" s="1"/>
  <c r="AD212" i="4"/>
  <c r="Z212" i="4"/>
  <c r="V212" i="4"/>
  <c r="AG212" i="4"/>
  <c r="Y212" i="4"/>
  <c r="AB212" i="4" s="1"/>
  <c r="U213" i="4"/>
  <c r="AA212" i="4"/>
  <c r="N213" i="4"/>
  <c r="H213" i="4"/>
  <c r="E214" i="4"/>
  <c r="P213" i="4"/>
  <c r="I213" i="4"/>
  <c r="K213" i="4"/>
  <c r="G213" i="4"/>
  <c r="S213" i="4"/>
  <c r="J213" i="4"/>
  <c r="Q213" i="4"/>
  <c r="M213" i="4"/>
  <c r="R213" i="4"/>
  <c r="T213" i="4"/>
  <c r="O213" i="4"/>
  <c r="F213" i="4"/>
  <c r="S213" i="1"/>
  <c r="T213" i="1"/>
  <c r="R213" i="1"/>
  <c r="Q213" i="1"/>
  <c r="P213" i="1"/>
  <c r="O213" i="1"/>
  <c r="N213" i="1"/>
  <c r="E214" i="1"/>
  <c r="G213" i="1"/>
  <c r="I213" i="1"/>
  <c r="M213" i="1" s="1"/>
  <c r="H213" i="1"/>
  <c r="K213" i="1"/>
  <c r="F213" i="1"/>
  <c r="J213" i="1"/>
  <c r="W214" i="1"/>
  <c r="X214" i="1"/>
  <c r="Y214" i="1"/>
  <c r="Z214" i="1"/>
  <c r="AA214" i="1"/>
  <c r="V214" i="1"/>
  <c r="AB214" i="1" s="1"/>
  <c r="U215" i="1"/>
  <c r="G214" i="4" l="1"/>
  <c r="K214" i="4"/>
  <c r="M214" i="4"/>
  <c r="S214" i="4"/>
  <c r="R214" i="4"/>
  <c r="O214" i="4"/>
  <c r="I214" i="4"/>
  <c r="H214" i="4"/>
  <c r="F214" i="4"/>
  <c r="E215" i="4"/>
  <c r="Q214" i="4"/>
  <c r="N214" i="4"/>
  <c r="T214" i="4" s="1"/>
  <c r="P214" i="4"/>
  <c r="J214" i="4"/>
  <c r="AB213" i="4"/>
  <c r="Z213" i="4"/>
  <c r="U214" i="4"/>
  <c r="X213" i="4"/>
  <c r="Y213" i="4"/>
  <c r="AH213" i="4"/>
  <c r="AI213" i="4"/>
  <c r="W213" i="4"/>
  <c r="AC213" i="4"/>
  <c r="AE213" i="4"/>
  <c r="AA213" i="4"/>
  <c r="AG213" i="4"/>
  <c r="AD213" i="4"/>
  <c r="V213" i="4"/>
  <c r="AF213" i="4"/>
  <c r="S214" i="1"/>
  <c r="T214" i="1"/>
  <c r="R214" i="1"/>
  <c r="Q214" i="1"/>
  <c r="N214" i="1"/>
  <c r="O214" i="1"/>
  <c r="P214" i="1"/>
  <c r="E215" i="1"/>
  <c r="F214" i="1"/>
  <c r="H214" i="1"/>
  <c r="I214" i="1"/>
  <c r="M214" i="1" s="1"/>
  <c r="G214" i="1"/>
  <c r="J214" i="1"/>
  <c r="K214" i="1"/>
  <c r="Y215" i="1"/>
  <c r="X215" i="1"/>
  <c r="Z215" i="1"/>
  <c r="AA215" i="1"/>
  <c r="V215" i="1"/>
  <c r="AB215" i="1" s="1"/>
  <c r="W215" i="1"/>
  <c r="U216" i="1"/>
  <c r="I215" i="4" l="1"/>
  <c r="N215" i="4"/>
  <c r="S215" i="4"/>
  <c r="Q215" i="4"/>
  <c r="T215" i="4" s="1"/>
  <c r="K215" i="4"/>
  <c r="J215" i="4"/>
  <c r="F215" i="4"/>
  <c r="H215" i="4"/>
  <c r="E216" i="4"/>
  <c r="P215" i="4"/>
  <c r="G215" i="4"/>
  <c r="O215" i="4"/>
  <c r="R215" i="4"/>
  <c r="M215" i="4"/>
  <c r="AF214" i="4"/>
  <c r="AI214" i="4"/>
  <c r="AD214" i="4"/>
  <c r="AC214" i="4"/>
  <c r="X214" i="4"/>
  <c r="AA214" i="4"/>
  <c r="Z214" i="4"/>
  <c r="V214" i="4"/>
  <c r="Y214" i="4"/>
  <c r="AE214" i="4"/>
  <c r="AH214" i="4"/>
  <c r="W214" i="4"/>
  <c r="AB214" i="4"/>
  <c r="U215" i="4"/>
  <c r="AG214" i="4"/>
  <c r="S215" i="1"/>
  <c r="T215" i="1"/>
  <c r="R215" i="1"/>
  <c r="Q215" i="1"/>
  <c r="N215" i="1"/>
  <c r="O215" i="1"/>
  <c r="P215" i="1"/>
  <c r="E216" i="1"/>
  <c r="H215" i="1"/>
  <c r="G215" i="1"/>
  <c r="J215" i="1"/>
  <c r="K215" i="1"/>
  <c r="F215" i="1"/>
  <c r="I215" i="1"/>
  <c r="M215" i="1" s="1"/>
  <c r="AA216" i="1"/>
  <c r="V216" i="1"/>
  <c r="AB216" i="1" s="1"/>
  <c r="W216" i="1"/>
  <c r="Z216" i="1"/>
  <c r="X216" i="1"/>
  <c r="Y216" i="1"/>
  <c r="U217" i="1"/>
  <c r="AG215" i="4" l="1"/>
  <c r="AD215" i="4"/>
  <c r="X215" i="4"/>
  <c r="Y215" i="4"/>
  <c r="AB215" i="4"/>
  <c r="AF215" i="4"/>
  <c r="AI215" i="4" s="1"/>
  <c r="AA215" i="4"/>
  <c r="AC215" i="4"/>
  <c r="AH215" i="4"/>
  <c r="U216" i="4"/>
  <c r="AE215" i="4"/>
  <c r="W215" i="4"/>
  <c r="Z215" i="4"/>
  <c r="V215" i="4"/>
  <c r="I216" i="4"/>
  <c r="H216" i="4"/>
  <c r="E217" i="4"/>
  <c r="O216" i="4"/>
  <c r="S216" i="4"/>
  <c r="G216" i="4"/>
  <c r="Q216" i="4"/>
  <c r="T216" i="4" s="1"/>
  <c r="R216" i="4"/>
  <c r="M216" i="4"/>
  <c r="F216" i="4"/>
  <c r="P216" i="4"/>
  <c r="N216" i="4"/>
  <c r="K216" i="4"/>
  <c r="J216" i="4"/>
  <c r="T216" i="1"/>
  <c r="S216" i="1"/>
  <c r="R216" i="1"/>
  <c r="Q216" i="1"/>
  <c r="N216" i="1"/>
  <c r="O216" i="1"/>
  <c r="P216" i="1"/>
  <c r="E217" i="1"/>
  <c r="G216" i="1"/>
  <c r="H216" i="1"/>
  <c r="F216" i="1"/>
  <c r="I216" i="1"/>
  <c r="M216" i="1" s="1"/>
  <c r="J216" i="1"/>
  <c r="K216" i="1"/>
  <c r="V217" i="1"/>
  <c r="AB217" i="1" s="1"/>
  <c r="W217" i="1"/>
  <c r="X217" i="1"/>
  <c r="Y217" i="1"/>
  <c r="Z217" i="1"/>
  <c r="AA217" i="1"/>
  <c r="U218" i="1"/>
  <c r="AH216" i="4" l="1"/>
  <c r="AF216" i="4"/>
  <c r="AI216" i="4" s="1"/>
  <c r="AG216" i="4"/>
  <c r="W216" i="4"/>
  <c r="X216" i="4"/>
  <c r="AA216" i="4"/>
  <c r="Z216" i="4"/>
  <c r="AD216" i="4"/>
  <c r="Y216" i="4"/>
  <c r="AB216" i="4" s="1"/>
  <c r="AE216" i="4"/>
  <c r="AC216" i="4"/>
  <c r="V216" i="4"/>
  <c r="U217" i="4"/>
  <c r="N217" i="4"/>
  <c r="H217" i="4"/>
  <c r="O217" i="4"/>
  <c r="F217" i="4"/>
  <c r="M217" i="4"/>
  <c r="R217" i="4"/>
  <c r="G217" i="4"/>
  <c r="J217" i="4"/>
  <c r="E218" i="4"/>
  <c r="P217" i="4"/>
  <c r="S217" i="4"/>
  <c r="T217" i="4"/>
  <c r="I217" i="4"/>
  <c r="K217" i="4"/>
  <c r="Q217" i="4"/>
  <c r="S217" i="1"/>
  <c r="T217" i="1"/>
  <c r="R217" i="1"/>
  <c r="P217" i="1"/>
  <c r="N217" i="1"/>
  <c r="Q217" i="1"/>
  <c r="O217" i="1"/>
  <c r="E218" i="1"/>
  <c r="F217" i="1"/>
  <c r="G217" i="1"/>
  <c r="H217" i="1"/>
  <c r="I217" i="1"/>
  <c r="M217" i="1" s="1"/>
  <c r="K217" i="1"/>
  <c r="J217" i="1"/>
  <c r="W218" i="1"/>
  <c r="X218" i="1"/>
  <c r="Y218" i="1"/>
  <c r="Z218" i="1"/>
  <c r="AA218" i="1"/>
  <c r="V218" i="1"/>
  <c r="AB218" i="1" s="1"/>
  <c r="U219" i="1"/>
  <c r="G218" i="4" l="1"/>
  <c r="K218" i="4"/>
  <c r="S218" i="4"/>
  <c r="H218" i="4"/>
  <c r="P218" i="4"/>
  <c r="R218" i="4"/>
  <c r="O218" i="4"/>
  <c r="I218" i="4"/>
  <c r="Q218" i="4"/>
  <c r="J218" i="4"/>
  <c r="F218" i="4"/>
  <c r="E219" i="4"/>
  <c r="N218" i="4"/>
  <c r="T218" i="4" s="1"/>
  <c r="M218" i="4"/>
  <c r="AB217" i="4"/>
  <c r="AH217" i="4"/>
  <c r="AE217" i="4"/>
  <c r="Z217" i="4"/>
  <c r="U218" i="4"/>
  <c r="AF217" i="4"/>
  <c r="AA217" i="4"/>
  <c r="W217" i="4"/>
  <c r="Y217" i="4"/>
  <c r="AI217" i="4"/>
  <c r="AG217" i="4"/>
  <c r="AD217" i="4"/>
  <c r="X217" i="4"/>
  <c r="V217" i="4"/>
  <c r="AC217" i="4"/>
  <c r="S218" i="1"/>
  <c r="T218" i="1"/>
  <c r="P218" i="1"/>
  <c r="R218" i="1"/>
  <c r="Q218" i="1"/>
  <c r="O218" i="1"/>
  <c r="N218" i="1"/>
  <c r="E219" i="1"/>
  <c r="G218" i="1"/>
  <c r="H218" i="1"/>
  <c r="I218" i="1"/>
  <c r="M218" i="1" s="1"/>
  <c r="J218" i="1"/>
  <c r="F218" i="1"/>
  <c r="K218" i="1"/>
  <c r="Y219" i="1"/>
  <c r="Z219" i="1"/>
  <c r="AA219" i="1"/>
  <c r="X219" i="1"/>
  <c r="V219" i="1"/>
  <c r="AB219" i="1" s="1"/>
  <c r="W219" i="1"/>
  <c r="U220" i="1"/>
  <c r="R219" i="4" l="1"/>
  <c r="M219" i="4"/>
  <c r="S219" i="4"/>
  <c r="J219" i="4"/>
  <c r="I219" i="4"/>
  <c r="N219" i="4"/>
  <c r="T219" i="4" s="1"/>
  <c r="E220" i="4"/>
  <c r="G219" i="4"/>
  <c r="F219" i="4"/>
  <c r="Q219" i="4"/>
  <c r="K219" i="4"/>
  <c r="H219" i="4"/>
  <c r="P219" i="4"/>
  <c r="O219" i="4"/>
  <c r="AE218" i="4"/>
  <c r="AB218" i="4"/>
  <c r="AC218" i="4"/>
  <c r="U219" i="4"/>
  <c r="AI218" i="4"/>
  <c r="W218" i="4"/>
  <c r="Z218" i="4"/>
  <c r="AD218" i="4"/>
  <c r="AH218" i="4"/>
  <c r="AG218" i="4"/>
  <c r="Y218" i="4"/>
  <c r="V218" i="4"/>
  <c r="AF218" i="4"/>
  <c r="X218" i="4"/>
  <c r="AA218" i="4"/>
  <c r="S219" i="1"/>
  <c r="T219" i="1"/>
  <c r="P219" i="1"/>
  <c r="R219" i="1"/>
  <c r="Q219" i="1"/>
  <c r="O219" i="1"/>
  <c r="N219" i="1"/>
  <c r="E220" i="1"/>
  <c r="F219" i="1"/>
  <c r="K219" i="1"/>
  <c r="H219" i="1"/>
  <c r="J219" i="1"/>
  <c r="G219" i="1"/>
  <c r="I219" i="1"/>
  <c r="M219" i="1" s="1"/>
  <c r="AA220" i="1"/>
  <c r="Z220" i="1"/>
  <c r="V220" i="1"/>
  <c r="AB220" i="1" s="1"/>
  <c r="W220" i="1"/>
  <c r="X220" i="1"/>
  <c r="Y220" i="1"/>
  <c r="U221" i="1"/>
  <c r="K220" i="4" l="1"/>
  <c r="G220" i="4"/>
  <c r="I220" i="4"/>
  <c r="F220" i="4"/>
  <c r="J220" i="4"/>
  <c r="E221" i="4"/>
  <c r="O220" i="4"/>
  <c r="R220" i="4"/>
  <c r="Q220" i="4"/>
  <c r="T220" i="4" s="1"/>
  <c r="H220" i="4"/>
  <c r="N220" i="4"/>
  <c r="S220" i="4"/>
  <c r="P220" i="4"/>
  <c r="M220" i="4"/>
  <c r="AF219" i="4"/>
  <c r="W219" i="4"/>
  <c r="AC219" i="4"/>
  <c r="AG219" i="4"/>
  <c r="U220" i="4"/>
  <c r="X219" i="4"/>
  <c r="AI219" i="4"/>
  <c r="AE219" i="4"/>
  <c r="AA219" i="4"/>
  <c r="AH219" i="4"/>
  <c r="AD219" i="4"/>
  <c r="Y219" i="4"/>
  <c r="Z219" i="4"/>
  <c r="AB219" i="4"/>
  <c r="V219" i="4"/>
  <c r="S220" i="1"/>
  <c r="T220" i="1"/>
  <c r="R220" i="1"/>
  <c r="Q220" i="1"/>
  <c r="P220" i="1"/>
  <c r="O220" i="1"/>
  <c r="N220" i="1"/>
  <c r="E221" i="1"/>
  <c r="J220" i="1"/>
  <c r="G220" i="1"/>
  <c r="H220" i="1"/>
  <c r="K220" i="1"/>
  <c r="I220" i="1"/>
  <c r="M220" i="1" s="1"/>
  <c r="F220" i="1"/>
  <c r="V221" i="1"/>
  <c r="AB221" i="1" s="1"/>
  <c r="W221" i="1"/>
  <c r="X221" i="1"/>
  <c r="Y221" i="1"/>
  <c r="Z221" i="1"/>
  <c r="AA221" i="1"/>
  <c r="U222" i="1"/>
  <c r="AC220" i="4" l="1"/>
  <c r="Y220" i="4"/>
  <c r="U221" i="4"/>
  <c r="Z220" i="4"/>
  <c r="AB220" i="4"/>
  <c r="AF220" i="4"/>
  <c r="V220" i="4"/>
  <c r="X220" i="4"/>
  <c r="W220" i="4"/>
  <c r="AI220" i="4"/>
  <c r="AE220" i="4"/>
  <c r="AA220" i="4"/>
  <c r="AH220" i="4"/>
  <c r="AG220" i="4"/>
  <c r="AD220" i="4"/>
  <c r="F221" i="4"/>
  <c r="I221" i="4"/>
  <c r="M221" i="4"/>
  <c r="K221" i="4"/>
  <c r="N221" i="4"/>
  <c r="H221" i="4"/>
  <c r="J221" i="4"/>
  <c r="S221" i="4"/>
  <c r="O221" i="4"/>
  <c r="Q221" i="4"/>
  <c r="T221" i="4" s="1"/>
  <c r="E222" i="4"/>
  <c r="G221" i="4"/>
  <c r="R221" i="4"/>
  <c r="P221" i="4"/>
  <c r="S221" i="1"/>
  <c r="T221" i="1"/>
  <c r="R221" i="1"/>
  <c r="Q221" i="1"/>
  <c r="P221" i="1"/>
  <c r="O221" i="1"/>
  <c r="N221" i="1"/>
  <c r="E222" i="1"/>
  <c r="F221" i="1"/>
  <c r="G221" i="1"/>
  <c r="H221" i="1"/>
  <c r="J221" i="1"/>
  <c r="K221" i="1"/>
  <c r="I221" i="1"/>
  <c r="M221" i="1" s="1"/>
  <c r="W222" i="1"/>
  <c r="X222" i="1"/>
  <c r="V222" i="1"/>
  <c r="AB222" i="1" s="1"/>
  <c r="Y222" i="1"/>
  <c r="Z222" i="1"/>
  <c r="AA222" i="1"/>
  <c r="U223" i="1"/>
  <c r="AE221" i="4" l="1"/>
  <c r="AA221" i="4"/>
  <c r="AI221" i="4"/>
  <c r="W221" i="4"/>
  <c r="AH221" i="4"/>
  <c r="V221" i="4"/>
  <c r="Y221" i="4"/>
  <c r="AD221" i="4"/>
  <c r="Z221" i="4"/>
  <c r="X221" i="4"/>
  <c r="AG221" i="4"/>
  <c r="AC221" i="4"/>
  <c r="AB221" i="4"/>
  <c r="U222" i="4"/>
  <c r="AF221" i="4"/>
  <c r="I222" i="4"/>
  <c r="M222" i="4"/>
  <c r="O222" i="4"/>
  <c r="Q222" i="4"/>
  <c r="E223" i="4"/>
  <c r="R222" i="4"/>
  <c r="H222" i="4"/>
  <c r="T222" i="4"/>
  <c r="F222" i="4"/>
  <c r="P222" i="4"/>
  <c r="K222" i="4"/>
  <c r="G222" i="4"/>
  <c r="S222" i="4"/>
  <c r="J222" i="4"/>
  <c r="N222" i="4"/>
  <c r="S222" i="1"/>
  <c r="T222" i="1"/>
  <c r="O222" i="1"/>
  <c r="N222" i="1"/>
  <c r="P222" i="1"/>
  <c r="R222" i="1"/>
  <c r="Q222" i="1"/>
  <c r="E223" i="1"/>
  <c r="H222" i="1"/>
  <c r="F222" i="1"/>
  <c r="G222" i="1"/>
  <c r="J222" i="1"/>
  <c r="I222" i="1"/>
  <c r="M222" i="1" s="1"/>
  <c r="K222" i="1"/>
  <c r="Y223" i="1"/>
  <c r="Z223" i="1"/>
  <c r="AA223" i="1"/>
  <c r="X223" i="1"/>
  <c r="V223" i="1"/>
  <c r="AB223" i="1" s="1"/>
  <c r="W223" i="1"/>
  <c r="U224" i="1"/>
  <c r="J223" i="4" l="1"/>
  <c r="F223" i="4"/>
  <c r="M223" i="4" s="1"/>
  <c r="P223" i="4"/>
  <c r="K223" i="4"/>
  <c r="R223" i="4"/>
  <c r="N223" i="4"/>
  <c r="I223" i="4"/>
  <c r="H223" i="4"/>
  <c r="O223" i="4"/>
  <c r="Q223" i="4"/>
  <c r="T223" i="4" s="1"/>
  <c r="E224" i="4"/>
  <c r="G223" i="4"/>
  <c r="S223" i="4"/>
  <c r="Y222" i="4"/>
  <c r="AB222" i="4"/>
  <c r="U223" i="4"/>
  <c r="X222" i="4"/>
  <c r="Z222" i="4"/>
  <c r="AF222" i="4"/>
  <c r="AE222" i="4"/>
  <c r="W222" i="4"/>
  <c r="AD222" i="4"/>
  <c r="AH222" i="4"/>
  <c r="AI222" i="4"/>
  <c r="AA222" i="4"/>
  <c r="V222" i="4"/>
  <c r="AG222" i="4"/>
  <c r="AC222" i="4"/>
  <c r="S223" i="1"/>
  <c r="T223" i="1"/>
  <c r="R223" i="1"/>
  <c r="Q223" i="1"/>
  <c r="P223" i="1"/>
  <c r="O223" i="1"/>
  <c r="N223" i="1"/>
  <c r="E224" i="1"/>
  <c r="H223" i="1"/>
  <c r="F223" i="1"/>
  <c r="I223" i="1"/>
  <c r="M223" i="1" s="1"/>
  <c r="J223" i="1"/>
  <c r="G223" i="1"/>
  <c r="K223" i="1"/>
  <c r="AA224" i="1"/>
  <c r="V224" i="1"/>
  <c r="AB224" i="1" s="1"/>
  <c r="W224" i="1"/>
  <c r="X224" i="1"/>
  <c r="Z224" i="1"/>
  <c r="Y224" i="1"/>
  <c r="U225" i="1"/>
  <c r="T224" i="4" l="1"/>
  <c r="G224" i="4"/>
  <c r="O224" i="4"/>
  <c r="F224" i="4"/>
  <c r="N224" i="4"/>
  <c r="E225" i="4"/>
  <c r="K224" i="4"/>
  <c r="P224" i="4"/>
  <c r="J224" i="4"/>
  <c r="R224" i="4"/>
  <c r="S224" i="4"/>
  <c r="I224" i="4"/>
  <c r="H224" i="4"/>
  <c r="Q224" i="4"/>
  <c r="M224" i="4"/>
  <c r="AA223" i="4"/>
  <c r="W223" i="4"/>
  <c r="AD223" i="4"/>
  <c r="AI223" i="4"/>
  <c r="AH223" i="4"/>
  <c r="V223" i="4"/>
  <c r="Z223" i="4"/>
  <c r="AG223" i="4"/>
  <c r="AF223" i="4"/>
  <c r="AE223" i="4"/>
  <c r="AC223" i="4"/>
  <c r="Y223" i="4"/>
  <c r="X223" i="4"/>
  <c r="AB223" i="4"/>
  <c r="U224" i="4"/>
  <c r="S224" i="1"/>
  <c r="T224" i="1"/>
  <c r="R224" i="1"/>
  <c r="Q224" i="1"/>
  <c r="P224" i="1"/>
  <c r="N224" i="1"/>
  <c r="O224" i="1"/>
  <c r="E225" i="1"/>
  <c r="G224" i="1"/>
  <c r="F224" i="1"/>
  <c r="J224" i="1"/>
  <c r="H224" i="1"/>
  <c r="I224" i="1"/>
  <c r="M224" i="1" s="1"/>
  <c r="K224" i="1"/>
  <c r="V225" i="1"/>
  <c r="AB225" i="1" s="1"/>
  <c r="W225" i="1"/>
  <c r="X225" i="1"/>
  <c r="Y225" i="1"/>
  <c r="Z225" i="1"/>
  <c r="AA225" i="1"/>
  <c r="U226" i="1"/>
  <c r="F225" i="4" l="1"/>
  <c r="I225" i="4"/>
  <c r="M225" i="4"/>
  <c r="Q225" i="4"/>
  <c r="T225" i="4" s="1"/>
  <c r="H225" i="4"/>
  <c r="R225" i="4"/>
  <c r="N225" i="4"/>
  <c r="E226" i="4"/>
  <c r="S225" i="4"/>
  <c r="P225" i="4"/>
  <c r="K225" i="4"/>
  <c r="G225" i="4"/>
  <c r="J225" i="4"/>
  <c r="O225" i="4"/>
  <c r="AC224" i="4"/>
  <c r="Y224" i="4"/>
  <c r="X224" i="4"/>
  <c r="AB224" i="4"/>
  <c r="AF224" i="4"/>
  <c r="Z224" i="4"/>
  <c r="V224" i="4"/>
  <c r="U225" i="4"/>
  <c r="AA224" i="4"/>
  <c r="AD224" i="4"/>
  <c r="AG224" i="4"/>
  <c r="AI224" i="4"/>
  <c r="AH224" i="4"/>
  <c r="AE224" i="4"/>
  <c r="W224" i="4"/>
  <c r="T225" i="1"/>
  <c r="S225" i="1"/>
  <c r="R225" i="1"/>
  <c r="Q225" i="1"/>
  <c r="P225" i="1"/>
  <c r="N225" i="1"/>
  <c r="O225" i="1"/>
  <c r="E226" i="1"/>
  <c r="F225" i="1"/>
  <c r="G225" i="1"/>
  <c r="H225" i="1"/>
  <c r="K225" i="1"/>
  <c r="I225" i="1"/>
  <c r="M225" i="1" s="1"/>
  <c r="J225" i="1"/>
  <c r="W226" i="1"/>
  <c r="X226" i="1"/>
  <c r="Y226" i="1"/>
  <c r="Z226" i="1"/>
  <c r="AA226" i="1"/>
  <c r="V226" i="1"/>
  <c r="AB226" i="1" s="1"/>
  <c r="U227" i="1"/>
  <c r="Q226" i="4" l="1"/>
  <c r="E227" i="4"/>
  <c r="H226" i="4"/>
  <c r="K226" i="4"/>
  <c r="F226" i="4"/>
  <c r="P226" i="4"/>
  <c r="T226" i="4"/>
  <c r="G226" i="4"/>
  <c r="O226" i="4"/>
  <c r="S226" i="4"/>
  <c r="I226" i="4"/>
  <c r="J226" i="4"/>
  <c r="R226" i="4"/>
  <c r="N226" i="4"/>
  <c r="M226" i="4"/>
  <c r="X225" i="4"/>
  <c r="AI225" i="4"/>
  <c r="AE225" i="4"/>
  <c r="AA225" i="4"/>
  <c r="W225" i="4"/>
  <c r="Z225" i="4"/>
  <c r="V225" i="4"/>
  <c r="AD225" i="4"/>
  <c r="AH225" i="4"/>
  <c r="AG225" i="4"/>
  <c r="AC225" i="4"/>
  <c r="U226" i="4"/>
  <c r="Y225" i="4"/>
  <c r="AB225" i="4"/>
  <c r="AF225" i="4"/>
  <c r="S226" i="1"/>
  <c r="T226" i="1"/>
  <c r="Q226" i="1"/>
  <c r="O226" i="1"/>
  <c r="N226" i="1"/>
  <c r="P226" i="1"/>
  <c r="R226" i="1"/>
  <c r="E227" i="1"/>
  <c r="F226" i="1"/>
  <c r="G226" i="1"/>
  <c r="H226" i="1"/>
  <c r="K226" i="1"/>
  <c r="I226" i="1"/>
  <c r="M226" i="1" s="1"/>
  <c r="J226" i="1"/>
  <c r="Y227" i="1"/>
  <c r="Z227" i="1"/>
  <c r="AA227" i="1"/>
  <c r="V227" i="1"/>
  <c r="AB227" i="1" s="1"/>
  <c r="W227" i="1"/>
  <c r="X227" i="1"/>
  <c r="U228" i="1"/>
  <c r="Y226" i="4" l="1"/>
  <c r="AB226" i="4"/>
  <c r="AA226" i="4"/>
  <c r="AH226" i="4"/>
  <c r="AF226" i="4"/>
  <c r="U227" i="4"/>
  <c r="X226" i="4"/>
  <c r="AI226" i="4"/>
  <c r="W226" i="4"/>
  <c r="Z226" i="4"/>
  <c r="AG226" i="4"/>
  <c r="AE226" i="4"/>
  <c r="AD226" i="4"/>
  <c r="AC226" i="4"/>
  <c r="V226" i="4"/>
  <c r="J227" i="4"/>
  <c r="F227" i="4"/>
  <c r="M227" i="4" s="1"/>
  <c r="R227" i="4"/>
  <c r="N227" i="4"/>
  <c r="P227" i="4"/>
  <c r="G227" i="4"/>
  <c r="S227" i="4"/>
  <c r="I227" i="4"/>
  <c r="E228" i="4"/>
  <c r="Q227" i="4"/>
  <c r="T227" i="4" s="1"/>
  <c r="O227" i="4"/>
  <c r="H227" i="4"/>
  <c r="K227" i="4"/>
  <c r="T227" i="1"/>
  <c r="S227" i="1"/>
  <c r="Q227" i="1"/>
  <c r="O227" i="1"/>
  <c r="R227" i="1"/>
  <c r="N227" i="1"/>
  <c r="P227" i="1"/>
  <c r="E228" i="1"/>
  <c r="G227" i="1"/>
  <c r="H227" i="1"/>
  <c r="K227" i="1"/>
  <c r="F227" i="1"/>
  <c r="I227" i="1"/>
  <c r="M227" i="1" s="1"/>
  <c r="J227" i="1"/>
  <c r="AA228" i="1"/>
  <c r="Z228" i="1"/>
  <c r="V228" i="1"/>
  <c r="AB228" i="1" s="1"/>
  <c r="W228" i="1"/>
  <c r="X228" i="1"/>
  <c r="Y228" i="1"/>
  <c r="U229" i="1"/>
  <c r="E229" i="4" l="1"/>
  <c r="H228" i="4"/>
  <c r="K228" i="4"/>
  <c r="F228" i="4"/>
  <c r="T228" i="4"/>
  <c r="P228" i="4"/>
  <c r="J228" i="4"/>
  <c r="G228" i="4"/>
  <c r="S228" i="4"/>
  <c r="O228" i="4"/>
  <c r="Q228" i="4"/>
  <c r="R228" i="4"/>
  <c r="I228" i="4"/>
  <c r="M228" i="4"/>
  <c r="N228" i="4"/>
  <c r="AI227" i="4"/>
  <c r="AE227" i="4"/>
  <c r="AG227" i="4"/>
  <c r="AC227" i="4"/>
  <c r="AA227" i="4"/>
  <c r="W227" i="4"/>
  <c r="Z227" i="4"/>
  <c r="AB227" i="4"/>
  <c r="AH227" i="4"/>
  <c r="AD227" i="4"/>
  <c r="AF227" i="4"/>
  <c r="U228" i="4"/>
  <c r="V227" i="4"/>
  <c r="Y227" i="4"/>
  <c r="X227" i="4"/>
  <c r="T228" i="1"/>
  <c r="S228" i="1"/>
  <c r="Q228" i="1"/>
  <c r="O228" i="1"/>
  <c r="R228" i="1"/>
  <c r="N228" i="1"/>
  <c r="P228" i="1"/>
  <c r="E229" i="1"/>
  <c r="G228" i="1"/>
  <c r="J228" i="1"/>
  <c r="H228" i="1"/>
  <c r="K228" i="1"/>
  <c r="F228" i="1"/>
  <c r="I228" i="1"/>
  <c r="M228" i="1" s="1"/>
  <c r="V229" i="1"/>
  <c r="AB229" i="1" s="1"/>
  <c r="W229" i="1"/>
  <c r="X229" i="1"/>
  <c r="Y229" i="1"/>
  <c r="Z229" i="1"/>
  <c r="AA229" i="1"/>
  <c r="U230" i="1"/>
  <c r="V228" i="4" l="1"/>
  <c r="AG228" i="4"/>
  <c r="AI228" i="4"/>
  <c r="AC228" i="4"/>
  <c r="Y228" i="4"/>
  <c r="AF228" i="4"/>
  <c r="AH228" i="4"/>
  <c r="AD228" i="4"/>
  <c r="AB228" i="4"/>
  <c r="W228" i="4"/>
  <c r="U229" i="4"/>
  <c r="X228" i="4"/>
  <c r="AE228" i="4"/>
  <c r="AA228" i="4"/>
  <c r="Z228" i="4"/>
  <c r="O229" i="4"/>
  <c r="R229" i="4"/>
  <c r="N229" i="4"/>
  <c r="M229" i="4"/>
  <c r="J229" i="4"/>
  <c r="F229" i="4"/>
  <c r="I229" i="4"/>
  <c r="S229" i="4"/>
  <c r="E230" i="4"/>
  <c r="H229" i="4"/>
  <c r="G229" i="4"/>
  <c r="Q229" i="4"/>
  <c r="T229" i="4" s="1"/>
  <c r="K229" i="4"/>
  <c r="P229" i="4"/>
  <c r="S229" i="1"/>
  <c r="T229" i="1"/>
  <c r="Q229" i="1"/>
  <c r="O229" i="1"/>
  <c r="R229" i="1"/>
  <c r="P229" i="1"/>
  <c r="N229" i="1"/>
  <c r="E230" i="1"/>
  <c r="F229" i="1"/>
  <c r="G229" i="1"/>
  <c r="H229" i="1"/>
  <c r="I229" i="1"/>
  <c r="M229" i="1" s="1"/>
  <c r="J229" i="1"/>
  <c r="K229" i="1"/>
  <c r="W230" i="1"/>
  <c r="X230" i="1"/>
  <c r="Y230" i="1"/>
  <c r="V230" i="1"/>
  <c r="AB230" i="1" s="1"/>
  <c r="Z230" i="1"/>
  <c r="AA230" i="1"/>
  <c r="U231" i="1"/>
  <c r="X229" i="4" l="1"/>
  <c r="AI229" i="4"/>
  <c r="Z229" i="4"/>
  <c r="AC229" i="4"/>
  <c r="U230" i="4"/>
  <c r="AE229" i="4"/>
  <c r="AA229" i="4"/>
  <c r="AG229" i="4"/>
  <c r="Y229" i="4"/>
  <c r="W229" i="4"/>
  <c r="AH229" i="4"/>
  <c r="AD229" i="4"/>
  <c r="V229" i="4"/>
  <c r="AF229" i="4"/>
  <c r="AB229" i="4"/>
  <c r="R230" i="4"/>
  <c r="N230" i="4"/>
  <c r="K230" i="4"/>
  <c r="S230" i="4"/>
  <c r="I230" i="4"/>
  <c r="M230" i="4"/>
  <c r="P230" i="4"/>
  <c r="F230" i="4"/>
  <c r="Q230" i="4"/>
  <c r="E231" i="4"/>
  <c r="H230" i="4"/>
  <c r="T230" i="4"/>
  <c r="O230" i="4"/>
  <c r="J230" i="4"/>
  <c r="G230" i="4"/>
  <c r="S230" i="1"/>
  <c r="T230" i="1"/>
  <c r="R230" i="1"/>
  <c r="Q230" i="1"/>
  <c r="P230" i="1"/>
  <c r="N230" i="1"/>
  <c r="O230" i="1"/>
  <c r="E231" i="1"/>
  <c r="H230" i="1"/>
  <c r="I230" i="1"/>
  <c r="M230" i="1" s="1"/>
  <c r="K230" i="1"/>
  <c r="F230" i="1"/>
  <c r="G230" i="1"/>
  <c r="J230" i="1"/>
  <c r="Y231" i="1"/>
  <c r="Z231" i="1"/>
  <c r="AA231" i="1"/>
  <c r="V231" i="1"/>
  <c r="AB231" i="1" s="1"/>
  <c r="X231" i="1"/>
  <c r="W231" i="1"/>
  <c r="U232" i="1"/>
  <c r="AF230" i="4" l="1"/>
  <c r="U231" i="4"/>
  <c r="X230" i="4"/>
  <c r="W230" i="4"/>
  <c r="AB230" i="4"/>
  <c r="AD230" i="4"/>
  <c r="Y230" i="4"/>
  <c r="AI230" i="4"/>
  <c r="AE230" i="4"/>
  <c r="AA230" i="4"/>
  <c r="AC230" i="4"/>
  <c r="AH230" i="4"/>
  <c r="V230" i="4"/>
  <c r="Z230" i="4"/>
  <c r="AG230" i="4"/>
  <c r="R231" i="4"/>
  <c r="N231" i="4"/>
  <c r="P231" i="4"/>
  <c r="K231" i="4"/>
  <c r="I231" i="4"/>
  <c r="Q231" i="4"/>
  <c r="T231" i="4" s="1"/>
  <c r="H231" i="4"/>
  <c r="O231" i="4"/>
  <c r="G231" i="4"/>
  <c r="S231" i="4"/>
  <c r="J231" i="4"/>
  <c r="E232" i="4"/>
  <c r="F231" i="4"/>
  <c r="M231" i="4" s="1"/>
  <c r="S231" i="1"/>
  <c r="T231" i="1"/>
  <c r="R231" i="1"/>
  <c r="Q231" i="1"/>
  <c r="O231" i="1"/>
  <c r="P231" i="1"/>
  <c r="N231" i="1"/>
  <c r="E232" i="1"/>
  <c r="H231" i="1"/>
  <c r="F231" i="1"/>
  <c r="G231" i="1"/>
  <c r="I231" i="1"/>
  <c r="M231" i="1" s="1"/>
  <c r="K231" i="1"/>
  <c r="J231" i="1"/>
  <c r="AA232" i="1"/>
  <c r="V232" i="1"/>
  <c r="AB232" i="1" s="1"/>
  <c r="Z232" i="1"/>
  <c r="W232" i="1"/>
  <c r="X232" i="1"/>
  <c r="Y232" i="1"/>
  <c r="U233" i="1"/>
  <c r="N232" i="4" l="1"/>
  <c r="I232" i="4"/>
  <c r="Q232" i="4"/>
  <c r="E233" i="4"/>
  <c r="H232" i="4"/>
  <c r="T232" i="4"/>
  <c r="J232" i="4"/>
  <c r="F232" i="4"/>
  <c r="M232" i="4"/>
  <c r="G232" i="4"/>
  <c r="K232" i="4"/>
  <c r="O232" i="4"/>
  <c r="S232" i="4"/>
  <c r="P232" i="4"/>
  <c r="R232" i="4"/>
  <c r="AH231" i="4"/>
  <c r="AD231" i="4"/>
  <c r="V231" i="4"/>
  <c r="Y231" i="4"/>
  <c r="AB231" i="4" s="1"/>
  <c r="AC231" i="4"/>
  <c r="Z231" i="4"/>
  <c r="AF231" i="4"/>
  <c r="AI231" i="4" s="1"/>
  <c r="X231" i="4"/>
  <c r="AG231" i="4"/>
  <c r="W231" i="4"/>
  <c r="U232" i="4"/>
  <c r="AE231" i="4"/>
  <c r="AA231" i="4"/>
  <c r="S232" i="1"/>
  <c r="T232" i="1"/>
  <c r="R232" i="1"/>
  <c r="Q232" i="1"/>
  <c r="P232" i="1"/>
  <c r="O232" i="1"/>
  <c r="N232" i="1"/>
  <c r="E233" i="1"/>
  <c r="G232" i="1"/>
  <c r="H232" i="1"/>
  <c r="F232" i="1"/>
  <c r="I232" i="1"/>
  <c r="M232" i="1" s="1"/>
  <c r="K232" i="1"/>
  <c r="J232" i="1"/>
  <c r="V233" i="1"/>
  <c r="AB233" i="1" s="1"/>
  <c r="W233" i="1"/>
  <c r="X233" i="1"/>
  <c r="Y233" i="1"/>
  <c r="Z233" i="1"/>
  <c r="AA233" i="1"/>
  <c r="U234" i="1"/>
  <c r="G233" i="4" l="1"/>
  <c r="J233" i="4"/>
  <c r="M233" i="4"/>
  <c r="E234" i="4"/>
  <c r="O233" i="4"/>
  <c r="R233" i="4"/>
  <c r="F233" i="4"/>
  <c r="I233" i="4"/>
  <c r="N233" i="4"/>
  <c r="T233" i="4" s="1"/>
  <c r="K233" i="4"/>
  <c r="S233" i="4"/>
  <c r="Q233" i="4"/>
  <c r="H233" i="4"/>
  <c r="P233" i="4"/>
  <c r="AB232" i="4"/>
  <c r="X232" i="4"/>
  <c r="U233" i="4"/>
  <c r="AI232" i="4"/>
  <c r="AF232" i="4"/>
  <c r="AE232" i="4"/>
  <c r="AA232" i="4"/>
  <c r="AD232" i="4"/>
  <c r="V232" i="4"/>
  <c r="AC232" i="4"/>
  <c r="AH232" i="4"/>
  <c r="Z232" i="4"/>
  <c r="AG232" i="4"/>
  <c r="W232" i="4"/>
  <c r="Y232" i="4"/>
  <c r="S233" i="1"/>
  <c r="T233" i="1"/>
  <c r="R233" i="1"/>
  <c r="Q233" i="1"/>
  <c r="P233" i="1"/>
  <c r="O233" i="1"/>
  <c r="N233" i="1"/>
  <c r="E234" i="1"/>
  <c r="F233" i="1"/>
  <c r="J233" i="1"/>
  <c r="G233" i="1"/>
  <c r="H233" i="1"/>
  <c r="I233" i="1"/>
  <c r="M233" i="1" s="1"/>
  <c r="K233" i="1"/>
  <c r="AB234" i="1"/>
  <c r="W234" i="1"/>
  <c r="X234" i="1"/>
  <c r="Y234" i="1"/>
  <c r="Z234" i="1"/>
  <c r="AA234" i="1"/>
  <c r="V234" i="1"/>
  <c r="U235" i="1"/>
  <c r="I234" i="4" l="1"/>
  <c r="M234" i="4"/>
  <c r="F234" i="4"/>
  <c r="Q234" i="4"/>
  <c r="K234" i="4"/>
  <c r="O234" i="4"/>
  <c r="N234" i="4"/>
  <c r="H234" i="4"/>
  <c r="E235" i="4"/>
  <c r="T234" i="4"/>
  <c r="S234" i="4"/>
  <c r="P234" i="4"/>
  <c r="G234" i="4"/>
  <c r="J234" i="4"/>
  <c r="R234" i="4"/>
  <c r="AF233" i="4"/>
  <c r="U234" i="4"/>
  <c r="AH233" i="4"/>
  <c r="AC233" i="4"/>
  <c r="X233" i="4"/>
  <c r="AI233" i="4"/>
  <c r="W233" i="4"/>
  <c r="V233" i="4"/>
  <c r="AE233" i="4"/>
  <c r="AA233" i="4"/>
  <c r="Z233" i="4"/>
  <c r="AD233" i="4"/>
  <c r="AG233" i="4"/>
  <c r="Y233" i="4"/>
  <c r="AB233" i="4"/>
  <c r="S234" i="1"/>
  <c r="T234" i="1"/>
  <c r="P234" i="1"/>
  <c r="N234" i="1"/>
  <c r="R234" i="1"/>
  <c r="Q234" i="1"/>
  <c r="O234" i="1"/>
  <c r="E235" i="1"/>
  <c r="G234" i="1"/>
  <c r="I234" i="1"/>
  <c r="M234" i="1" s="1"/>
  <c r="H234" i="1"/>
  <c r="K234" i="1"/>
  <c r="J234" i="1"/>
  <c r="F234" i="1"/>
  <c r="AB235" i="1"/>
  <c r="Y235" i="1"/>
  <c r="Z235" i="1"/>
  <c r="AA235" i="1"/>
  <c r="X235" i="1"/>
  <c r="V235" i="1"/>
  <c r="W235" i="1"/>
  <c r="U236" i="1"/>
  <c r="AF234" i="4" l="1"/>
  <c r="AA234" i="4"/>
  <c r="AD234" i="4"/>
  <c r="Z234" i="4"/>
  <c r="AC234" i="4"/>
  <c r="AB234" i="4"/>
  <c r="U235" i="4"/>
  <c r="X234" i="4"/>
  <c r="V234" i="4"/>
  <c r="AI234" i="4"/>
  <c r="AE234" i="4"/>
  <c r="W234" i="4"/>
  <c r="AH234" i="4"/>
  <c r="AG234" i="4"/>
  <c r="Y234" i="4"/>
  <c r="R235" i="4"/>
  <c r="N235" i="4"/>
  <c r="P235" i="4"/>
  <c r="J235" i="4"/>
  <c r="I235" i="4"/>
  <c r="F235" i="4"/>
  <c r="M235" i="4" s="1"/>
  <c r="Q235" i="4"/>
  <c r="T235" i="4" s="1"/>
  <c r="H235" i="4"/>
  <c r="E236" i="4"/>
  <c r="K235" i="4"/>
  <c r="S235" i="4"/>
  <c r="G235" i="4"/>
  <c r="O235" i="4"/>
  <c r="S235" i="1"/>
  <c r="T235" i="1"/>
  <c r="R235" i="1"/>
  <c r="Q235" i="1"/>
  <c r="P235" i="1"/>
  <c r="O235" i="1"/>
  <c r="N235" i="1"/>
  <c r="E236" i="1"/>
  <c r="G235" i="1"/>
  <c r="K235" i="1"/>
  <c r="I235" i="1"/>
  <c r="M235" i="1" s="1"/>
  <c r="H235" i="1"/>
  <c r="J235" i="1"/>
  <c r="F235" i="1"/>
  <c r="AB236" i="1"/>
  <c r="AA236" i="1"/>
  <c r="Z236" i="1"/>
  <c r="V236" i="1"/>
  <c r="W236" i="1"/>
  <c r="X236" i="1"/>
  <c r="Y236" i="1"/>
  <c r="U237" i="1"/>
  <c r="U236" i="4" l="1"/>
  <c r="X235" i="4"/>
  <c r="AH235" i="4"/>
  <c r="Z235" i="4"/>
  <c r="Y235" i="4"/>
  <c r="AI235" i="4"/>
  <c r="AE235" i="4"/>
  <c r="AD235" i="4"/>
  <c r="AG235" i="4"/>
  <c r="AA235" i="4"/>
  <c r="W235" i="4"/>
  <c r="V235" i="4"/>
  <c r="AB235" i="4"/>
  <c r="AF235" i="4"/>
  <c r="AC235" i="4"/>
  <c r="M236" i="4"/>
  <c r="Q236" i="4"/>
  <c r="E237" i="4"/>
  <c r="P236" i="4"/>
  <c r="G236" i="4"/>
  <c r="J236" i="4"/>
  <c r="H236" i="4"/>
  <c r="S236" i="4"/>
  <c r="T236" i="4"/>
  <c r="K236" i="4"/>
  <c r="O236" i="4"/>
  <c r="F236" i="4"/>
  <c r="N236" i="4"/>
  <c r="I236" i="4"/>
  <c r="R236" i="4"/>
  <c r="S236" i="1"/>
  <c r="T236" i="1"/>
  <c r="R236" i="1"/>
  <c r="Q236" i="1"/>
  <c r="P236" i="1"/>
  <c r="O236" i="1"/>
  <c r="N236" i="1"/>
  <c r="E237" i="1"/>
  <c r="G236" i="1"/>
  <c r="K236" i="1"/>
  <c r="H236" i="1"/>
  <c r="J236" i="1"/>
  <c r="F236" i="1"/>
  <c r="I236" i="1"/>
  <c r="M236" i="1" s="1"/>
  <c r="AB237" i="1"/>
  <c r="V237" i="1"/>
  <c r="W237" i="1"/>
  <c r="X237" i="1"/>
  <c r="Y237" i="1"/>
  <c r="Z237" i="1"/>
  <c r="AA237" i="1"/>
  <c r="U238" i="1"/>
  <c r="O237" i="4" l="1"/>
  <c r="R237" i="4"/>
  <c r="E238" i="4"/>
  <c r="F237" i="4"/>
  <c r="I237" i="4"/>
  <c r="M237" i="4"/>
  <c r="N237" i="4"/>
  <c r="Q237" i="4"/>
  <c r="T237" i="4" s="1"/>
  <c r="P237" i="4"/>
  <c r="K237" i="4"/>
  <c r="H237" i="4"/>
  <c r="S237" i="4"/>
  <c r="G237" i="4"/>
  <c r="J237" i="4"/>
  <c r="V236" i="4"/>
  <c r="AG236" i="4"/>
  <c r="U237" i="4"/>
  <c r="AC236" i="4"/>
  <c r="Y236" i="4"/>
  <c r="X236" i="4"/>
  <c r="W236" i="4"/>
  <c r="AB236" i="4"/>
  <c r="AF236" i="4"/>
  <c r="AA236" i="4"/>
  <c r="AD236" i="4"/>
  <c r="AI236" i="4"/>
  <c r="AE236" i="4"/>
  <c r="AH236" i="4"/>
  <c r="Z236" i="4"/>
  <c r="S237" i="1"/>
  <c r="T237" i="1"/>
  <c r="R237" i="1"/>
  <c r="Q237" i="1"/>
  <c r="O237" i="1"/>
  <c r="P237" i="1"/>
  <c r="N237" i="1"/>
  <c r="E238" i="1"/>
  <c r="I237" i="1"/>
  <c r="M237" i="1" s="1"/>
  <c r="H237" i="1"/>
  <c r="J237" i="1"/>
  <c r="G237" i="1"/>
  <c r="F237" i="1"/>
  <c r="K237" i="1"/>
  <c r="AB238" i="1"/>
  <c r="W238" i="1"/>
  <c r="X238" i="1"/>
  <c r="V238" i="1"/>
  <c r="Y238" i="1"/>
  <c r="Z238" i="1"/>
  <c r="AA238" i="1"/>
  <c r="U239" i="1"/>
  <c r="R238" i="4" l="1"/>
  <c r="N238" i="4"/>
  <c r="H238" i="4"/>
  <c r="E239" i="4"/>
  <c r="I238" i="4"/>
  <c r="M238" i="4"/>
  <c r="K238" i="4"/>
  <c r="O238" i="4"/>
  <c r="Q238" i="4"/>
  <c r="T238" i="4"/>
  <c r="P238" i="4"/>
  <c r="G238" i="4"/>
  <c r="J238" i="4"/>
  <c r="F238" i="4"/>
  <c r="S238" i="4"/>
  <c r="X237" i="4"/>
  <c r="AI237" i="4"/>
  <c r="AE237" i="4"/>
  <c r="AH237" i="4"/>
  <c r="Y237" i="4"/>
  <c r="U238" i="4"/>
  <c r="AA237" i="4"/>
  <c r="Z237" i="4"/>
  <c r="V237" i="4"/>
  <c r="W237" i="4"/>
  <c r="AD237" i="4"/>
  <c r="AF237" i="4"/>
  <c r="AG237" i="4"/>
  <c r="AC237" i="4"/>
  <c r="AB237" i="4"/>
  <c r="S238" i="1"/>
  <c r="T238" i="1"/>
  <c r="R238" i="1"/>
  <c r="N238" i="1"/>
  <c r="Q238" i="1"/>
  <c r="P238" i="1"/>
  <c r="O238" i="1"/>
  <c r="E239" i="1"/>
  <c r="F238" i="1"/>
  <c r="H238" i="1"/>
  <c r="G238" i="1"/>
  <c r="K238" i="1"/>
  <c r="I238" i="1"/>
  <c r="M238" i="1" s="1"/>
  <c r="J238" i="1"/>
  <c r="AB239" i="1"/>
  <c r="Y239" i="1"/>
  <c r="Z239" i="1"/>
  <c r="AA239" i="1"/>
  <c r="V239" i="1"/>
  <c r="X239" i="1"/>
  <c r="W239" i="1"/>
  <c r="U240" i="1"/>
  <c r="AF238" i="4" l="1"/>
  <c r="U239" i="4"/>
  <c r="X238" i="4"/>
  <c r="W238" i="4"/>
  <c r="AI238" i="4"/>
  <c r="AE238" i="4"/>
  <c r="AA238" i="4"/>
  <c r="AC238" i="4"/>
  <c r="Y238" i="4"/>
  <c r="AH238" i="4"/>
  <c r="AD238" i="4"/>
  <c r="V238" i="4"/>
  <c r="AB238" i="4"/>
  <c r="Z238" i="4"/>
  <c r="AG238" i="4"/>
  <c r="R239" i="4"/>
  <c r="N239" i="4"/>
  <c r="I239" i="4"/>
  <c r="Q239" i="4"/>
  <c r="T239" i="4" s="1"/>
  <c r="F239" i="4"/>
  <c r="M239" i="4" s="1"/>
  <c r="H239" i="4"/>
  <c r="S239" i="4"/>
  <c r="J239" i="4"/>
  <c r="E240" i="4"/>
  <c r="P239" i="4"/>
  <c r="G239" i="4"/>
  <c r="O239" i="4"/>
  <c r="K239" i="4"/>
  <c r="T239" i="1"/>
  <c r="S239" i="1"/>
  <c r="P239" i="1"/>
  <c r="R239" i="1"/>
  <c r="Q239" i="1"/>
  <c r="O239" i="1"/>
  <c r="N239" i="1"/>
  <c r="E240" i="1"/>
  <c r="H239" i="1"/>
  <c r="F239" i="1"/>
  <c r="G239" i="1"/>
  <c r="I239" i="1"/>
  <c r="M239" i="1" s="1"/>
  <c r="J239" i="1"/>
  <c r="K239" i="1"/>
  <c r="AB240" i="1"/>
  <c r="AA240" i="1"/>
  <c r="V240" i="1"/>
  <c r="Z240" i="1"/>
  <c r="W240" i="1"/>
  <c r="X240" i="1"/>
  <c r="Y240" i="1"/>
  <c r="U241" i="1"/>
  <c r="T240" i="4" l="1"/>
  <c r="P240" i="4"/>
  <c r="Q240" i="4"/>
  <c r="E241" i="4"/>
  <c r="K240" i="4"/>
  <c r="G240" i="4"/>
  <c r="M240" i="4"/>
  <c r="S240" i="4"/>
  <c r="F240" i="4"/>
  <c r="I240" i="4"/>
  <c r="O240" i="4"/>
  <c r="J240" i="4"/>
  <c r="N240" i="4"/>
  <c r="R240" i="4"/>
  <c r="H240" i="4"/>
  <c r="AA239" i="4"/>
  <c r="W239" i="4"/>
  <c r="U240" i="4"/>
  <c r="AH239" i="4"/>
  <c r="AD239" i="4"/>
  <c r="AE239" i="4"/>
  <c r="Z239" i="4"/>
  <c r="V239" i="4"/>
  <c r="AF239" i="4"/>
  <c r="AG239" i="4"/>
  <c r="Y239" i="4"/>
  <c r="AB239" i="4"/>
  <c r="AC239" i="4"/>
  <c r="X239" i="4"/>
  <c r="AI239" i="4"/>
  <c r="T240" i="1"/>
  <c r="S240" i="1"/>
  <c r="O240" i="1"/>
  <c r="P240" i="1"/>
  <c r="R240" i="1"/>
  <c r="N240" i="1"/>
  <c r="Q240" i="1"/>
  <c r="E241" i="1"/>
  <c r="G240" i="1"/>
  <c r="F240" i="1"/>
  <c r="H240" i="1"/>
  <c r="K240" i="1"/>
  <c r="I240" i="1"/>
  <c r="M240" i="1" s="1"/>
  <c r="J240" i="1"/>
  <c r="AB241" i="1"/>
  <c r="V241" i="1"/>
  <c r="W241" i="1"/>
  <c r="X241" i="1"/>
  <c r="Y241" i="1"/>
  <c r="Z241" i="1"/>
  <c r="AA241" i="1"/>
  <c r="U242" i="1"/>
  <c r="O241" i="4" l="1"/>
  <c r="I241" i="4"/>
  <c r="P241" i="4"/>
  <c r="F241" i="4"/>
  <c r="R241" i="4"/>
  <c r="N241" i="4"/>
  <c r="M241" i="4"/>
  <c r="E242" i="4"/>
  <c r="K241" i="4"/>
  <c r="S241" i="4"/>
  <c r="J241" i="4"/>
  <c r="Q241" i="4"/>
  <c r="T241" i="4" s="1"/>
  <c r="H241" i="4"/>
  <c r="G241" i="4"/>
  <c r="V240" i="4"/>
  <c r="AG240" i="4"/>
  <c r="AD240" i="4"/>
  <c r="AC240" i="4"/>
  <c r="Y240" i="4"/>
  <c r="Z240" i="4"/>
  <c r="AB240" i="4"/>
  <c r="X240" i="4"/>
  <c r="U241" i="4"/>
  <c r="AF240" i="4"/>
  <c r="AE240" i="4"/>
  <c r="W240" i="4"/>
  <c r="AI240" i="4"/>
  <c r="AA240" i="4"/>
  <c r="AH240" i="4"/>
  <c r="S241" i="1"/>
  <c r="T241" i="1"/>
  <c r="O241" i="1"/>
  <c r="P241" i="1"/>
  <c r="N241" i="1"/>
  <c r="Q241" i="1"/>
  <c r="R241" i="1"/>
  <c r="E242" i="1"/>
  <c r="F241" i="1"/>
  <c r="G241" i="1"/>
  <c r="H241" i="1"/>
  <c r="J241" i="1"/>
  <c r="I241" i="1"/>
  <c r="M241" i="1" s="1"/>
  <c r="K241" i="1"/>
  <c r="AB242" i="1"/>
  <c r="W242" i="1"/>
  <c r="X242" i="1"/>
  <c r="Y242" i="1"/>
  <c r="V242" i="1"/>
  <c r="Z242" i="1"/>
  <c r="AA242" i="1"/>
  <c r="AE241" i="4" l="1"/>
  <c r="AA241" i="4"/>
  <c r="V241" i="4"/>
  <c r="Y241" i="4"/>
  <c r="W241" i="4"/>
  <c r="AH241" i="4"/>
  <c r="AG241" i="4"/>
  <c r="AD241" i="4"/>
  <c r="Z241" i="4"/>
  <c r="AB241" i="4"/>
  <c r="X241" i="4"/>
  <c r="AC241" i="4"/>
  <c r="U242" i="4"/>
  <c r="AF241" i="4"/>
  <c r="AI241" i="4"/>
  <c r="R242" i="4"/>
  <c r="N242" i="4"/>
  <c r="P242" i="4"/>
  <c r="O242" i="4"/>
  <c r="I242" i="4"/>
  <c r="M242" i="4"/>
  <c r="K242" i="4"/>
  <c r="S242" i="4"/>
  <c r="Q242" i="4"/>
  <c r="T242" i="4"/>
  <c r="H242" i="4"/>
  <c r="G242" i="4"/>
  <c r="J242" i="4"/>
  <c r="F242" i="4"/>
  <c r="S242" i="1"/>
  <c r="T242" i="1"/>
  <c r="Q242" i="1"/>
  <c r="O242" i="1"/>
  <c r="R242" i="1"/>
  <c r="N242" i="1"/>
  <c r="P242" i="1"/>
  <c r="G242" i="1"/>
  <c r="H242" i="1"/>
  <c r="J242" i="1"/>
  <c r="K242" i="1"/>
  <c r="F242" i="1"/>
  <c r="I242" i="1"/>
  <c r="M242" i="1" s="1"/>
  <c r="Y242" i="4" l="1"/>
  <c r="AB242" i="4"/>
  <c r="AA242" i="4"/>
  <c r="V242" i="4"/>
  <c r="AF242" i="4"/>
  <c r="AI242" i="4" s="1"/>
  <c r="W242" i="4"/>
  <c r="AH242" i="4"/>
  <c r="AD242" i="4"/>
  <c r="X242" i="4"/>
  <c r="AE242" i="4"/>
  <c r="AC242" i="4"/>
  <c r="Z242" i="4"/>
  <c r="AG242" i="4"/>
</calcChain>
</file>

<file path=xl/sharedStrings.xml><?xml version="1.0" encoding="utf-8"?>
<sst xmlns="http://schemas.openxmlformats.org/spreadsheetml/2006/main" count="468" uniqueCount="202">
  <si>
    <t>Tms</t>
  </si>
  <si>
    <t>Iac</t>
  </si>
  <si>
    <t>ni</t>
  </si>
  <si>
    <t>ei</t>
  </si>
  <si>
    <t>il</t>
  </si>
  <si>
    <t>mi</t>
  </si>
  <si>
    <t>it</t>
  </si>
  <si>
    <t>i2t</t>
  </si>
  <si>
    <t>I</t>
  </si>
  <si>
    <t>Multiplicador de tempo</t>
  </si>
  <si>
    <t>Ajuste da proteção</t>
  </si>
  <si>
    <t>Curva</t>
  </si>
  <si>
    <t>Ajuste da curva</t>
  </si>
  <si>
    <t>Iinst</t>
  </si>
  <si>
    <t>Tint</t>
  </si>
  <si>
    <t>Corrente Instantânea</t>
  </si>
  <si>
    <t>TANSI</t>
  </si>
  <si>
    <t>IANSI</t>
  </si>
  <si>
    <t>Imag</t>
  </si>
  <si>
    <t>Corrente de Magnetização</t>
  </si>
  <si>
    <t>Tmag</t>
  </si>
  <si>
    <t>Tempo de Magnetização</t>
  </si>
  <si>
    <t>Corrente ANSI</t>
  </si>
  <si>
    <t>Tempo ANSI</t>
  </si>
  <si>
    <t>Fe</t>
  </si>
  <si>
    <t>Fator de escala</t>
  </si>
  <si>
    <t>Inom</t>
  </si>
  <si>
    <t>Corrente nominal do trafo</t>
  </si>
  <si>
    <t>Tempo Definido</t>
  </si>
  <si>
    <t>50/51</t>
  </si>
  <si>
    <t>50/51N</t>
  </si>
  <si>
    <t>In</t>
  </si>
  <si>
    <t>If</t>
  </si>
  <si>
    <t>Corrente de falta FF</t>
  </si>
  <si>
    <t>Corrente de falta FT min</t>
  </si>
  <si>
    <t>Carga</t>
  </si>
  <si>
    <t>Fonte</t>
  </si>
  <si>
    <t>50/51 da Carga</t>
  </si>
  <si>
    <t>50/51 da Fonte</t>
  </si>
  <si>
    <t>CARGA</t>
  </si>
  <si>
    <t>FONTE</t>
  </si>
  <si>
    <t>50/51N da Fonte</t>
  </si>
  <si>
    <t>50/51N da Carga</t>
  </si>
  <si>
    <t>Parâmetro</t>
  </si>
  <si>
    <t>Equação</t>
  </si>
  <si>
    <t>Comentário</t>
  </si>
  <si>
    <t>Valor</t>
  </si>
  <si>
    <t>unid</t>
  </si>
  <si>
    <t>V1</t>
  </si>
  <si>
    <t>Tensão primária</t>
  </si>
  <si>
    <t>kV</t>
  </si>
  <si>
    <t>V2</t>
  </si>
  <si>
    <t>Tensão Secundária</t>
  </si>
  <si>
    <t>V</t>
  </si>
  <si>
    <t>Pb</t>
  </si>
  <si>
    <t>Potência base</t>
  </si>
  <si>
    <t>MVA</t>
  </si>
  <si>
    <t>Ibase</t>
  </si>
  <si>
    <t>Corrente de base</t>
  </si>
  <si>
    <t>A</t>
  </si>
  <si>
    <t>Zbp</t>
  </si>
  <si>
    <t>Impedância reduzida de sequência positiva</t>
  </si>
  <si>
    <t>Impedância reduzida de sequência negativa</t>
  </si>
  <si>
    <t>Impedância reduzida de sequência zero</t>
  </si>
  <si>
    <t>Zbn</t>
  </si>
  <si>
    <t>Zbz</t>
  </si>
  <si>
    <t>Impedância no alimentador</t>
  </si>
  <si>
    <t>pu</t>
  </si>
  <si>
    <t>Impedância na barra da SE</t>
  </si>
  <si>
    <t>Lam</t>
  </si>
  <si>
    <t>Comprimeiro do alimentador</t>
  </si>
  <si>
    <t>metros</t>
  </si>
  <si>
    <t>Dados do transformador</t>
  </si>
  <si>
    <t>Sn</t>
  </si>
  <si>
    <t>Potência do transformador</t>
  </si>
  <si>
    <t>kVA</t>
  </si>
  <si>
    <t>Zcc</t>
  </si>
  <si>
    <t>Impedância de curto circuito</t>
  </si>
  <si>
    <t>%</t>
  </si>
  <si>
    <t>Pcu</t>
  </si>
  <si>
    <t>Perdas no cobre</t>
  </si>
  <si>
    <t>W</t>
  </si>
  <si>
    <t>Cálculo dos parâmetros do tranformador</t>
  </si>
  <si>
    <t>Ztrafo</t>
  </si>
  <si>
    <t>Impedância do transformador</t>
  </si>
  <si>
    <t>Rtrafo</t>
  </si>
  <si>
    <t>Xtrafo</t>
  </si>
  <si>
    <t>Reatância do transformador</t>
  </si>
  <si>
    <t>Resistência do transformador</t>
  </si>
  <si>
    <t>Itrafo</t>
  </si>
  <si>
    <t>Corrente nominal do transformador</t>
  </si>
  <si>
    <t>Ohm</t>
  </si>
  <si>
    <t>RE</t>
  </si>
  <si>
    <t>IM</t>
  </si>
  <si>
    <t>Conversão da impedância do alimentador</t>
  </si>
  <si>
    <t>Zcp1</t>
  </si>
  <si>
    <t>Zcn1</t>
  </si>
  <si>
    <t>Zcz1</t>
  </si>
  <si>
    <t>Impedância de sequência positiva</t>
  </si>
  <si>
    <t>Impedância de sequência negativa</t>
  </si>
  <si>
    <t>Impedância de sequência zero</t>
  </si>
  <si>
    <t>Zb1</t>
  </si>
  <si>
    <t>Impedância base</t>
  </si>
  <si>
    <t>ohm</t>
  </si>
  <si>
    <t xml:space="preserve">Parâmetros calculados                         </t>
  </si>
  <si>
    <t>Zt</t>
  </si>
  <si>
    <t>Impedância de sequência positiva da barra e do condutor</t>
  </si>
  <si>
    <t>Impedância de sequência zero do condutor e da barra</t>
  </si>
  <si>
    <t>Curto circuito trifásico</t>
  </si>
  <si>
    <t>Curto circuito bifásico</t>
  </si>
  <si>
    <t xml:space="preserve">Curtos na SE        </t>
  </si>
  <si>
    <t>Curto circuito fase terra</t>
  </si>
  <si>
    <t>Curto circuito fase terra mínimo</t>
  </si>
  <si>
    <t>Zc</t>
  </si>
  <si>
    <t>Impedância de contato</t>
  </si>
  <si>
    <t>Zbc</t>
  </si>
  <si>
    <t>Impedância base de contato</t>
  </si>
  <si>
    <t>Zcn1 = Zcp1</t>
  </si>
  <si>
    <t>Zzac</t>
  </si>
  <si>
    <t>Zpac</t>
  </si>
  <si>
    <t>Icct</t>
  </si>
  <si>
    <t>Iccb</t>
  </si>
  <si>
    <t>Iccft</t>
  </si>
  <si>
    <t>Iccftm</t>
  </si>
  <si>
    <t>Itc</t>
  </si>
  <si>
    <t>Valor adotado</t>
  </si>
  <si>
    <t>300-5</t>
  </si>
  <si>
    <t>RTC</t>
  </si>
  <si>
    <t>Dimensionamento da unidade temporizada de fase</t>
  </si>
  <si>
    <t>Itf</t>
  </si>
  <si>
    <t>Kf</t>
  </si>
  <si>
    <t>Fator de sobrecarga</t>
  </si>
  <si>
    <t>FA</t>
  </si>
  <si>
    <t>Fator de assimetria</t>
  </si>
  <si>
    <t>Iatf</t>
  </si>
  <si>
    <t>Icca</t>
  </si>
  <si>
    <t xml:space="preserve">Corrente máxima assimétrica de curto circuito </t>
  </si>
  <si>
    <t>Tmin</t>
  </si>
  <si>
    <t>Conforme IEC255-4</t>
  </si>
  <si>
    <t>segundos</t>
  </si>
  <si>
    <t>Curva do relé do cliente</t>
  </si>
  <si>
    <t>Tempo de atraso da curva</t>
  </si>
  <si>
    <t>Ipick</t>
  </si>
  <si>
    <t>Tempo de coordenação mínimo adotado</t>
  </si>
  <si>
    <t>Icurto</t>
  </si>
  <si>
    <t>Corrente de ajuste no secundário do TC</t>
  </si>
  <si>
    <t>Corrente de ajuste no primário do TC</t>
  </si>
  <si>
    <t>Tempo da unidade de tempo definido</t>
  </si>
  <si>
    <t>Tdf</t>
  </si>
  <si>
    <t>Iatf = Itf * RTC</t>
  </si>
  <si>
    <t>Dimensionamento da unidade instantânea de fase</t>
  </si>
  <si>
    <t>Corrente do TC em situação de falta mais severa</t>
  </si>
  <si>
    <t>Conforme a curva da CSS</t>
  </si>
  <si>
    <t>Tcss</t>
  </si>
  <si>
    <t>Tempo de atuação da css</t>
  </si>
  <si>
    <t>Tms do cliente</t>
  </si>
  <si>
    <t xml:space="preserve">Corrente de magnetização </t>
  </si>
  <si>
    <t>Imag = 8 * Itrafo</t>
  </si>
  <si>
    <t>Tempo de magnetização</t>
  </si>
  <si>
    <t>Dimensionamento da unidade temporizada de neutro</t>
  </si>
  <si>
    <t>Dimensionamento da unidade instantânea de neutro</t>
  </si>
  <si>
    <t>Fator de desbalanceamento</t>
  </si>
  <si>
    <t>Kn</t>
  </si>
  <si>
    <t>Itn</t>
  </si>
  <si>
    <t>Iatn</t>
  </si>
  <si>
    <t>prot sist eletricos p 118</t>
  </si>
  <si>
    <t>Icca = FA * Iccft</t>
  </si>
  <si>
    <t>fase</t>
  </si>
  <si>
    <t>neutro</t>
  </si>
  <si>
    <t>Zr</t>
  </si>
  <si>
    <t>Impedância do relé</t>
  </si>
  <si>
    <t>Es</t>
  </si>
  <si>
    <t>Tensão no secundário do TC</t>
  </si>
  <si>
    <t>10B100</t>
  </si>
  <si>
    <t>Exatidão, impedância e tensão secundária</t>
  </si>
  <si>
    <t>Fs</t>
  </si>
  <si>
    <t>Fator de sobrecorrente</t>
  </si>
  <si>
    <t>Iansi</t>
  </si>
  <si>
    <t>Corrente de ANSI</t>
  </si>
  <si>
    <t>Tansi</t>
  </si>
  <si>
    <t>Tempo designado para a corrente de ANSI</t>
  </si>
  <si>
    <t>Corrente de ajuste TD no secundário do TC</t>
  </si>
  <si>
    <t>Corrente de ajuste TD no primário do TC</t>
  </si>
  <si>
    <t>Itdfp</t>
  </si>
  <si>
    <t>Itdfs</t>
  </si>
  <si>
    <t>Itdfs = Itdp * RTC</t>
  </si>
  <si>
    <t>Itdnp</t>
  </si>
  <si>
    <t>Itdns</t>
  </si>
  <si>
    <t>Itdns = Itdp * RTC</t>
  </si>
  <si>
    <t>Ajustes de fase Concessionária</t>
  </si>
  <si>
    <t>Curva do relé</t>
  </si>
  <si>
    <t>Ajustes de neutro da Concessionária</t>
  </si>
  <si>
    <t>I pickup</t>
  </si>
  <si>
    <t>Tempo definido</t>
  </si>
  <si>
    <t>Corrente definida</t>
  </si>
  <si>
    <t>Dimensionamento do TC de proteção</t>
  </si>
  <si>
    <t>Fajuste</t>
  </si>
  <si>
    <t>Fator de ajuste</t>
  </si>
  <si>
    <t>Corrente de falta 3F</t>
  </si>
  <si>
    <t>Tempo de atuação da CSS para a Iccmin</t>
  </si>
  <si>
    <t>Tempo de atuação da CSS para a TD do cliente</t>
  </si>
  <si>
    <t>Tmin = Tccs - Tcliente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</si>
</sst>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0"/>
    <numFmt numFmtId="166" formatCode="0.0000"/>
    <numFmt numFmtId="167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5" fontId="2" fillId="0" borderId="14" xfId="0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64" fontId="2" fillId="0" borderId="1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" fontId="0" fillId="0" borderId="14" xfId="0" applyNumberFormat="1" applyBorder="1" applyAlignment="1">
      <alignment horizontal="center" vertical="center"/>
    </xf>
    <xf numFmtId="167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164" fontId="0" fillId="0" borderId="0" xfId="0" applyNumberFormat="1"/>
    <xf numFmtId="166" fontId="2" fillId="0" borderId="1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 applyBorder="1"/>
    <xf numFmtId="2" fontId="0" fillId="0" borderId="10" xfId="0" applyNumberFormat="1" applyBorder="1"/>
    <xf numFmtId="2" fontId="0" fillId="0" borderId="2" xfId="0" applyNumberFormat="1" applyBorder="1"/>
    <xf numFmtId="1" fontId="0" fillId="0" borderId="7" xfId="0" applyNumberFormat="1" applyBorder="1"/>
    <xf numFmtId="167" fontId="0" fillId="0" borderId="10" xfId="0" applyNumberFormat="1" applyBorder="1"/>
    <xf numFmtId="0" fontId="0" fillId="0" borderId="14" xfId="0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2" fontId="0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67" fontId="0" fillId="0" borderId="13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1" fontId="0" fillId="0" borderId="14" xfId="0" applyNumberForma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center" textRotation="255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50/51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5"/>
          <c:order val="4"/>
          <c:tx>
            <c:strRef>
              <c:f>Coordenograma!$C$14</c:f>
              <c:strCache>
                <c:ptCount val="1"/>
                <c:pt idx="0">
                  <c:v>Corrente de falta 3F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6">
                  <a:lumMod val="60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6">
                  <a:lumMod val="60000"/>
                </a:schemeClr>
              </a:solidFill>
              <a:ln w="6350" cap="flat" cmpd="sng" algn="ctr">
                <a:solidFill>
                  <a:schemeClr val="accent6">
                    <a:lumMod val="6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Coordenograma!$B$14</c:f>
              <c:numCache>
                <c:formatCode>0.0</c:formatCode>
                <c:ptCount val="1"/>
                <c:pt idx="0">
                  <c:v>4253.3083536317963</c:v>
                </c:pt>
              </c:numCache>
              <c:extLst xmlns:c15="http://schemas.microsoft.com/office/drawing/2012/chart"/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5DAC-42FE-B3A8-4431CB6EAF12}"/>
            </c:ext>
          </c:extLst>
        </c:ser>
        <c:ser>
          <c:idx val="4"/>
          <c:order val="5"/>
          <c:tx>
            <c:strRef>
              <c:f>Coordenograma!$T$2</c:f>
              <c:strCache>
                <c:ptCount val="1"/>
                <c:pt idx="0">
                  <c:v>50/51 da Fonte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Coordenograma!$E$3:$E$242</c:f>
              <c:numCache>
                <c:formatCode>General</c:formatCode>
                <c:ptCount val="240"/>
                <c:pt idx="0">
                  <c:v>26.357294897787263</c:v>
                </c:pt>
                <c:pt idx="1">
                  <c:v>27.675159642676626</c:v>
                </c:pt>
                <c:pt idx="2">
                  <c:v>29.058917624810459</c:v>
                </c:pt>
                <c:pt idx="3">
                  <c:v>30.511863506050982</c:v>
                </c:pt>
                <c:pt idx="4">
                  <c:v>32.037456681353532</c:v>
                </c:pt>
                <c:pt idx="5">
                  <c:v>33.63932951542121</c:v>
                </c:pt>
                <c:pt idx="6">
                  <c:v>35.321295991192272</c:v>
                </c:pt>
                <c:pt idx="7">
                  <c:v>37.087360790751887</c:v>
                </c:pt>
                <c:pt idx="8">
                  <c:v>38.941728830289485</c:v>
                </c:pt>
                <c:pt idx="9">
                  <c:v>40.888815271803963</c:v>
                </c:pt>
                <c:pt idx="10">
                  <c:v>42.933256035394166</c:v>
                </c:pt>
                <c:pt idx="11">
                  <c:v>45.079918837163873</c:v>
                </c:pt>
                <c:pt idx="12">
                  <c:v>47.333914779022066</c:v>
                </c:pt>
                <c:pt idx="13">
                  <c:v>49.700610517973175</c:v>
                </c:pt>
                <c:pt idx="14">
                  <c:v>52.185641043871833</c:v>
                </c:pt>
                <c:pt idx="15">
                  <c:v>54.794923096065425</c:v>
                </c:pt>
                <c:pt idx="16">
                  <c:v>57.534669250868696</c:v>
                </c:pt>
                <c:pt idx="17">
                  <c:v>60.41140271341213</c:v>
                </c:pt>
                <c:pt idx="18">
                  <c:v>63.43197284908274</c:v>
                </c:pt>
                <c:pt idx="19">
                  <c:v>66.603571491536883</c:v>
                </c:pt>
                <c:pt idx="20">
                  <c:v>69.933750066113731</c:v>
                </c:pt>
                <c:pt idx="21">
                  <c:v>73.430437569419425</c:v>
                </c:pt>
                <c:pt idx="22">
                  <c:v>77.101959447890394</c:v>
                </c:pt>
                <c:pt idx="23">
                  <c:v>80.957057420284912</c:v>
                </c:pt>
                <c:pt idx="24">
                  <c:v>85.004910291299154</c:v>
                </c:pt>
                <c:pt idx="25">
                  <c:v>89.255155805864121</c:v>
                </c:pt>
                <c:pt idx="26">
                  <c:v>93.717913596157331</c:v>
                </c:pt>
                <c:pt idx="27">
                  <c:v>98.403809275965202</c:v>
                </c:pt>
                <c:pt idx="28">
                  <c:v>103.32399973976347</c:v>
                </c:pt>
                <c:pt idx="29">
                  <c:v>108.49019972675164</c:v>
                </c:pt>
                <c:pt idx="30">
                  <c:v>113.91470971308922</c:v>
                </c:pt>
                <c:pt idx="31">
                  <c:v>119.61044519874369</c:v>
                </c:pt>
                <c:pt idx="32">
                  <c:v>125.59096745868088</c:v>
                </c:pt>
                <c:pt idx="33">
                  <c:v>131.87051583161494</c:v>
                </c:pt>
                <c:pt idx="34">
                  <c:v>138.4640416231957</c:v>
                </c:pt>
                <c:pt idx="35">
                  <c:v>145.38724370435548</c:v>
                </c:pt>
                <c:pt idx="36">
                  <c:v>152.65660588957326</c:v>
                </c:pt>
                <c:pt idx="37">
                  <c:v>160.28943618405194</c:v>
                </c:pt>
                <c:pt idx="38">
                  <c:v>168.30390799325454</c:v>
                </c:pt>
                <c:pt idx="39">
                  <c:v>176.71910339291728</c:v>
                </c:pt>
                <c:pt idx="40">
                  <c:v>185.55505856256315</c:v>
                </c:pt>
                <c:pt idx="41">
                  <c:v>194.83281149069131</c:v>
                </c:pt>
                <c:pt idx="42">
                  <c:v>204.5744520652259</c:v>
                </c:pt>
                <c:pt idx="43">
                  <c:v>214.8031746684872</c:v>
                </c:pt>
                <c:pt idx="44">
                  <c:v>225.54333340191158</c:v>
                </c:pt>
                <c:pt idx="45">
                  <c:v>236.82050007200718</c:v>
                </c:pt>
                <c:pt idx="46">
                  <c:v>248.66152507560756</c:v>
                </c:pt>
                <c:pt idx="47">
                  <c:v>261.09460132938796</c:v>
                </c:pt>
                <c:pt idx="48">
                  <c:v>274.14933139585736</c:v>
                </c:pt>
                <c:pt idx="49">
                  <c:v>287.85679796565023</c:v>
                </c:pt>
                <c:pt idx="50">
                  <c:v>302.24963786393278</c:v>
                </c:pt>
                <c:pt idx="51">
                  <c:v>317.36211975712945</c:v>
                </c:pt>
                <c:pt idx="52">
                  <c:v>333.23022574498594</c:v>
                </c:pt>
                <c:pt idx="53">
                  <c:v>349.89173703223526</c:v>
                </c:pt>
                <c:pt idx="54">
                  <c:v>367.38632388384701</c:v>
                </c:pt>
                <c:pt idx="55">
                  <c:v>385.75564007803939</c:v>
                </c:pt>
                <c:pt idx="56">
                  <c:v>405.0434220819414</c:v>
                </c:pt>
                <c:pt idx="57">
                  <c:v>425.2955931860385</c:v>
                </c:pt>
                <c:pt idx="58">
                  <c:v>446.56037284534045</c:v>
                </c:pt>
                <c:pt idx="59">
                  <c:v>468.88839148760752</c:v>
                </c:pt>
                <c:pt idx="60">
                  <c:v>492.33281106198791</c:v>
                </c:pt>
                <c:pt idx="61">
                  <c:v>516.94945161508736</c:v>
                </c:pt>
                <c:pt idx="62">
                  <c:v>542.79692419584171</c:v>
                </c:pt>
                <c:pt idx="63">
                  <c:v>569.93677040563387</c:v>
                </c:pt>
                <c:pt idx="64">
                  <c:v>598.43360892591556</c:v>
                </c:pt>
                <c:pt idx="65">
                  <c:v>628.35528937221136</c:v>
                </c:pt>
                <c:pt idx="66">
                  <c:v>659.77305384082194</c:v>
                </c:pt>
                <c:pt idx="67">
                  <c:v>692.76170653286306</c:v>
                </c:pt>
                <c:pt idx="68">
                  <c:v>727.39979185950619</c:v>
                </c:pt>
                <c:pt idx="69">
                  <c:v>763.76978145248154</c:v>
                </c:pt>
                <c:pt idx="70">
                  <c:v>801.9582705251056</c:v>
                </c:pt>
                <c:pt idx="71">
                  <c:v>842.0561840513609</c:v>
                </c:pt>
                <c:pt idx="72">
                  <c:v>884.158993253929</c:v>
                </c:pt>
                <c:pt idx="73">
                  <c:v>928.36694291662548</c:v>
                </c:pt>
                <c:pt idx="74">
                  <c:v>974.78529006245674</c:v>
                </c:pt>
                <c:pt idx="75">
                  <c:v>1023.5245545655796</c:v>
                </c:pt>
                <c:pt idx="76">
                  <c:v>1074.7007822938585</c:v>
                </c:pt>
                <c:pt idx="77">
                  <c:v>1128.4358214085514</c:v>
                </c:pt>
                <c:pt idx="78">
                  <c:v>1184.857612478979</c:v>
                </c:pt>
                <c:pt idx="79">
                  <c:v>1244.1004931029281</c:v>
                </c:pt>
                <c:pt idx="80">
                  <c:v>1306.3055177580745</c:v>
                </c:pt>
                <c:pt idx="81">
                  <c:v>1371.6207936459782</c:v>
                </c:pt>
                <c:pt idx="82">
                  <c:v>1440.2018333282772</c:v>
                </c:pt>
                <c:pt idx="83">
                  <c:v>1512.2119249946911</c:v>
                </c:pt>
                <c:pt idx="84">
                  <c:v>1587.8225212444258</c:v>
                </c:pt>
                <c:pt idx="85">
                  <c:v>1667.2136473066473</c:v>
                </c:pt>
                <c:pt idx="86">
                  <c:v>1750.5743296719797</c:v>
                </c:pt>
                <c:pt idx="87">
                  <c:v>1838.1030461555788</c:v>
                </c:pt>
                <c:pt idx="88">
                  <c:v>1930.0081984633578</c:v>
                </c:pt>
                <c:pt idx="89">
                  <c:v>2026.5086083865258</c:v>
                </c:pt>
                <c:pt idx="90">
                  <c:v>2127.8340388058523</c:v>
                </c:pt>
                <c:pt idx="91">
                  <c:v>2234.2257407461452</c:v>
                </c:pt>
                <c:pt idx="92">
                  <c:v>2345.9370277834528</c:v>
                </c:pt>
                <c:pt idx="93">
                  <c:v>2463.2338791726256</c:v>
                </c:pt>
                <c:pt idx="94">
                  <c:v>2586.3955731312572</c:v>
                </c:pt>
                <c:pt idx="95">
                  <c:v>2715.7153517878201</c:v>
                </c:pt>
                <c:pt idx="96">
                  <c:v>2851.5011193772111</c:v>
                </c:pt>
                <c:pt idx="97">
                  <c:v>2994.076175346072</c:v>
                </c:pt>
                <c:pt idx="98">
                  <c:v>3143.7799841133756</c:v>
                </c:pt>
                <c:pt idx="99">
                  <c:v>3300.9689833190446</c:v>
                </c:pt>
                <c:pt idx="100">
                  <c:v>3466.0174324849968</c:v>
                </c:pt>
                <c:pt idx="101">
                  <c:v>3639.3183041092466</c:v>
                </c:pt>
                <c:pt idx="102">
                  <c:v>3821.2842193147089</c:v>
                </c:pt>
                <c:pt idx="103">
                  <c:v>4012.3484302804445</c:v>
                </c:pt>
                <c:pt idx="104">
                  <c:v>4212.9658517944672</c:v>
                </c:pt>
                <c:pt idx="105">
                  <c:v>4423.6141443841907</c:v>
                </c:pt>
                <c:pt idx="106">
                  <c:v>4644.7948516034003</c:v>
                </c:pt>
                <c:pt idx="107">
                  <c:v>4877.0345941835703</c:v>
                </c:pt>
                <c:pt idx="108">
                  <c:v>5120.8863238927488</c:v>
                </c:pt>
                <c:pt idx="109">
                  <c:v>5376.9306400873866</c:v>
                </c:pt>
                <c:pt idx="110">
                  <c:v>5645.7771720917563</c:v>
                </c:pt>
                <c:pt idx="111">
                  <c:v>5928.0660306963446</c:v>
                </c:pt>
                <c:pt idx="112">
                  <c:v>6224.4693322311623</c:v>
                </c:pt>
                <c:pt idx="113">
                  <c:v>6535.6927988427205</c:v>
                </c:pt>
                <c:pt idx="114">
                  <c:v>6862.4774387848565</c:v>
                </c:pt>
                <c:pt idx="115">
                  <c:v>7205.6013107240997</c:v>
                </c:pt>
                <c:pt idx="116">
                  <c:v>7565.8813762603049</c:v>
                </c:pt>
                <c:pt idx="117">
                  <c:v>7944.1754450733206</c:v>
                </c:pt>
                <c:pt idx="118">
                  <c:v>8341.3842173269877</c:v>
                </c:pt>
                <c:pt idx="119">
                  <c:v>8758.4534281933375</c:v>
                </c:pt>
                <c:pt idx="120">
                  <c:v>9196.3760996030051</c:v>
                </c:pt>
                <c:pt idx="121">
                  <c:v>9656.1949045831552</c:v>
                </c:pt>
                <c:pt idx="122">
                  <c:v>10139.004649812314</c:v>
                </c:pt>
                <c:pt idx="123">
                  <c:v>10645.954882302929</c:v>
                </c:pt>
                <c:pt idx="124">
                  <c:v>11178.252626418076</c:v>
                </c:pt>
                <c:pt idx="125">
                  <c:v>11737.16525773898</c:v>
                </c:pt>
                <c:pt idx="126">
                  <c:v>12324.023520625929</c:v>
                </c:pt>
                <c:pt idx="127">
                  <c:v>12940.224696657226</c:v>
                </c:pt>
                <c:pt idx="128">
                  <c:v>13587.235931490088</c:v>
                </c:pt>
                <c:pt idx="129">
                  <c:v>14266.597728064593</c:v>
                </c:pt>
                <c:pt idx="130">
                  <c:v>14979.927614467822</c:v>
                </c:pt>
                <c:pt idx="131">
                  <c:v>15728.923995191215</c:v>
                </c:pt>
                <c:pt idx="132">
                  <c:v>16515.370194950778</c:v>
                </c:pt>
                <c:pt idx="133">
                  <c:v>17341.138704698318</c:v>
                </c:pt>
                <c:pt idx="134">
                  <c:v>18208.195639933234</c:v>
                </c:pt>
                <c:pt idx="135">
                  <c:v>19118.605421929897</c:v>
                </c:pt>
                <c:pt idx="136">
                  <c:v>20074.535693026392</c:v>
                </c:pt>
                <c:pt idx="137">
                  <c:v>21078.262477677712</c:v>
                </c:pt>
                <c:pt idx="138">
                  <c:v>22132.175601561597</c:v>
                </c:pt>
                <c:pt idx="139">
                  <c:v>23238.784381639678</c:v>
                </c:pt>
                <c:pt idx="140">
                  <c:v>24400.723600721663</c:v>
                </c:pt>
                <c:pt idx="141">
                  <c:v>25620.759780757748</c:v>
                </c:pt>
                <c:pt idx="142">
                  <c:v>26901.797769795638</c:v>
                </c:pt>
                <c:pt idx="143">
                  <c:v>28246.887658285421</c:v>
                </c:pt>
                <c:pt idx="144">
                  <c:v>29659.232041199692</c:v>
                </c:pt>
                <c:pt idx="145">
                  <c:v>31142.193643259678</c:v>
                </c:pt>
                <c:pt idx="146">
                  <c:v>32699.303325422661</c:v>
                </c:pt>
                <c:pt idx="147">
                  <c:v>34334.268491693794</c:v>
                </c:pt>
                <c:pt idx="148">
                  <c:v>36050.981916278484</c:v>
                </c:pt>
                <c:pt idx="149">
                  <c:v>37853.531012092411</c:v>
                </c:pt>
                <c:pt idx="150">
                  <c:v>39746.207562697033</c:v>
                </c:pt>
                <c:pt idx="151">
                  <c:v>41733.517940831887</c:v>
                </c:pt>
                <c:pt idx="152">
                  <c:v>43820.193837873485</c:v>
                </c:pt>
                <c:pt idx="153">
                  <c:v>46011.203529767161</c:v>
                </c:pt>
                <c:pt idx="154">
                  <c:v>48311.763706255522</c:v>
                </c:pt>
                <c:pt idx="155">
                  <c:v>50727.351891568302</c:v>
                </c:pt>
                <c:pt idx="156">
                  <c:v>53263.719486146721</c:v>
                </c:pt>
                <c:pt idx="157">
                  <c:v>55926.905460454058</c:v>
                </c:pt>
                <c:pt idx="158">
                  <c:v>58723.250733476765</c:v>
                </c:pt>
                <c:pt idx="159">
                  <c:v>61659.41327015061</c:v>
                </c:pt>
                <c:pt idx="160">
                  <c:v>64742.383933658144</c:v>
                </c:pt>
                <c:pt idx="161">
                  <c:v>67979.503130341051</c:v>
                </c:pt>
                <c:pt idx="162">
                  <c:v>71378.47828685811</c:v>
                </c:pt>
                <c:pt idx="163">
                  <c:v>74947.402201201025</c:v>
                </c:pt>
                <c:pt idx="164">
                  <c:v>78694.772311261084</c:v>
                </c:pt>
                <c:pt idx="165">
                  <c:v>82629.510926824136</c:v>
                </c:pt>
                <c:pt idx="166">
                  <c:v>86760.986473165351</c:v>
                </c:pt>
                <c:pt idx="167">
                  <c:v>91099.03579682362</c:v>
                </c:pt>
                <c:pt idx="168">
                  <c:v>95653.987586664807</c:v>
                </c:pt>
                <c:pt idx="169">
                  <c:v>100436.68696599806</c:v>
                </c:pt>
                <c:pt idx="170">
                  <c:v>105458.52131429796</c:v>
                </c:pt>
                <c:pt idx="171">
                  <c:v>110731.44738001286</c:v>
                </c:pt>
                <c:pt idx="172">
                  <c:v>116268.0197490135</c:v>
                </c:pt>
                <c:pt idx="173">
                  <c:v>122081.42073646418</c:v>
                </c:pt>
                <c:pt idx="174">
                  <c:v>128185.49177328739</c:v>
                </c:pt>
                <c:pt idx="175">
                  <c:v>134594.76636195177</c:v>
                </c:pt>
                <c:pt idx="176">
                  <c:v>141324.50468004937</c:v>
                </c:pt>
                <c:pt idx="177">
                  <c:v>148390.72991405186</c:v>
                </c:pt>
                <c:pt idx="178">
                  <c:v>155810.26640975446</c:v>
                </c:pt>
                <c:pt idx="179">
                  <c:v>163600.77973024218</c:v>
                </c:pt>
                <c:pt idx="180">
                  <c:v>171780.81871675429</c:v>
                </c:pt>
                <c:pt idx="181">
                  <c:v>180369.85965259201</c:v>
                </c:pt>
                <c:pt idx="182">
                  <c:v>189388.35263522161</c:v>
                </c:pt>
                <c:pt idx="183">
                  <c:v>198857.7702669827</c:v>
                </c:pt>
                <c:pt idx="184">
                  <c:v>208800.65878033184</c:v>
                </c:pt>
                <c:pt idx="185">
                  <c:v>219240.69171934846</c:v>
                </c:pt>
                <c:pt idx="186">
                  <c:v>230202.72630531588</c:v>
                </c:pt>
                <c:pt idx="187">
                  <c:v>241712.8626205817</c:v>
                </c:pt>
                <c:pt idx="188">
                  <c:v>253798.50575161079</c:v>
                </c:pt>
                <c:pt idx="189">
                  <c:v>266488.43103919132</c:v>
                </c:pt>
                <c:pt idx="190">
                  <c:v>279812.85259115091</c:v>
                </c:pt>
                <c:pt idx="191">
                  <c:v>293803.49522070849</c:v>
                </c:pt>
                <c:pt idx="192">
                  <c:v>308493.66998174391</c:v>
                </c:pt>
                <c:pt idx="193">
                  <c:v>323918.35348083114</c:v>
                </c:pt>
                <c:pt idx="194">
                  <c:v>340114.27115487272</c:v>
                </c:pt>
                <c:pt idx="195">
                  <c:v>357119.98471261637</c:v>
                </c:pt>
                <c:pt idx="196">
                  <c:v>374975.98394824722</c:v>
                </c:pt>
                <c:pt idx="197">
                  <c:v>393724.7831456596</c:v>
                </c:pt>
                <c:pt idx="198">
                  <c:v>413411.02230294258</c:v>
                </c:pt>
                <c:pt idx="199">
                  <c:v>434081.57341808971</c:v>
                </c:pt>
                <c:pt idx="200">
                  <c:v>455785.65208899422</c:v>
                </c:pt>
                <c:pt idx="201">
                  <c:v>478574.93469344394</c:v>
                </c:pt>
                <c:pt idx="202">
                  <c:v>502503.68142811616</c:v>
                </c:pt>
                <c:pt idx="203">
                  <c:v>527628.86549952195</c:v>
                </c:pt>
                <c:pt idx="204">
                  <c:v>554010.30877449806</c:v>
                </c:pt>
                <c:pt idx="205">
                  <c:v>581710.82421322295</c:v>
                </c:pt>
                <c:pt idx="206">
                  <c:v>610796.36542388413</c:v>
                </c:pt>
                <c:pt idx="207">
                  <c:v>641336.18369507836</c:v>
                </c:pt>
                <c:pt idx="208">
                  <c:v>673402.99287983228</c:v>
                </c:pt>
                <c:pt idx="209">
                  <c:v>707073.14252382389</c:v>
                </c:pt>
                <c:pt idx="210">
                  <c:v>742426.79965001508</c:v>
                </c:pt>
                <c:pt idx="211">
                  <c:v>779548.13963251584</c:v>
                </c:pt>
                <c:pt idx="212">
                  <c:v>818525.54661414167</c:v>
                </c:pt>
                <c:pt idx="213">
                  <c:v>859451.82394484885</c:v>
                </c:pt>
                <c:pt idx="214">
                  <c:v>902424.41514209134</c:v>
                </c:pt>
                <c:pt idx="215">
                  <c:v>947545.63589919591</c:v>
                </c:pt>
                <c:pt idx="216">
                  <c:v>994922.91769415571</c:v>
                </c:pt>
                <c:pt idx="217">
                  <c:v>1044669.0635788635</c:v>
                </c:pt>
                <c:pt idx="218">
                  <c:v>1096902.5167578068</c:v>
                </c:pt>
                <c:pt idx="219">
                  <c:v>1151747.6425956972</c:v>
                </c:pt>
                <c:pt idx="220">
                  <c:v>1209335.0247254821</c:v>
                </c:pt>
                <c:pt idx="221">
                  <c:v>1269801.7759617562</c:v>
                </c:pt>
                <c:pt idx="222">
                  <c:v>1333291.864759844</c:v>
                </c:pt>
                <c:pt idx="223">
                  <c:v>1399956.4579978364</c:v>
                </c:pt>
                <c:pt idx="224">
                  <c:v>1469954.2808977284</c:v>
                </c:pt>
                <c:pt idx="225">
                  <c:v>1543451.9949426148</c:v>
                </c:pt>
                <c:pt idx="226">
                  <c:v>1620624.5946897457</c:v>
                </c:pt>
                <c:pt idx="227">
                  <c:v>1701655.8244242331</c:v>
                </c:pt>
                <c:pt idx="228">
                  <c:v>1786738.6156454447</c:v>
                </c:pt>
                <c:pt idx="229">
                  <c:v>1876075.546427717</c:v>
                </c:pt>
                <c:pt idx="230">
                  <c:v>1969879.3237491029</c:v>
                </c:pt>
                <c:pt idx="231">
                  <c:v>2068373.2899365581</c:v>
                </c:pt>
                <c:pt idx="232">
                  <c:v>2171791.9544333862</c:v>
                </c:pt>
                <c:pt idx="233">
                  <c:v>2280381.5521550556</c:v>
                </c:pt>
                <c:pt idx="234">
                  <c:v>2394400.6297628083</c:v>
                </c:pt>
                <c:pt idx="235">
                  <c:v>2514120.6612509489</c:v>
                </c:pt>
                <c:pt idx="236">
                  <c:v>2639826.6943134964</c:v>
                </c:pt>
                <c:pt idx="237">
                  <c:v>2771818.0290291714</c:v>
                </c:pt>
                <c:pt idx="238">
                  <c:v>2910408.9304806301</c:v>
                </c:pt>
                <c:pt idx="239">
                  <c:v>3055929.3770046616</c:v>
                </c:pt>
              </c:numCache>
            </c:numRef>
          </c:xVal>
          <c:yVal>
            <c:numRef>
              <c:f>Coordenograma!$T$3:$T$242</c:f>
              <c:numCache>
                <c:formatCode>General</c:formatCode>
                <c:ptCount val="240"/>
                <c:pt idx="0">
                  <c:v>-4.6621012590979678</c:v>
                </c:pt>
                <c:pt idx="1">
                  <c:v>-4.6846626195614789</c:v>
                </c:pt>
                <c:pt idx="2">
                  <c:v>-4.7085882613895622</c:v>
                </c:pt>
                <c:pt idx="3">
                  <c:v>-4.7339746253677673</c:v>
                </c:pt>
                <c:pt idx="4">
                  <c:v>-4.7609265989200118</c:v>
                </c:pt>
                <c:pt idx="5">
                  <c:v>-4.7895584497481609</c:v>
                </c:pt>
                <c:pt idx="6">
                  <c:v>-4.8199948869235314</c:v>
                </c:pt>
                <c:pt idx="7">
                  <c:v>-4.8523722702606564</c:v>
                </c:pt>
                <c:pt idx="8">
                  <c:v>-4.8868399927870971</c:v>
                </c:pt>
                <c:pt idx="9">
                  <c:v>-4.9235620659843136</c:v>
                </c:pt>
                <c:pt idx="10">
                  <c:v>-4.9627189434338161</c:v>
                </c:pt>
                <c:pt idx="11">
                  <c:v>-5.0045096258426387</c:v>
                </c:pt>
                <c:pt idx="12">
                  <c:v>-5.0491540995074526</c:v>
                </c:pt>
                <c:pt idx="13">
                  <c:v>-5.0968961715809842</c:v>
                </c:pt>
                <c:pt idx="14">
                  <c:v>-5.1480067796469067</c:v>
                </c:pt>
                <c:pt idx="15">
                  <c:v>-5.2027878709045172</c:v>
                </c:pt>
                <c:pt idx="16">
                  <c:v>-5.2615769687913234</c:v>
                </c:pt>
                <c:pt idx="17">
                  <c:v>-5.3247525735708967</c:v>
                </c:pt>
                <c:pt idx="18">
                  <c:v>-5.3927405802227968</c:v>
                </c:pt>
                <c:pt idx="19">
                  <c:v>-5.4660219445206302</c:v>
                </c:pt>
                <c:pt idx="20">
                  <c:v>-5.5451418900712737</c:v>
                </c:pt>
                <c:pt idx="21">
                  <c:v>-5.6307210302834978</c:v>
                </c:pt>
                <c:pt idx="22">
                  <c:v>-5.7234688866713128</c:v>
                </c:pt>
                <c:pt idx="23">
                  <c:v>-5.8242004283508173</c:v>
                </c:pt>
                <c:pt idx="24">
                  <c:v>-5.9338564509939609</c:v>
                </c:pt>
                <c:pt idx="25">
                  <c:v>-6.0535288769617202</c:v>
                </c:pt>
                <c:pt idx="26">
                  <c:v>-6.1844924212296268</c:v>
                </c:pt>
                <c:pt idx="27">
                  <c:v>-6.3282445735612898</c:v>
                </c:pt>
                <c:pt idx="28">
                  <c:v>-6.4865565616138268</c:v>
                </c:pt>
                <c:pt idx="29">
                  <c:v>-6.6615389822335223</c:v>
                </c:pt>
                <c:pt idx="30">
                  <c:v>-6.8557272744826747</c:v>
                </c:pt>
                <c:pt idx="31">
                  <c:v>-7.0721944039695313</c:v>
                </c:pt>
                <c:pt idx="32">
                  <c:v>-7.3147014315199694</c:v>
                </c:pt>
                <c:pt idx="33">
                  <c:v>-7.5879017074858259</c:v>
                </c:pt>
                <c:pt idx="34">
                  <c:v>-7.8976223796818177</c:v>
                </c:pt>
                <c:pt idx="35">
                  <c:v>-8.2512596668321496</c:v>
                </c:pt>
                <c:pt idx="36">
                  <c:v>-8.6583454093903054</c:v>
                </c:pt>
                <c:pt idx="37">
                  <c:v>-9.1313782233435674</c:v>
                </c:pt>
                <c:pt idx="38">
                  <c:v>-9.6870756038429473</c:v>
                </c:pt>
                <c:pt idx="39">
                  <c:v>-10.348318637444967</c:v>
                </c:pt>
                <c:pt idx="40">
                  <c:v>-11.147281688264124</c:v>
                </c:pt>
                <c:pt idx="41">
                  <c:v>-12.130684656337268</c:v>
                </c:pt>
                <c:pt idx="42">
                  <c:v>-13.369061300774602</c:v>
                </c:pt>
                <c:pt idx="43">
                  <c:v>-14.974149506579359</c:v>
                </c:pt>
                <c:pt idx="44">
                  <c:v>-17.134127248623741</c:v>
                </c:pt>
                <c:pt idx="45">
                  <c:v>-20.192467516425459</c:v>
                </c:pt>
                <c:pt idx="46">
                  <c:v>-24.849783751442391</c:v>
                </c:pt>
                <c:pt idx="47">
                  <c:v>-32.79107896569797</c:v>
                </c:pt>
                <c:pt idx="48">
                  <c:v>-49.350754502170126</c:v>
                </c:pt>
                <c:pt idx="49">
                  <c:v>-105.05878073931864</c:v>
                </c:pt>
                <c:pt idx="50">
                  <c:v>567.09127297927444</c:v>
                </c:pt>
                <c:pt idx="51">
                  <c:v>73.478931020282587</c:v>
                </c:pt>
                <c:pt idx="52">
                  <c:v>38.39125288495805</c:v>
                </c:pt>
                <c:pt idx="53">
                  <c:v>25.570366475228791</c:v>
                </c:pt>
                <c:pt idx="54">
                  <c:v>18.931883006394511</c:v>
                </c:pt>
                <c:pt idx="55">
                  <c:v>14.876572536092564</c:v>
                </c:pt>
                <c:pt idx="56">
                  <c:v>12.144977521817824</c:v>
                </c:pt>
                <c:pt idx="57">
                  <c:v>10.181922345072186</c:v>
                </c:pt>
                <c:pt idx="58">
                  <c:v>8.7046039473865839</c:v>
                </c:pt>
                <c:pt idx="59">
                  <c:v>7.5538051417442187</c:v>
                </c:pt>
                <c:pt idx="60">
                  <c:v>6.633033609584337</c:v>
                </c:pt>
                <c:pt idx="61">
                  <c:v>5.8804020498905949</c:v>
                </c:pt>
                <c:pt idx="62">
                  <c:v>5.2543911098765443</c:v>
                </c:pt>
                <c:pt idx="63">
                  <c:v>4.7261067770905427</c:v>
                </c:pt>
                <c:pt idx="64">
                  <c:v>4.2748201336689853</c:v>
                </c:pt>
                <c:pt idx="65">
                  <c:v>3.8852731821044535</c:v>
                </c:pt>
                <c:pt idx="66">
                  <c:v>3.5459854104705766</c:v>
                </c:pt>
                <c:pt idx="67">
                  <c:v>3.2481527062854223</c:v>
                </c:pt>
                <c:pt idx="68">
                  <c:v>2.9849102042131119</c:v>
                </c:pt>
                <c:pt idx="69">
                  <c:v>2.7508260585768998</c:v>
                </c:pt>
                <c:pt idx="70">
                  <c:v>2.5415459310301229</c:v>
                </c:pt>
                <c:pt idx="71">
                  <c:v>2.3535383186018963</c:v>
                </c:pt>
                <c:pt idx="72">
                  <c:v>2.1839088582608577</c:v>
                </c:pt>
                <c:pt idx="73">
                  <c:v>2.0302627539228655</c:v>
                </c:pt>
                <c:pt idx="74">
                  <c:v>1.8906013791170806</c:v>
                </c:pt>
                <c:pt idx="75">
                  <c:v>1.7632435443272398</c:v>
                </c:pt>
                <c:pt idx="76">
                  <c:v>1.6467648273473461</c:v>
                </c:pt>
                <c:pt idx="77">
                  <c:v>1.5399503100082041</c:v>
                </c:pt>
                <c:pt idx="78">
                  <c:v>1.4417573878648269</c:v>
                </c:pt>
                <c:pt idx="79">
                  <c:v>1.3512862341667209</c:v>
                </c:pt>
                <c:pt idx="80">
                  <c:v>1.2677561411391391</c:v>
                </c:pt>
                <c:pt idx="81">
                  <c:v>1.1904864179235572</c:v>
                </c:pt>
                <c:pt idx="82">
                  <c:v>1.1188808531170789</c:v>
                </c:pt>
                <c:pt idx="83">
                  <c:v>1.0524149892400927</c:v>
                </c:pt>
                <c:pt idx="84">
                  <c:v>0.99062563276750271</c:v>
                </c:pt>
                <c:pt idx="85">
                  <c:v>0.93310215452659728</c:v>
                </c:pt>
                <c:pt idx="86">
                  <c:v>0.87947923377941406</c:v>
                </c:pt>
                <c:pt idx="87">
                  <c:v>0.82943077395801357</c:v>
                </c:pt>
                <c:pt idx="88">
                  <c:v>0.78266477506228238</c:v>
                </c:pt>
                <c:pt idx="89">
                  <c:v>0.7389189916592579</c:v>
                </c:pt>
                <c:pt idx="90">
                  <c:v>0.69795723950598065</c:v>
                </c:pt>
                <c:pt idx="91">
                  <c:v>0.65956624044712997</c:v>
                </c:pt>
                <c:pt idx="92">
                  <c:v>0.62355291618243724</c:v>
                </c:pt>
                <c:pt idx="93">
                  <c:v>0.58974205807461633</c:v>
                </c:pt>
                <c:pt idx="94">
                  <c:v>0.55797431336557346</c:v>
                </c:pt>
                <c:pt idx="95">
                  <c:v>0.52810443873523605</c:v>
                </c:pt>
                <c:pt idx="96">
                  <c:v>0.49999978064340195</c:v>
                </c:pt>
                <c:pt idx="97">
                  <c:v>0.47353894877754205</c:v>
                </c:pt>
                <c:pt idx="98">
                  <c:v>0.44861065452563453</c:v>
                </c:pt>
                <c:pt idx="99">
                  <c:v>0.42511269096458032</c:v>
                </c:pt>
                <c:pt idx="100">
                  <c:v>0.4029510346058543</c:v>
                </c:pt>
                <c:pt idx="101">
                  <c:v>0.38203905223114171</c:v>
                </c:pt>
                <c:pt idx="102">
                  <c:v>0.36229679870836412</c:v>
                </c:pt>
                <c:pt idx="103">
                  <c:v>0.34365039380304752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AC-42FE-B3A8-4431CB6EA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  <c:extLst/>
      </c:scatterChart>
      <c:scatterChart>
        <c:scatterStyle val="lineMarker"/>
        <c:varyColors val="0"/>
        <c:ser>
          <c:idx val="0"/>
          <c:order val="0"/>
          <c:tx>
            <c:strRef>
              <c:f>Coordenograma!$M$2</c:f>
              <c:strCache>
                <c:ptCount val="1"/>
                <c:pt idx="0">
                  <c:v>50/51 da Carga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Coordenograma!$E$3:$E$242</c:f>
              <c:numCache>
                <c:formatCode>General</c:formatCode>
                <c:ptCount val="240"/>
                <c:pt idx="0">
                  <c:v>26.357294897787263</c:v>
                </c:pt>
                <c:pt idx="1">
                  <c:v>27.675159642676626</c:v>
                </c:pt>
                <c:pt idx="2">
                  <c:v>29.058917624810459</c:v>
                </c:pt>
                <c:pt idx="3">
                  <c:v>30.511863506050982</c:v>
                </c:pt>
                <c:pt idx="4">
                  <c:v>32.037456681353532</c:v>
                </c:pt>
                <c:pt idx="5">
                  <c:v>33.63932951542121</c:v>
                </c:pt>
                <c:pt idx="6">
                  <c:v>35.321295991192272</c:v>
                </c:pt>
                <c:pt idx="7">
                  <c:v>37.087360790751887</c:v>
                </c:pt>
                <c:pt idx="8">
                  <c:v>38.941728830289485</c:v>
                </c:pt>
                <c:pt idx="9">
                  <c:v>40.888815271803963</c:v>
                </c:pt>
                <c:pt idx="10">
                  <c:v>42.933256035394166</c:v>
                </c:pt>
                <c:pt idx="11">
                  <c:v>45.079918837163873</c:v>
                </c:pt>
                <c:pt idx="12">
                  <c:v>47.333914779022066</c:v>
                </c:pt>
                <c:pt idx="13">
                  <c:v>49.700610517973175</c:v>
                </c:pt>
                <c:pt idx="14">
                  <c:v>52.185641043871833</c:v>
                </c:pt>
                <c:pt idx="15">
                  <c:v>54.794923096065425</c:v>
                </c:pt>
                <c:pt idx="16">
                  <c:v>57.534669250868696</c:v>
                </c:pt>
                <c:pt idx="17">
                  <c:v>60.41140271341213</c:v>
                </c:pt>
                <c:pt idx="18">
                  <c:v>63.43197284908274</c:v>
                </c:pt>
                <c:pt idx="19">
                  <c:v>66.603571491536883</c:v>
                </c:pt>
                <c:pt idx="20">
                  <c:v>69.933750066113731</c:v>
                </c:pt>
                <c:pt idx="21">
                  <c:v>73.430437569419425</c:v>
                </c:pt>
                <c:pt idx="22">
                  <c:v>77.101959447890394</c:v>
                </c:pt>
                <c:pt idx="23">
                  <c:v>80.957057420284912</c:v>
                </c:pt>
                <c:pt idx="24">
                  <c:v>85.004910291299154</c:v>
                </c:pt>
                <c:pt idx="25">
                  <c:v>89.255155805864121</c:v>
                </c:pt>
                <c:pt idx="26">
                  <c:v>93.717913596157331</c:v>
                </c:pt>
                <c:pt idx="27">
                  <c:v>98.403809275965202</c:v>
                </c:pt>
                <c:pt idx="28">
                  <c:v>103.32399973976347</c:v>
                </c:pt>
                <c:pt idx="29">
                  <c:v>108.49019972675164</c:v>
                </c:pt>
                <c:pt idx="30">
                  <c:v>113.91470971308922</c:v>
                </c:pt>
                <c:pt idx="31">
                  <c:v>119.61044519874369</c:v>
                </c:pt>
                <c:pt idx="32">
                  <c:v>125.59096745868088</c:v>
                </c:pt>
                <c:pt idx="33">
                  <c:v>131.87051583161494</c:v>
                </c:pt>
                <c:pt idx="34">
                  <c:v>138.4640416231957</c:v>
                </c:pt>
                <c:pt idx="35">
                  <c:v>145.38724370435548</c:v>
                </c:pt>
                <c:pt idx="36">
                  <c:v>152.65660588957326</c:v>
                </c:pt>
                <c:pt idx="37">
                  <c:v>160.28943618405194</c:v>
                </c:pt>
                <c:pt idx="38">
                  <c:v>168.30390799325454</c:v>
                </c:pt>
                <c:pt idx="39">
                  <c:v>176.71910339291728</c:v>
                </c:pt>
                <c:pt idx="40">
                  <c:v>185.55505856256315</c:v>
                </c:pt>
                <c:pt idx="41">
                  <c:v>194.83281149069131</c:v>
                </c:pt>
                <c:pt idx="42">
                  <c:v>204.5744520652259</c:v>
                </c:pt>
                <c:pt idx="43">
                  <c:v>214.8031746684872</c:v>
                </c:pt>
                <c:pt idx="44">
                  <c:v>225.54333340191158</c:v>
                </c:pt>
                <c:pt idx="45">
                  <c:v>236.82050007200718</c:v>
                </c:pt>
                <c:pt idx="46">
                  <c:v>248.66152507560756</c:v>
                </c:pt>
                <c:pt idx="47">
                  <c:v>261.09460132938796</c:v>
                </c:pt>
                <c:pt idx="48">
                  <c:v>274.14933139585736</c:v>
                </c:pt>
                <c:pt idx="49">
                  <c:v>287.85679796565023</c:v>
                </c:pt>
                <c:pt idx="50">
                  <c:v>302.24963786393278</c:v>
                </c:pt>
                <c:pt idx="51">
                  <c:v>317.36211975712945</c:v>
                </c:pt>
                <c:pt idx="52">
                  <c:v>333.23022574498594</c:v>
                </c:pt>
                <c:pt idx="53">
                  <c:v>349.89173703223526</c:v>
                </c:pt>
                <c:pt idx="54">
                  <c:v>367.38632388384701</c:v>
                </c:pt>
                <c:pt idx="55">
                  <c:v>385.75564007803939</c:v>
                </c:pt>
                <c:pt idx="56">
                  <c:v>405.0434220819414</c:v>
                </c:pt>
                <c:pt idx="57">
                  <c:v>425.2955931860385</c:v>
                </c:pt>
                <c:pt idx="58">
                  <c:v>446.56037284534045</c:v>
                </c:pt>
                <c:pt idx="59">
                  <c:v>468.88839148760752</c:v>
                </c:pt>
                <c:pt idx="60">
                  <c:v>492.33281106198791</c:v>
                </c:pt>
                <c:pt idx="61">
                  <c:v>516.94945161508736</c:v>
                </c:pt>
                <c:pt idx="62">
                  <c:v>542.79692419584171</c:v>
                </c:pt>
                <c:pt idx="63">
                  <c:v>569.93677040563387</c:v>
                </c:pt>
                <c:pt idx="64">
                  <c:v>598.43360892591556</c:v>
                </c:pt>
                <c:pt idx="65">
                  <c:v>628.35528937221136</c:v>
                </c:pt>
                <c:pt idx="66">
                  <c:v>659.77305384082194</c:v>
                </c:pt>
                <c:pt idx="67">
                  <c:v>692.76170653286306</c:v>
                </c:pt>
                <c:pt idx="68">
                  <c:v>727.39979185950619</c:v>
                </c:pt>
                <c:pt idx="69">
                  <c:v>763.76978145248154</c:v>
                </c:pt>
                <c:pt idx="70">
                  <c:v>801.9582705251056</c:v>
                </c:pt>
                <c:pt idx="71">
                  <c:v>842.0561840513609</c:v>
                </c:pt>
                <c:pt idx="72">
                  <c:v>884.158993253929</c:v>
                </c:pt>
                <c:pt idx="73">
                  <c:v>928.36694291662548</c:v>
                </c:pt>
                <c:pt idx="74">
                  <c:v>974.78529006245674</c:v>
                </c:pt>
                <c:pt idx="75">
                  <c:v>1023.5245545655796</c:v>
                </c:pt>
                <c:pt idx="76">
                  <c:v>1074.7007822938585</c:v>
                </c:pt>
                <c:pt idx="77">
                  <c:v>1128.4358214085514</c:v>
                </c:pt>
                <c:pt idx="78">
                  <c:v>1184.857612478979</c:v>
                </c:pt>
                <c:pt idx="79">
                  <c:v>1244.1004931029281</c:v>
                </c:pt>
                <c:pt idx="80">
                  <c:v>1306.3055177580745</c:v>
                </c:pt>
                <c:pt idx="81">
                  <c:v>1371.6207936459782</c:v>
                </c:pt>
                <c:pt idx="82">
                  <c:v>1440.2018333282772</c:v>
                </c:pt>
                <c:pt idx="83">
                  <c:v>1512.2119249946911</c:v>
                </c:pt>
                <c:pt idx="84">
                  <c:v>1587.8225212444258</c:v>
                </c:pt>
                <c:pt idx="85">
                  <c:v>1667.2136473066473</c:v>
                </c:pt>
                <c:pt idx="86">
                  <c:v>1750.5743296719797</c:v>
                </c:pt>
                <c:pt idx="87">
                  <c:v>1838.1030461555788</c:v>
                </c:pt>
                <c:pt idx="88">
                  <c:v>1930.0081984633578</c:v>
                </c:pt>
                <c:pt idx="89">
                  <c:v>2026.5086083865258</c:v>
                </c:pt>
                <c:pt idx="90">
                  <c:v>2127.8340388058523</c:v>
                </c:pt>
                <c:pt idx="91">
                  <c:v>2234.2257407461452</c:v>
                </c:pt>
                <c:pt idx="92">
                  <c:v>2345.9370277834528</c:v>
                </c:pt>
                <c:pt idx="93">
                  <c:v>2463.2338791726256</c:v>
                </c:pt>
                <c:pt idx="94">
                  <c:v>2586.3955731312572</c:v>
                </c:pt>
                <c:pt idx="95">
                  <c:v>2715.7153517878201</c:v>
                </c:pt>
                <c:pt idx="96">
                  <c:v>2851.5011193772111</c:v>
                </c:pt>
                <c:pt idx="97">
                  <c:v>2994.076175346072</c:v>
                </c:pt>
                <c:pt idx="98">
                  <c:v>3143.7799841133756</c:v>
                </c:pt>
                <c:pt idx="99">
                  <c:v>3300.9689833190446</c:v>
                </c:pt>
                <c:pt idx="100">
                  <c:v>3466.0174324849968</c:v>
                </c:pt>
                <c:pt idx="101">
                  <c:v>3639.3183041092466</c:v>
                </c:pt>
                <c:pt idx="102">
                  <c:v>3821.2842193147089</c:v>
                </c:pt>
                <c:pt idx="103">
                  <c:v>4012.3484302804445</c:v>
                </c:pt>
                <c:pt idx="104">
                  <c:v>4212.9658517944672</c:v>
                </c:pt>
                <c:pt idx="105">
                  <c:v>4423.6141443841907</c:v>
                </c:pt>
                <c:pt idx="106">
                  <c:v>4644.7948516034003</c:v>
                </c:pt>
                <c:pt idx="107">
                  <c:v>4877.0345941835703</c:v>
                </c:pt>
                <c:pt idx="108">
                  <c:v>5120.8863238927488</c:v>
                </c:pt>
                <c:pt idx="109">
                  <c:v>5376.9306400873866</c:v>
                </c:pt>
                <c:pt idx="110">
                  <c:v>5645.7771720917563</c:v>
                </c:pt>
                <c:pt idx="111">
                  <c:v>5928.0660306963446</c:v>
                </c:pt>
                <c:pt idx="112">
                  <c:v>6224.4693322311623</c:v>
                </c:pt>
                <c:pt idx="113">
                  <c:v>6535.6927988427205</c:v>
                </c:pt>
                <c:pt idx="114">
                  <c:v>6862.4774387848565</c:v>
                </c:pt>
                <c:pt idx="115">
                  <c:v>7205.6013107240997</c:v>
                </c:pt>
                <c:pt idx="116">
                  <c:v>7565.8813762603049</c:v>
                </c:pt>
                <c:pt idx="117">
                  <c:v>7944.1754450733206</c:v>
                </c:pt>
                <c:pt idx="118">
                  <c:v>8341.3842173269877</c:v>
                </c:pt>
                <c:pt idx="119">
                  <c:v>8758.4534281933375</c:v>
                </c:pt>
                <c:pt idx="120">
                  <c:v>9196.3760996030051</c:v>
                </c:pt>
                <c:pt idx="121">
                  <c:v>9656.1949045831552</c:v>
                </c:pt>
                <c:pt idx="122">
                  <c:v>10139.004649812314</c:v>
                </c:pt>
                <c:pt idx="123">
                  <c:v>10645.954882302929</c:v>
                </c:pt>
                <c:pt idx="124">
                  <c:v>11178.252626418076</c:v>
                </c:pt>
                <c:pt idx="125">
                  <c:v>11737.16525773898</c:v>
                </c:pt>
                <c:pt idx="126">
                  <c:v>12324.023520625929</c:v>
                </c:pt>
                <c:pt idx="127">
                  <c:v>12940.224696657226</c:v>
                </c:pt>
                <c:pt idx="128">
                  <c:v>13587.235931490088</c:v>
                </c:pt>
                <c:pt idx="129">
                  <c:v>14266.597728064593</c:v>
                </c:pt>
                <c:pt idx="130">
                  <c:v>14979.927614467822</c:v>
                </c:pt>
                <c:pt idx="131">
                  <c:v>15728.923995191215</c:v>
                </c:pt>
                <c:pt idx="132">
                  <c:v>16515.370194950778</c:v>
                </c:pt>
                <c:pt idx="133">
                  <c:v>17341.138704698318</c:v>
                </c:pt>
                <c:pt idx="134">
                  <c:v>18208.195639933234</c:v>
                </c:pt>
                <c:pt idx="135">
                  <c:v>19118.605421929897</c:v>
                </c:pt>
                <c:pt idx="136">
                  <c:v>20074.535693026392</c:v>
                </c:pt>
                <c:pt idx="137">
                  <c:v>21078.262477677712</c:v>
                </c:pt>
                <c:pt idx="138">
                  <c:v>22132.175601561597</c:v>
                </c:pt>
                <c:pt idx="139">
                  <c:v>23238.784381639678</c:v>
                </c:pt>
                <c:pt idx="140">
                  <c:v>24400.723600721663</c:v>
                </c:pt>
                <c:pt idx="141">
                  <c:v>25620.759780757748</c:v>
                </c:pt>
                <c:pt idx="142">
                  <c:v>26901.797769795638</c:v>
                </c:pt>
                <c:pt idx="143">
                  <c:v>28246.887658285421</c:v>
                </c:pt>
                <c:pt idx="144">
                  <c:v>29659.232041199692</c:v>
                </c:pt>
                <c:pt idx="145">
                  <c:v>31142.193643259678</c:v>
                </c:pt>
                <c:pt idx="146">
                  <c:v>32699.303325422661</c:v>
                </c:pt>
                <c:pt idx="147">
                  <c:v>34334.268491693794</c:v>
                </c:pt>
                <c:pt idx="148">
                  <c:v>36050.981916278484</c:v>
                </c:pt>
                <c:pt idx="149">
                  <c:v>37853.531012092411</c:v>
                </c:pt>
                <c:pt idx="150">
                  <c:v>39746.207562697033</c:v>
                </c:pt>
                <c:pt idx="151">
                  <c:v>41733.517940831887</c:v>
                </c:pt>
                <c:pt idx="152">
                  <c:v>43820.193837873485</c:v>
                </c:pt>
                <c:pt idx="153">
                  <c:v>46011.203529767161</c:v>
                </c:pt>
                <c:pt idx="154">
                  <c:v>48311.763706255522</c:v>
                </c:pt>
                <c:pt idx="155">
                  <c:v>50727.351891568302</c:v>
                </c:pt>
                <c:pt idx="156">
                  <c:v>53263.719486146721</c:v>
                </c:pt>
                <c:pt idx="157">
                  <c:v>55926.905460454058</c:v>
                </c:pt>
                <c:pt idx="158">
                  <c:v>58723.250733476765</c:v>
                </c:pt>
                <c:pt idx="159">
                  <c:v>61659.41327015061</c:v>
                </c:pt>
                <c:pt idx="160">
                  <c:v>64742.383933658144</c:v>
                </c:pt>
                <c:pt idx="161">
                  <c:v>67979.503130341051</c:v>
                </c:pt>
                <c:pt idx="162">
                  <c:v>71378.47828685811</c:v>
                </c:pt>
                <c:pt idx="163">
                  <c:v>74947.402201201025</c:v>
                </c:pt>
                <c:pt idx="164">
                  <c:v>78694.772311261084</c:v>
                </c:pt>
                <c:pt idx="165">
                  <c:v>82629.510926824136</c:v>
                </c:pt>
                <c:pt idx="166">
                  <c:v>86760.986473165351</c:v>
                </c:pt>
                <c:pt idx="167">
                  <c:v>91099.03579682362</c:v>
                </c:pt>
                <c:pt idx="168">
                  <c:v>95653.987586664807</c:v>
                </c:pt>
                <c:pt idx="169">
                  <c:v>100436.68696599806</c:v>
                </c:pt>
                <c:pt idx="170">
                  <c:v>105458.52131429796</c:v>
                </c:pt>
                <c:pt idx="171">
                  <c:v>110731.44738001286</c:v>
                </c:pt>
                <c:pt idx="172">
                  <c:v>116268.0197490135</c:v>
                </c:pt>
                <c:pt idx="173">
                  <c:v>122081.42073646418</c:v>
                </c:pt>
                <c:pt idx="174">
                  <c:v>128185.49177328739</c:v>
                </c:pt>
                <c:pt idx="175">
                  <c:v>134594.76636195177</c:v>
                </c:pt>
                <c:pt idx="176">
                  <c:v>141324.50468004937</c:v>
                </c:pt>
                <c:pt idx="177">
                  <c:v>148390.72991405186</c:v>
                </c:pt>
                <c:pt idx="178">
                  <c:v>155810.26640975446</c:v>
                </c:pt>
                <c:pt idx="179">
                  <c:v>163600.77973024218</c:v>
                </c:pt>
                <c:pt idx="180">
                  <c:v>171780.81871675429</c:v>
                </c:pt>
                <c:pt idx="181">
                  <c:v>180369.85965259201</c:v>
                </c:pt>
                <c:pt idx="182">
                  <c:v>189388.35263522161</c:v>
                </c:pt>
                <c:pt idx="183">
                  <c:v>198857.7702669827</c:v>
                </c:pt>
                <c:pt idx="184">
                  <c:v>208800.65878033184</c:v>
                </c:pt>
                <c:pt idx="185">
                  <c:v>219240.69171934846</c:v>
                </c:pt>
                <c:pt idx="186">
                  <c:v>230202.72630531588</c:v>
                </c:pt>
                <c:pt idx="187">
                  <c:v>241712.8626205817</c:v>
                </c:pt>
                <c:pt idx="188">
                  <c:v>253798.50575161079</c:v>
                </c:pt>
                <c:pt idx="189">
                  <c:v>266488.43103919132</c:v>
                </c:pt>
                <c:pt idx="190">
                  <c:v>279812.85259115091</c:v>
                </c:pt>
                <c:pt idx="191">
                  <c:v>293803.49522070849</c:v>
                </c:pt>
                <c:pt idx="192">
                  <c:v>308493.66998174391</c:v>
                </c:pt>
                <c:pt idx="193">
                  <c:v>323918.35348083114</c:v>
                </c:pt>
                <c:pt idx="194">
                  <c:v>340114.27115487272</c:v>
                </c:pt>
                <c:pt idx="195">
                  <c:v>357119.98471261637</c:v>
                </c:pt>
                <c:pt idx="196">
                  <c:v>374975.98394824722</c:v>
                </c:pt>
                <c:pt idx="197">
                  <c:v>393724.7831456596</c:v>
                </c:pt>
                <c:pt idx="198">
                  <c:v>413411.02230294258</c:v>
                </c:pt>
                <c:pt idx="199">
                  <c:v>434081.57341808971</c:v>
                </c:pt>
                <c:pt idx="200">
                  <c:v>455785.65208899422</c:v>
                </c:pt>
                <c:pt idx="201">
                  <c:v>478574.93469344394</c:v>
                </c:pt>
                <c:pt idx="202">
                  <c:v>502503.68142811616</c:v>
                </c:pt>
                <c:pt idx="203">
                  <c:v>527628.86549952195</c:v>
                </c:pt>
                <c:pt idx="204">
                  <c:v>554010.30877449806</c:v>
                </c:pt>
                <c:pt idx="205">
                  <c:v>581710.82421322295</c:v>
                </c:pt>
                <c:pt idx="206">
                  <c:v>610796.36542388413</c:v>
                </c:pt>
                <c:pt idx="207">
                  <c:v>641336.18369507836</c:v>
                </c:pt>
                <c:pt idx="208">
                  <c:v>673402.99287983228</c:v>
                </c:pt>
                <c:pt idx="209">
                  <c:v>707073.14252382389</c:v>
                </c:pt>
                <c:pt idx="210">
                  <c:v>742426.79965001508</c:v>
                </c:pt>
                <c:pt idx="211">
                  <c:v>779548.13963251584</c:v>
                </c:pt>
                <c:pt idx="212">
                  <c:v>818525.54661414167</c:v>
                </c:pt>
                <c:pt idx="213">
                  <c:v>859451.82394484885</c:v>
                </c:pt>
                <c:pt idx="214">
                  <c:v>902424.41514209134</c:v>
                </c:pt>
                <c:pt idx="215">
                  <c:v>947545.63589919591</c:v>
                </c:pt>
                <c:pt idx="216">
                  <c:v>994922.91769415571</c:v>
                </c:pt>
                <c:pt idx="217">
                  <c:v>1044669.0635788635</c:v>
                </c:pt>
                <c:pt idx="218">
                  <c:v>1096902.5167578068</c:v>
                </c:pt>
                <c:pt idx="219">
                  <c:v>1151747.6425956972</c:v>
                </c:pt>
                <c:pt idx="220">
                  <c:v>1209335.0247254821</c:v>
                </c:pt>
                <c:pt idx="221">
                  <c:v>1269801.7759617562</c:v>
                </c:pt>
                <c:pt idx="222">
                  <c:v>1333291.864759844</c:v>
                </c:pt>
                <c:pt idx="223">
                  <c:v>1399956.4579978364</c:v>
                </c:pt>
                <c:pt idx="224">
                  <c:v>1469954.2808977284</c:v>
                </c:pt>
                <c:pt idx="225">
                  <c:v>1543451.9949426148</c:v>
                </c:pt>
                <c:pt idx="226">
                  <c:v>1620624.5946897457</c:v>
                </c:pt>
                <c:pt idx="227">
                  <c:v>1701655.8244242331</c:v>
                </c:pt>
                <c:pt idx="228">
                  <c:v>1786738.6156454447</c:v>
                </c:pt>
                <c:pt idx="229">
                  <c:v>1876075.546427717</c:v>
                </c:pt>
                <c:pt idx="230">
                  <c:v>1969879.3237491029</c:v>
                </c:pt>
                <c:pt idx="231">
                  <c:v>2068373.2899365581</c:v>
                </c:pt>
                <c:pt idx="232">
                  <c:v>2171791.9544333862</c:v>
                </c:pt>
                <c:pt idx="233">
                  <c:v>2280381.5521550556</c:v>
                </c:pt>
                <c:pt idx="234">
                  <c:v>2394400.6297628083</c:v>
                </c:pt>
                <c:pt idx="235">
                  <c:v>2514120.6612509489</c:v>
                </c:pt>
                <c:pt idx="236">
                  <c:v>2639826.6943134964</c:v>
                </c:pt>
                <c:pt idx="237">
                  <c:v>2771818.0290291714</c:v>
                </c:pt>
                <c:pt idx="238">
                  <c:v>2910408.9304806301</c:v>
                </c:pt>
                <c:pt idx="239">
                  <c:v>3055929.3770046616</c:v>
                </c:pt>
              </c:numCache>
            </c:numRef>
          </c:xVal>
          <c:yVal>
            <c:numRef>
              <c:f>Coordenograma!$M$3:$M$242</c:f>
              <c:numCache>
                <c:formatCode>General</c:formatCode>
                <c:ptCount val="240"/>
                <c:pt idx="0">
                  <c:v>133.88336857863715</c:v>
                </c:pt>
                <c:pt idx="1">
                  <c:v>65.308960282262063</c:v>
                </c:pt>
                <c:pt idx="2">
                  <c:v>42.468951174825428</c:v>
                </c:pt>
                <c:pt idx="3">
                  <c:v>31.062525699054497</c:v>
                </c:pt>
                <c:pt idx="4">
                  <c:v>24.229515601251389</c:v>
                </c:pt>
                <c:pt idx="5">
                  <c:v>19.683193870494382</c:v>
                </c:pt>
                <c:pt idx="6">
                  <c:v>16.44353102178998</c:v>
                </c:pt>
                <c:pt idx="7">
                  <c:v>14.020509172138187</c:v>
                </c:pt>
                <c:pt idx="8">
                  <c:v>12.141893403824483</c:v>
                </c:pt>
                <c:pt idx="9">
                  <c:v>10.644340313788126</c:v>
                </c:pt>
                <c:pt idx="10">
                  <c:v>9.4239019032868061</c:v>
                </c:pt>
                <c:pt idx="11">
                  <c:v>8.4112775259208288</c:v>
                </c:pt>
                <c:pt idx="12">
                  <c:v>7.5584880163398669</c:v>
                </c:pt>
                <c:pt idx="13">
                  <c:v>6.8312609091914975</c:v>
                </c:pt>
                <c:pt idx="14">
                  <c:v>6.2044615727656733</c:v>
                </c:pt>
                <c:pt idx="15">
                  <c:v>5.6592376695562177</c:v>
                </c:pt>
                <c:pt idx="16">
                  <c:v>5.1811714560866946</c:v>
                </c:pt>
                <c:pt idx="17">
                  <c:v>4.7590479844113975</c:v>
                </c:pt>
                <c:pt idx="18">
                  <c:v>4.3840122940519706</c:v>
                </c:pt>
                <c:pt idx="19">
                  <c:v>4.0489794476228962</c:v>
                </c:pt>
                <c:pt idx="20">
                  <c:v>3.7482131288239464</c:v>
                </c:pt>
                <c:pt idx="21">
                  <c:v>3.477019169229207</c:v>
                </c:pt>
                <c:pt idx="22">
                  <c:v>3.2315190254557025</c:v>
                </c:pt>
                <c:pt idx="23">
                  <c:v>3.0084798877659686</c:v>
                </c:pt>
                <c:pt idx="24">
                  <c:v>2.8051855632209155</c:v>
                </c:pt>
                <c:pt idx="25">
                  <c:v>2.6193371555401663</c:v>
                </c:pt>
                <c:pt idx="26">
                  <c:v>2.4489758165213344</c:v>
                </c:pt>
                <c:pt idx="27">
                  <c:v>2.2924220510553441</c:v>
                </c:pt>
                <c:pt idx="28">
                  <c:v>2.148227579972215</c:v>
                </c:pt>
                <c:pt idx="29">
                  <c:v>2.015136830490099</c:v>
                </c:pt>
                <c:pt idx="30">
                  <c:v>1.8920558802291183</c:v>
                </c:pt>
                <c:pt idx="31">
                  <c:v>1.7780272242624486</c:v>
                </c:pt>
                <c:pt idx="32">
                  <c:v>1.6722091299579258</c:v>
                </c:pt>
                <c:pt idx="33">
                  <c:v>1.5738586350113493</c:v>
                </c:pt>
                <c:pt idx="34">
                  <c:v>1.4823174599826274</c:v>
                </c:pt>
                <c:pt idx="35">
                  <c:v>1.3970002685785781</c:v>
                </c:pt>
                <c:pt idx="36">
                  <c:v>1.3173848314699432</c:v>
                </c:pt>
                <c:pt idx="37">
                  <c:v>1.2430037429505147</c:v>
                </c:pt>
                <c:pt idx="38">
                  <c:v>1.173437411685089</c:v>
                </c:pt>
                <c:pt idx="39">
                  <c:v>1.1083081025456234</c:v>
                </c:pt>
                <c:pt idx="40">
                  <c:v>1.0472748500493145</c:v>
                </c:pt>
                <c:pt idx="41">
                  <c:v>0.99002909810218365</c:v>
                </c:pt>
                <c:pt idx="42">
                  <c:v>0.93629094778567701</c:v>
                </c:pt>
                <c:pt idx="43">
                  <c:v>0.88580591642802842</c:v>
                </c:pt>
                <c:pt idx="44">
                  <c:v>0.83834212840557332</c:v>
                </c:pt>
                <c:pt idx="45">
                  <c:v>0.79368787195673507</c:v>
                </c:pt>
                <c:pt idx="46">
                  <c:v>0.7516494674791997</c:v>
                </c:pt>
                <c:pt idx="47">
                  <c:v>0.71204940187086507</c:v>
                </c:pt>
                <c:pt idx="48">
                  <c:v>0.67472469089559062</c:v>
                </c:pt>
                <c:pt idx="49">
                  <c:v>0.63952543763951153</c:v>
                </c:pt>
                <c:pt idx="50">
                  <c:v>0.60631356013460302</c:v>
                </c:pt>
                <c:pt idx="51">
                  <c:v>0.5749616653697921</c:v>
                </c:pt>
                <c:pt idx="52">
                  <c:v>0.54535205034984457</c:v>
                </c:pt>
                <c:pt idx="53">
                  <c:v>0.51737581372882702</c:v>
                </c:pt>
                <c:pt idx="54">
                  <c:v>0.49093206394237249</c:v>
                </c:pt>
                <c:pt idx="55">
                  <c:v>0.46592721177507501</c:v>
                </c:pt>
                <c:pt idx="56">
                  <c:v>0.44227433699365781</c:v>
                </c:pt>
                <c:pt idx="57">
                  <c:v>0.41989262010792899</c:v>
                </c:pt>
                <c:pt idx="58">
                  <c:v>0.3987068315344986</c:v>
                </c:pt>
                <c:pt idx="59">
                  <c:v>0.37864687146918746</c:v>
                </c:pt>
                <c:pt idx="60">
                  <c:v>0.35964735465285208</c:v>
                </c:pt>
                <c:pt idx="61">
                  <c:v>0.341647234966519</c:v>
                </c:pt>
                <c:pt idx="62">
                  <c:v>0.32458946543552392</c:v>
                </c:pt>
                <c:pt idx="63">
                  <c:v>0.30842068977555859</c:v>
                </c:pt>
                <c:pt idx="64">
                  <c:v>0.29309096209009128</c:v>
                </c:pt>
                <c:pt idx="65">
                  <c:v>0.27855349174014199</c:v>
                </c:pt>
                <c:pt idx="66">
                  <c:v>0.26476441076358498</c:v>
                </c:pt>
                <c:pt idx="67">
                  <c:v>0.25168256153014512</c:v>
                </c:pt>
                <c:pt idx="68">
                  <c:v>0.23926930258690124</c:v>
                </c:pt>
                <c:pt idx="69">
                  <c:v>0.22748833088316678</c:v>
                </c:pt>
                <c:pt idx="70">
                  <c:v>0.21630551876796239</c:v>
                </c:pt>
                <c:pt idx="71">
                  <c:v>0.20568876433205663</c:v>
                </c:pt>
                <c:pt idx="72">
                  <c:v>0.19560785382323259</c:v>
                </c:pt>
                <c:pt idx="73">
                  <c:v>0.1860343350010247</c:v>
                </c:pt>
                <c:pt idx="74">
                  <c:v>0.17694140041821635</c:v>
                </c:pt>
                <c:pt idx="75">
                  <c:v>0.1683037797230614</c:v>
                </c:pt>
                <c:pt idx="76">
                  <c:v>0.16009764017037226</c:v>
                </c:pt>
                <c:pt idx="77">
                  <c:v>0.15230049461289752</c:v>
                </c:pt>
                <c:pt idx="78">
                  <c:v>0.14489111631818066</c:v>
                </c:pt>
                <c:pt idx="79">
                  <c:v>0.13784946002153536</c:v>
                </c:pt>
                <c:pt idx="80">
                  <c:v>0.13115658868392502</c:v>
                </c:pt>
                <c:pt idx="81">
                  <c:v>0.12479460547528144</c:v>
                </c:pt>
                <c:pt idx="82">
                  <c:v>0.11874659054991631</c:v>
                </c:pt>
                <c:pt idx="83">
                  <c:v>0.11299654222184097</c:v>
                </c:pt>
                <c:pt idx="84">
                  <c:v>0.10752932218459665</c:v>
                </c:pt>
                <c:pt idx="85">
                  <c:v>0.10233060445312292</c:v>
                </c:pt>
                <c:pt idx="86">
                  <c:v>9.7386827734698464E-2</c:v>
                </c:pt>
                <c:pt idx="87">
                  <c:v>9.2685150962468446E-2</c:v>
                </c:pt>
                <c:pt idx="88">
                  <c:v>8.8213411748864573E-2</c:v>
                </c:pt>
                <c:pt idx="89">
                  <c:v>8.3960087537629818E-2</c:v>
                </c:pt>
                <c:pt idx="90">
                  <c:v>7.9914259252443151E-2</c:v>
                </c:pt>
                <c:pt idx="91">
                  <c:v>7.6065577257529576E-2</c:v>
                </c:pt>
                <c:pt idx="92">
                  <c:v>7.2404229461345157E-2</c:v>
                </c:pt>
                <c:pt idx="93">
                  <c:v>6.892091140862365E-2</c:v>
                </c:pt>
                <c:pt idx="94">
                  <c:v>0.05</c:v>
                </c:pt>
                <c:pt idx="95">
                  <c:v>0.05</c:v>
                </c:pt>
                <c:pt idx="96">
                  <c:v>0.05</c:v>
                </c:pt>
                <c:pt idx="97">
                  <c:v>0.05</c:v>
                </c:pt>
                <c:pt idx="98">
                  <c:v>0.05</c:v>
                </c:pt>
                <c:pt idx="99">
                  <c:v>0.05</c:v>
                </c:pt>
                <c:pt idx="100">
                  <c:v>0.05</c:v>
                </c:pt>
                <c:pt idx="101">
                  <c:v>0.05</c:v>
                </c:pt>
                <c:pt idx="102">
                  <c:v>0.05</c:v>
                </c:pt>
                <c:pt idx="103">
                  <c:v>0.05</c:v>
                </c:pt>
                <c:pt idx="104">
                  <c:v>0.05</c:v>
                </c:pt>
                <c:pt idx="105">
                  <c:v>0.05</c:v>
                </c:pt>
                <c:pt idx="106">
                  <c:v>0.05</c:v>
                </c:pt>
                <c:pt idx="107">
                  <c:v>0.05</c:v>
                </c:pt>
                <c:pt idx="108">
                  <c:v>0.05</c:v>
                </c:pt>
                <c:pt idx="109">
                  <c:v>0.05</c:v>
                </c:pt>
                <c:pt idx="110">
                  <c:v>0.05</c:v>
                </c:pt>
                <c:pt idx="111">
                  <c:v>0.05</c:v>
                </c:pt>
                <c:pt idx="112">
                  <c:v>0.05</c:v>
                </c:pt>
                <c:pt idx="113">
                  <c:v>0.05</c:v>
                </c:pt>
                <c:pt idx="114">
                  <c:v>0.05</c:v>
                </c:pt>
                <c:pt idx="115">
                  <c:v>0.05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0.05</c:v>
                </c:pt>
                <c:pt idx="132">
                  <c:v>0.05</c:v>
                </c:pt>
                <c:pt idx="133">
                  <c:v>0.05</c:v>
                </c:pt>
                <c:pt idx="134">
                  <c:v>0.05</c:v>
                </c:pt>
                <c:pt idx="135">
                  <c:v>0.05</c:v>
                </c:pt>
                <c:pt idx="136">
                  <c:v>0.05</c:v>
                </c:pt>
                <c:pt idx="137">
                  <c:v>0.05</c:v>
                </c:pt>
                <c:pt idx="138">
                  <c:v>0.05</c:v>
                </c:pt>
                <c:pt idx="139">
                  <c:v>0.05</c:v>
                </c:pt>
                <c:pt idx="140">
                  <c:v>0.05</c:v>
                </c:pt>
                <c:pt idx="141">
                  <c:v>0.05</c:v>
                </c:pt>
                <c:pt idx="142">
                  <c:v>0.05</c:v>
                </c:pt>
                <c:pt idx="143">
                  <c:v>0.05</c:v>
                </c:pt>
                <c:pt idx="144">
                  <c:v>0.05</c:v>
                </c:pt>
                <c:pt idx="145">
                  <c:v>0.05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0.05</c:v>
                </c:pt>
                <c:pt idx="156">
                  <c:v>0.05</c:v>
                </c:pt>
                <c:pt idx="157">
                  <c:v>0.05</c:v>
                </c:pt>
                <c:pt idx="158">
                  <c:v>0.05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0.05</c:v>
                </c:pt>
                <c:pt idx="169">
                  <c:v>0.05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0.05</c:v>
                </c:pt>
                <c:pt idx="188">
                  <c:v>0.05</c:v>
                </c:pt>
                <c:pt idx="189">
                  <c:v>0.05</c:v>
                </c:pt>
                <c:pt idx="190">
                  <c:v>0.05</c:v>
                </c:pt>
                <c:pt idx="191">
                  <c:v>0.05</c:v>
                </c:pt>
                <c:pt idx="192">
                  <c:v>0.05</c:v>
                </c:pt>
                <c:pt idx="193">
                  <c:v>0.05</c:v>
                </c:pt>
                <c:pt idx="194">
                  <c:v>0.05</c:v>
                </c:pt>
                <c:pt idx="195">
                  <c:v>0.05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0.05</c:v>
                </c:pt>
                <c:pt idx="221">
                  <c:v>0.05</c:v>
                </c:pt>
                <c:pt idx="222">
                  <c:v>0.05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0.05</c:v>
                </c:pt>
                <c:pt idx="229">
                  <c:v>0.05</c:v>
                </c:pt>
                <c:pt idx="230">
                  <c:v>0.05</c:v>
                </c:pt>
                <c:pt idx="231">
                  <c:v>0.05</c:v>
                </c:pt>
                <c:pt idx="232">
                  <c:v>0.05</c:v>
                </c:pt>
                <c:pt idx="233">
                  <c:v>0.05</c:v>
                </c:pt>
                <c:pt idx="234">
                  <c:v>0.05</c:v>
                </c:pt>
                <c:pt idx="235">
                  <c:v>0.05</c:v>
                </c:pt>
                <c:pt idx="236">
                  <c:v>0.05</c:v>
                </c:pt>
                <c:pt idx="237">
                  <c:v>0.05</c:v>
                </c:pt>
                <c:pt idx="238">
                  <c:v>0.05</c:v>
                </c:pt>
                <c:pt idx="239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AC-42FE-B3A8-4431CB6EAF12}"/>
            </c:ext>
          </c:extLst>
        </c:ser>
        <c:ser>
          <c:idx val="1"/>
          <c:order val="1"/>
          <c:tx>
            <c:strRef>
              <c:f>Coordenograma!$C$9</c:f>
              <c:strCache>
                <c:ptCount val="1"/>
                <c:pt idx="0">
                  <c:v>Corrente ANSI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4"/>
              </a:solidFill>
              <a:ln w="6350" cap="flat" cmpd="sng" algn="ctr">
                <a:solidFill>
                  <a:schemeClr val="accent4"/>
                </a:solidFill>
                <a:prstDash val="solid"/>
                <a:round/>
              </a:ln>
              <a:effectLst/>
            </c:spPr>
          </c:marker>
          <c:xVal>
            <c:numRef>
              <c:f>Coordenograma!$B$9</c:f>
              <c:numCache>
                <c:formatCode>0.0</c:formatCode>
                <c:ptCount val="1"/>
                <c:pt idx="0">
                  <c:v>380.33614571121592</c:v>
                </c:pt>
              </c:numCache>
            </c:numRef>
          </c:xVal>
          <c:yVal>
            <c:numRef>
              <c:f>Coordenograma!$B$10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AC-42FE-B3A8-4431CB6EAF12}"/>
            </c:ext>
          </c:extLst>
        </c:ser>
        <c:ser>
          <c:idx val="2"/>
          <c:order val="2"/>
          <c:tx>
            <c:strRef>
              <c:f>Coordenograma!$C$11</c:f>
              <c:strCache>
                <c:ptCount val="1"/>
                <c:pt idx="0">
                  <c:v>Corrente de Magnetização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6"/>
              </a:solidFill>
              <a:ln w="6350" cap="flat" cmpd="sng" algn="ctr">
                <a:solidFill>
                  <a:schemeClr val="accent6"/>
                </a:solidFill>
                <a:prstDash val="solid"/>
                <a:round/>
              </a:ln>
              <a:effectLst/>
            </c:spPr>
          </c:marker>
          <c:xVal>
            <c:numRef>
              <c:f>Coordenograma!$B$11</c:f>
              <c:numCache>
                <c:formatCode>0.0</c:formatCode>
                <c:ptCount val="1"/>
                <c:pt idx="0">
                  <c:v>167.347904112935</c:v>
                </c:pt>
              </c:numCache>
            </c:numRef>
          </c:xVal>
          <c:yVal>
            <c:numRef>
              <c:f>Coordenograma!$B$12</c:f>
              <c:numCache>
                <c:formatCode>General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AC-42FE-B3A8-4431CB6EAF12}"/>
            </c:ext>
          </c:extLst>
        </c:ser>
        <c:ser>
          <c:idx val="3"/>
          <c:order val="3"/>
          <c:tx>
            <c:strRef>
              <c:f>Coordenograma!$C$13</c:f>
              <c:strCache>
                <c:ptCount val="1"/>
                <c:pt idx="0">
                  <c:v>Corrente nominal do trafo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noFill/>
              <a:ln w="6350" cap="flat" cmpd="sng" algn="ctr">
                <a:solidFill>
                  <a:schemeClr val="accent2">
                    <a:lumMod val="6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Coordenograma!$B$13</c:f>
              <c:numCache>
                <c:formatCode>0.00</c:formatCode>
                <c:ptCount val="1"/>
                <c:pt idx="0">
                  <c:v>20.918488014116875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5DAC-42FE-B3A8-4431CB6EA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</c:scatterChart>
      <c:valAx>
        <c:axId val="205394110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corrente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935"/>
        <c:crosses val="autoZero"/>
        <c:crossBetween val="midCat"/>
      </c:valAx>
      <c:valAx>
        <c:axId val="2053941935"/>
        <c:scaling>
          <c:logBase val="10"/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103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50/51N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5"/>
          <c:order val="1"/>
          <c:tx>
            <c:strRef>
              <c:f>Coordenograma!$C$22</c:f>
              <c:strCache>
                <c:ptCount val="1"/>
                <c:pt idx="0">
                  <c:v>Corrente de falta FT min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4">
                  <a:lumMod val="60000"/>
                </a:schemeClr>
              </a:solidFill>
              <a:ln w="6350" cap="flat" cmpd="sng" algn="ctr">
                <a:solidFill>
                  <a:schemeClr val="accent4">
                    <a:lumMod val="6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Coordenograma!$B$22</c:f>
              <c:numCache>
                <c:formatCode>0.00</c:formatCode>
                <c:ptCount val="1"/>
                <c:pt idx="0">
                  <c:v>78.325972099303485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E91-430D-BB01-C7FB17E8B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</c:scatterChart>
      <c:scatterChart>
        <c:scatterStyle val="smoothMarker"/>
        <c:varyColors val="0"/>
        <c:ser>
          <c:idx val="4"/>
          <c:order val="0"/>
          <c:tx>
            <c:strRef>
              <c:f>Coordenograma!$AB$2</c:f>
              <c:strCache>
                <c:ptCount val="1"/>
                <c:pt idx="0">
                  <c:v>50/51N da Carga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Coordenograma!$U$3:$U$242</c:f>
              <c:numCache>
                <c:formatCode>General</c:formatCode>
                <c:ptCount val="240"/>
                <c:pt idx="0">
                  <c:v>5.2714589795574529</c:v>
                </c:pt>
                <c:pt idx="1">
                  <c:v>5.535031928535326</c:v>
                </c:pt>
                <c:pt idx="2">
                  <c:v>5.8117835249620926</c:v>
                </c:pt>
                <c:pt idx="3">
                  <c:v>6.1023727012101974</c:v>
                </c:pt>
                <c:pt idx="4">
                  <c:v>6.4074913362707075</c:v>
                </c:pt>
                <c:pt idx="5">
                  <c:v>6.7278659030842434</c:v>
                </c:pt>
                <c:pt idx="6">
                  <c:v>7.0642591982384557</c:v>
                </c:pt>
                <c:pt idx="7">
                  <c:v>7.4174721581503791</c:v>
                </c:pt>
                <c:pt idx="8">
                  <c:v>7.7883457660578985</c:v>
                </c:pt>
                <c:pt idx="9">
                  <c:v>8.1777630543607938</c:v>
                </c:pt>
                <c:pt idx="10">
                  <c:v>8.5866512070788339</c:v>
                </c:pt>
                <c:pt idx="11">
                  <c:v>9.0159837674327754</c:v>
                </c:pt>
                <c:pt idx="12">
                  <c:v>9.4667829558044154</c:v>
                </c:pt>
                <c:pt idx="13">
                  <c:v>9.9401221035946374</c:v>
                </c:pt>
                <c:pt idx="14">
                  <c:v>10.43712820877437</c:v>
                </c:pt>
                <c:pt idx="15">
                  <c:v>10.958984619213089</c:v>
                </c:pt>
                <c:pt idx="16">
                  <c:v>11.506933850173743</c:v>
                </c:pt>
                <c:pt idx="17">
                  <c:v>12.082280542682431</c:v>
                </c:pt>
                <c:pt idx="18">
                  <c:v>12.686394569816553</c:v>
                </c:pt>
                <c:pt idx="19">
                  <c:v>13.320714298307381</c:v>
                </c:pt>
                <c:pt idx="20">
                  <c:v>13.986750013222752</c:v>
                </c:pt>
                <c:pt idx="21">
                  <c:v>14.686087513883889</c:v>
                </c:pt>
                <c:pt idx="22">
                  <c:v>15.420391889578084</c:v>
                </c:pt>
                <c:pt idx="23">
                  <c:v>16.191411484056989</c:v>
                </c:pt>
                <c:pt idx="24">
                  <c:v>17.00098205825984</c:v>
                </c:pt>
                <c:pt idx="25">
                  <c:v>17.851031161172834</c:v>
                </c:pt>
                <c:pt idx="26">
                  <c:v>18.743582719231476</c:v>
                </c:pt>
                <c:pt idx="27">
                  <c:v>19.680761855193051</c:v>
                </c:pt>
                <c:pt idx="28">
                  <c:v>20.664799947952705</c:v>
                </c:pt>
                <c:pt idx="29">
                  <c:v>21.698039945350342</c:v>
                </c:pt>
                <c:pt idx="30">
                  <c:v>22.78294194261786</c:v>
                </c:pt>
                <c:pt idx="31">
                  <c:v>23.922089039748755</c:v>
                </c:pt>
                <c:pt idx="32">
                  <c:v>25.118193491736193</c:v>
                </c:pt>
                <c:pt idx="33">
                  <c:v>26.374103166323003</c:v>
                </c:pt>
                <c:pt idx="34">
                  <c:v>27.692808324639156</c:v>
                </c:pt>
                <c:pt idx="35">
                  <c:v>29.077448740871116</c:v>
                </c:pt>
                <c:pt idx="36">
                  <c:v>30.531321177914673</c:v>
                </c:pt>
                <c:pt idx="37">
                  <c:v>32.057887236810409</c:v>
                </c:pt>
                <c:pt idx="38">
                  <c:v>33.660781598650928</c:v>
                </c:pt>
                <c:pt idx="39">
                  <c:v>35.343820678583477</c:v>
                </c:pt>
                <c:pt idx="40">
                  <c:v>37.111011712512649</c:v>
                </c:pt>
                <c:pt idx="41">
                  <c:v>38.966562298138285</c:v>
                </c:pt>
                <c:pt idx="42">
                  <c:v>40.9148904130452</c:v>
                </c:pt>
                <c:pt idx="43">
                  <c:v>42.960634933697463</c:v>
                </c:pt>
                <c:pt idx="44">
                  <c:v>45.108666680382335</c:v>
                </c:pt>
                <c:pt idx="45">
                  <c:v>47.364100014401451</c:v>
                </c:pt>
                <c:pt idx="46">
                  <c:v>49.732305015121526</c:v>
                </c:pt>
                <c:pt idx="47">
                  <c:v>52.218920265877607</c:v>
                </c:pt>
                <c:pt idx="48">
                  <c:v>54.82986627917149</c:v>
                </c:pt>
                <c:pt idx="49">
                  <c:v>57.571359593130069</c:v>
                </c:pt>
                <c:pt idx="50">
                  <c:v>60.449927572786578</c:v>
                </c:pt>
                <c:pt idx="51">
                  <c:v>63.47242395142591</c:v>
                </c:pt>
                <c:pt idx="52">
                  <c:v>66.646045148997203</c:v>
                </c:pt>
                <c:pt idx="53">
                  <c:v>69.978347406447071</c:v>
                </c:pt>
                <c:pt idx="54">
                  <c:v>73.477264776769431</c:v>
                </c:pt>
                <c:pt idx="55">
                  <c:v>77.15112801560791</c:v>
                </c:pt>
                <c:pt idx="56">
                  <c:v>81.008684416388306</c:v>
                </c:pt>
                <c:pt idx="57">
                  <c:v>85.059118637207732</c:v>
                </c:pt>
                <c:pt idx="58">
                  <c:v>89.312074569068116</c:v>
                </c:pt>
                <c:pt idx="59">
                  <c:v>93.777678297521533</c:v>
                </c:pt>
                <c:pt idx="60">
                  <c:v>98.466562212397619</c:v>
                </c:pt>
                <c:pt idx="61">
                  <c:v>103.38989032301751</c:v>
                </c:pt>
                <c:pt idx="62">
                  <c:v>108.55938483916839</c:v>
                </c:pt>
                <c:pt idx="63">
                  <c:v>113.98735408112681</c:v>
                </c:pt>
                <c:pt idx="64">
                  <c:v>119.68672178518315</c:v>
                </c:pt>
                <c:pt idx="65">
                  <c:v>125.67105787444231</c:v>
                </c:pt>
                <c:pt idx="66">
                  <c:v>131.95461076816443</c:v>
                </c:pt>
                <c:pt idx="67">
                  <c:v>138.55234130657266</c:v>
                </c:pt>
                <c:pt idx="68">
                  <c:v>145.47995837190129</c:v>
                </c:pt>
                <c:pt idx="69">
                  <c:v>152.75395629049635</c:v>
                </c:pt>
                <c:pt idx="70">
                  <c:v>160.39165410502116</c:v>
                </c:pt>
                <c:pt idx="71">
                  <c:v>168.41123681027221</c:v>
                </c:pt>
                <c:pt idx="72">
                  <c:v>176.83179865078583</c:v>
                </c:pt>
                <c:pt idx="73">
                  <c:v>185.67338858332513</c:v>
                </c:pt>
                <c:pt idx="74">
                  <c:v>194.95705801249139</c:v>
                </c:pt>
                <c:pt idx="75">
                  <c:v>204.70491091311595</c:v>
                </c:pt>
                <c:pt idx="76">
                  <c:v>214.94015645877175</c:v>
                </c:pt>
                <c:pt idx="77">
                  <c:v>225.68716428171035</c:v>
                </c:pt>
                <c:pt idx="78">
                  <c:v>236.97152249579588</c:v>
                </c:pt>
                <c:pt idx="79">
                  <c:v>248.8200986205857</c:v>
                </c:pt>
                <c:pt idx="80">
                  <c:v>261.26110355161501</c:v>
                </c:pt>
                <c:pt idx="81">
                  <c:v>274.32415872919574</c:v>
                </c:pt>
                <c:pt idx="82">
                  <c:v>288.04036666565554</c:v>
                </c:pt>
                <c:pt idx="83">
                  <c:v>302.44238499893834</c:v>
                </c:pt>
                <c:pt idx="84">
                  <c:v>317.56450424888527</c:v>
                </c:pt>
                <c:pt idx="85">
                  <c:v>333.44272946132952</c:v>
                </c:pt>
                <c:pt idx="86">
                  <c:v>350.11486593439599</c:v>
                </c:pt>
                <c:pt idx="87">
                  <c:v>367.62060923111579</c:v>
                </c:pt>
                <c:pt idx="88">
                  <c:v>386.00163969267157</c:v>
                </c:pt>
                <c:pt idx="89">
                  <c:v>405.30172167730518</c:v>
                </c:pt>
                <c:pt idx="90">
                  <c:v>425.56680776117048</c:v>
                </c:pt>
                <c:pt idx="91">
                  <c:v>446.84514814922903</c:v>
                </c:pt>
                <c:pt idx="92">
                  <c:v>469.18740555669052</c:v>
                </c:pt>
                <c:pt idx="93">
                  <c:v>492.64677583452504</c:v>
                </c:pt>
                <c:pt idx="94">
                  <c:v>517.27911462625127</c:v>
                </c:pt>
                <c:pt idx="95">
                  <c:v>543.14307035756383</c:v>
                </c:pt>
                <c:pt idx="96">
                  <c:v>570.30022387544204</c:v>
                </c:pt>
                <c:pt idx="97">
                  <c:v>598.81523506921417</c:v>
                </c:pt>
                <c:pt idx="98">
                  <c:v>628.75599682267489</c:v>
                </c:pt>
                <c:pt idx="99">
                  <c:v>660.19379666380871</c:v>
                </c:pt>
                <c:pt idx="100">
                  <c:v>693.20348649699918</c:v>
                </c:pt>
                <c:pt idx="101">
                  <c:v>727.86366082184918</c:v>
                </c:pt>
                <c:pt idx="102">
                  <c:v>764.25684386294165</c:v>
                </c:pt>
                <c:pt idx="103">
                  <c:v>802.46968605608879</c:v>
                </c:pt>
                <c:pt idx="104">
                  <c:v>842.5931703588933</c:v>
                </c:pt>
                <c:pt idx="105">
                  <c:v>884.72282887683798</c:v>
                </c:pt>
                <c:pt idx="106">
                  <c:v>928.9589703206799</c:v>
                </c:pt>
                <c:pt idx="107">
                  <c:v>975.40691883671388</c:v>
                </c:pt>
                <c:pt idx="108">
                  <c:v>1024.1772647785497</c:v>
                </c:pt>
                <c:pt idx="109">
                  <c:v>1075.3861280174772</c:v>
                </c:pt>
                <c:pt idx="110">
                  <c:v>1129.155434418351</c:v>
                </c:pt>
                <c:pt idx="111">
                  <c:v>1185.6132061392686</c:v>
                </c:pt>
                <c:pt idx="112">
                  <c:v>1244.8938664462321</c:v>
                </c:pt>
                <c:pt idx="113">
                  <c:v>1307.1385597685437</c:v>
                </c:pt>
                <c:pt idx="114">
                  <c:v>1372.495487756971</c:v>
                </c:pt>
                <c:pt idx="115">
                  <c:v>1441.1202621448197</c:v>
                </c:pt>
                <c:pt idx="116">
                  <c:v>1513.1762752520608</c:v>
                </c:pt>
                <c:pt idx="117">
                  <c:v>1588.8350890146639</c:v>
                </c:pt>
                <c:pt idx="118">
                  <c:v>1668.2768434653972</c:v>
                </c:pt>
                <c:pt idx="119">
                  <c:v>1751.6906856386672</c:v>
                </c:pt>
                <c:pt idx="120">
                  <c:v>1839.2752199206006</c:v>
                </c:pt>
                <c:pt idx="121">
                  <c:v>1931.2389809166307</c:v>
                </c:pt>
                <c:pt idx="122">
                  <c:v>2027.8009299624623</c:v>
                </c:pt>
                <c:pt idx="123">
                  <c:v>2129.1909764605857</c:v>
                </c:pt>
                <c:pt idx="124">
                  <c:v>2235.650525283615</c:v>
                </c:pt>
                <c:pt idx="125">
                  <c:v>2347.4330515477959</c:v>
                </c:pt>
                <c:pt idx="126">
                  <c:v>2464.8047041251857</c:v>
                </c:pt>
                <c:pt idx="127">
                  <c:v>2588.0449393314452</c:v>
                </c:pt>
                <c:pt idx="128">
                  <c:v>2717.4471862980176</c:v>
                </c:pt>
                <c:pt idx="129">
                  <c:v>2853.3195456129188</c:v>
                </c:pt>
                <c:pt idx="130">
                  <c:v>2995.9855228935648</c:v>
                </c:pt>
                <c:pt idx="131">
                  <c:v>3145.7847990382434</c:v>
                </c:pt>
                <c:pt idx="132">
                  <c:v>3303.0740389901557</c:v>
                </c:pt>
                <c:pt idx="133">
                  <c:v>3468.2277409396638</c:v>
                </c:pt>
                <c:pt idx="134">
                  <c:v>3641.6391279866471</c:v>
                </c:pt>
                <c:pt idx="135">
                  <c:v>3823.7210843859798</c:v>
                </c:pt>
                <c:pt idx="136">
                  <c:v>4014.9071386052788</c:v>
                </c:pt>
                <c:pt idx="137">
                  <c:v>4215.6524955355426</c:v>
                </c:pt>
                <c:pt idx="138">
                  <c:v>4426.4351203123197</c:v>
                </c:pt>
                <c:pt idx="139">
                  <c:v>4647.756876327936</c:v>
                </c:pt>
                <c:pt idx="140">
                  <c:v>4880.1447201443334</c:v>
                </c:pt>
                <c:pt idx="141">
                  <c:v>5124.1519561515506</c:v>
                </c:pt>
                <c:pt idx="142">
                  <c:v>5380.3595539591288</c:v>
                </c:pt>
                <c:pt idx="143">
                  <c:v>5649.3775316570855</c:v>
                </c:pt>
                <c:pt idx="144">
                  <c:v>5931.8464082399396</c:v>
                </c:pt>
                <c:pt idx="145">
                  <c:v>6228.4387286519368</c:v>
                </c:pt>
                <c:pt idx="146">
                  <c:v>6539.860665084534</c:v>
                </c:pt>
                <c:pt idx="147">
                  <c:v>6866.8536983387612</c:v>
                </c:pt>
                <c:pt idx="148">
                  <c:v>7210.1963832556994</c:v>
                </c:pt>
                <c:pt idx="149">
                  <c:v>7570.7062024184843</c:v>
                </c:pt>
                <c:pt idx="150">
                  <c:v>7949.2415125394091</c:v>
                </c:pt>
                <c:pt idx="151">
                  <c:v>8346.7035881663796</c:v>
                </c:pt>
                <c:pt idx="152">
                  <c:v>8764.0387675746988</c:v>
                </c:pt>
                <c:pt idx="153">
                  <c:v>9202.2407059534344</c:v>
                </c:pt>
                <c:pt idx="154">
                  <c:v>9662.3527412511066</c:v>
                </c:pt>
                <c:pt idx="155">
                  <c:v>10145.470378313663</c:v>
                </c:pt>
                <c:pt idx="156">
                  <c:v>10652.743897229346</c:v>
                </c:pt>
                <c:pt idx="157">
                  <c:v>11185.381092090813</c:v>
                </c:pt>
                <c:pt idx="158">
                  <c:v>11744.650146695354</c:v>
                </c:pt>
                <c:pt idx="159">
                  <c:v>12331.882654030122</c:v>
                </c:pt>
                <c:pt idx="160">
                  <c:v>12948.476786731628</c:v>
                </c:pt>
                <c:pt idx="161">
                  <c:v>13595.900626068209</c:v>
                </c:pt>
                <c:pt idx="162">
                  <c:v>14275.69565737162</c:v>
                </c:pt>
                <c:pt idx="163">
                  <c:v>14989.480440240201</c:v>
                </c:pt>
                <c:pt idx="164">
                  <c:v>15738.954462252212</c:v>
                </c:pt>
                <c:pt idx="165">
                  <c:v>16525.902185364823</c:v>
                </c:pt>
                <c:pt idx="166">
                  <c:v>17352.197294633064</c:v>
                </c:pt>
                <c:pt idx="167">
                  <c:v>18219.807159364718</c:v>
                </c:pt>
                <c:pt idx="168">
                  <c:v>19130.797517332954</c:v>
                </c:pt>
                <c:pt idx="169">
                  <c:v>20087.337393199603</c:v>
                </c:pt>
                <c:pt idx="170">
                  <c:v>21091.704262859585</c:v>
                </c:pt>
                <c:pt idx="171">
                  <c:v>22146.289476002567</c:v>
                </c:pt>
                <c:pt idx="172">
                  <c:v>23253.603949802695</c:v>
                </c:pt>
                <c:pt idx="173">
                  <c:v>24416.28414729283</c:v>
                </c:pt>
                <c:pt idx="174">
                  <c:v>25637.098354657472</c:v>
                </c:pt>
                <c:pt idx="175">
                  <c:v>26918.953272390347</c:v>
                </c:pt>
                <c:pt idx="176">
                  <c:v>28264.900936009864</c:v>
                </c:pt>
                <c:pt idx="177">
                  <c:v>29678.145982810358</c:v>
                </c:pt>
                <c:pt idx="178">
                  <c:v>31162.053281950877</c:v>
                </c:pt>
                <c:pt idx="179">
                  <c:v>32720.155946048424</c:v>
                </c:pt>
                <c:pt idx="180">
                  <c:v>34356.163743350844</c:v>
                </c:pt>
                <c:pt idx="181">
                  <c:v>36073.97193051839</c:v>
                </c:pt>
                <c:pt idx="182">
                  <c:v>37877.670527044313</c:v>
                </c:pt>
                <c:pt idx="183">
                  <c:v>39771.554053396532</c:v>
                </c:pt>
                <c:pt idx="184">
                  <c:v>41760.131756066359</c:v>
                </c:pt>
                <c:pt idx="185">
                  <c:v>43848.138343869679</c:v>
                </c:pt>
                <c:pt idx="186">
                  <c:v>46040.545261063162</c:v>
                </c:pt>
                <c:pt idx="187">
                  <c:v>48342.572524116324</c:v>
                </c:pt>
                <c:pt idx="188">
                  <c:v>50759.701150322144</c:v>
                </c:pt>
                <c:pt idx="189">
                  <c:v>53297.686207838255</c:v>
                </c:pt>
                <c:pt idx="190">
                  <c:v>55962.570518230168</c:v>
                </c:pt>
                <c:pt idx="191">
                  <c:v>58760.699044141678</c:v>
                </c:pt>
                <c:pt idx="192">
                  <c:v>61698.733996348768</c:v>
                </c:pt>
                <c:pt idx="193">
                  <c:v>64783.670696166213</c:v>
                </c:pt>
                <c:pt idx="194">
                  <c:v>68022.854230974524</c:v>
                </c:pt>
                <c:pt idx="195">
                  <c:v>71423.996942523256</c:v>
                </c:pt>
                <c:pt idx="196">
                  <c:v>74995.196789649417</c:v>
                </c:pt>
                <c:pt idx="197">
                  <c:v>78744.956629131892</c:v>
                </c:pt>
                <c:pt idx="198">
                  <c:v>82682.204460588488</c:v>
                </c:pt>
                <c:pt idx="199">
                  <c:v>86816.314683617922</c:v>
                </c:pt>
                <c:pt idx="200">
                  <c:v>91157.13041779882</c:v>
                </c:pt>
                <c:pt idx="201">
                  <c:v>95714.986938688759</c:v>
                </c:pt>
                <c:pt idx="202">
                  <c:v>100500.73628562321</c:v>
                </c:pt>
                <c:pt idx="203">
                  <c:v>105525.77309990437</c:v>
                </c:pt>
                <c:pt idx="204">
                  <c:v>110802.06175489959</c:v>
                </c:pt>
                <c:pt idx="205">
                  <c:v>116342.16484264458</c:v>
                </c:pt>
                <c:pt idx="206">
                  <c:v>122159.27308477681</c:v>
                </c:pt>
                <c:pt idx="207">
                  <c:v>128267.23673901566</c:v>
                </c:pt>
                <c:pt idx="208">
                  <c:v>134680.59857596643</c:v>
                </c:pt>
                <c:pt idx="209">
                  <c:v>141414.62850476475</c:v>
                </c:pt>
                <c:pt idx="210">
                  <c:v>148485.359930003</c:v>
                </c:pt>
                <c:pt idx="211">
                  <c:v>155909.62792650316</c:v>
                </c:pt>
                <c:pt idx="212">
                  <c:v>163705.10932282833</c:v>
                </c:pt>
                <c:pt idx="213">
                  <c:v>171890.36478896975</c:v>
                </c:pt>
                <c:pt idx="214">
                  <c:v>180484.88302841823</c:v>
                </c:pt>
                <c:pt idx="215">
                  <c:v>189509.12717983915</c:v>
                </c:pt>
                <c:pt idx="216">
                  <c:v>198984.58353883112</c:v>
                </c:pt>
                <c:pt idx="217">
                  <c:v>208933.81271577268</c:v>
                </c:pt>
                <c:pt idx="218">
                  <c:v>219380.50335156132</c:v>
                </c:pt>
                <c:pt idx="219">
                  <c:v>230349.52851913939</c:v>
                </c:pt>
                <c:pt idx="220">
                  <c:v>241867.00494509639</c:v>
                </c:pt>
                <c:pt idx="221">
                  <c:v>253960.35519235121</c:v>
                </c:pt>
                <c:pt idx="222">
                  <c:v>266658.37295196881</c:v>
                </c:pt>
                <c:pt idx="223">
                  <c:v>279991.29159956728</c:v>
                </c:pt>
                <c:pt idx="224">
                  <c:v>293990.85617954563</c:v>
                </c:pt>
                <c:pt idx="225">
                  <c:v>308690.39898852294</c:v>
                </c:pt>
                <c:pt idx="226">
                  <c:v>324124.91893794911</c:v>
                </c:pt>
                <c:pt idx="227">
                  <c:v>340331.1648848466</c:v>
                </c:pt>
                <c:pt idx="228">
                  <c:v>357347.72312908893</c:v>
                </c:pt>
                <c:pt idx="229">
                  <c:v>375215.10928554338</c:v>
                </c:pt>
                <c:pt idx="230">
                  <c:v>393975.86474982055</c:v>
                </c:pt>
                <c:pt idx="231">
                  <c:v>413674.6579873116</c:v>
                </c:pt>
                <c:pt idx="232">
                  <c:v>434358.3908866772</c:v>
                </c:pt>
                <c:pt idx="233">
                  <c:v>456076.31043101108</c:v>
                </c:pt>
                <c:pt idx="234">
                  <c:v>478880.12595256168</c:v>
                </c:pt>
                <c:pt idx="235">
                  <c:v>502824.13225018978</c:v>
                </c:pt>
                <c:pt idx="236">
                  <c:v>527965.33886269934</c:v>
                </c:pt>
                <c:pt idx="237">
                  <c:v>554363.60580583429</c:v>
                </c:pt>
                <c:pt idx="238">
                  <c:v>582081.78609612607</c:v>
                </c:pt>
                <c:pt idx="239">
                  <c:v>611185.87540093239</c:v>
                </c:pt>
              </c:numCache>
            </c:numRef>
          </c:xVal>
          <c:yVal>
            <c:numRef>
              <c:f>Coordenograma!$AB$3:$AB$242</c:f>
              <c:numCache>
                <c:formatCode>General</c:formatCode>
                <c:ptCount val="240"/>
                <c:pt idx="0">
                  <c:v>218.08070141496458</c:v>
                </c:pt>
                <c:pt idx="1">
                  <c:v>106.38082995851936</c:v>
                </c:pt>
                <c:pt idx="2">
                  <c:v>69.177066269616049</c:v>
                </c:pt>
                <c:pt idx="3">
                  <c:v>50.597303190734493</c:v>
                </c:pt>
                <c:pt idx="4">
                  <c:v>39.467110914244316</c:v>
                </c:pt>
                <c:pt idx="5">
                  <c:v>32.061672565722041</c:v>
                </c:pt>
                <c:pt idx="6">
                  <c:v>26.78463215439951</c:v>
                </c:pt>
                <c:pt idx="7">
                  <c:v>22.837806569371896</c:v>
                </c:pt>
                <c:pt idx="8">
                  <c:v>19.777756252499024</c:v>
                </c:pt>
                <c:pt idx="9">
                  <c:v>17.338413474165417</c:v>
                </c:pt>
                <c:pt idx="10">
                  <c:v>15.350458828106717</c:v>
                </c:pt>
                <c:pt idx="11">
                  <c:v>13.70100948402216</c:v>
                </c:pt>
                <c:pt idx="12">
                  <c:v>12.311912866696565</c:v>
                </c:pt>
                <c:pt idx="13">
                  <c:v>11.127343048215037</c:v>
                </c:pt>
                <c:pt idx="14">
                  <c:v>10.106358586998025</c:v>
                </c:pt>
                <c:pt idx="15">
                  <c:v>9.2182511805109826</c:v>
                </c:pt>
                <c:pt idx="16">
                  <c:v>8.4395359729159924</c:v>
                </c:pt>
                <c:pt idx="17">
                  <c:v>7.7519450961402949</c:v>
                </c:pt>
                <c:pt idx="18">
                  <c:v>7.1410548318936931</c:v>
                </c:pt>
                <c:pt idx="19">
                  <c:v>6.5953246271491821</c:v>
                </c:pt>
                <c:pt idx="20">
                  <c:v>6.1054106784487772</c:v>
                </c:pt>
                <c:pt idx="21">
                  <c:v>5.6636667220798822</c:v>
                </c:pt>
                <c:pt idx="22">
                  <c:v>5.2637750542798276</c:v>
                </c:pt>
                <c:pt idx="23">
                  <c:v>4.9004697975720353</c:v>
                </c:pt>
                <c:pt idx="24">
                  <c:v>4.569326584183087</c:v>
                </c:pt>
                <c:pt idx="25">
                  <c:v>4.266600774889854</c:v>
                </c:pt>
                <c:pt idx="26">
                  <c:v>3.9891016299128017</c:v>
                </c:pt>
                <c:pt idx="27">
                  <c:v>3.7340934437248072</c:v>
                </c:pt>
                <c:pt idx="28">
                  <c:v>3.499217135130146</c:v>
                </c:pt>
                <c:pt idx="29">
                  <c:v>3.2824275196085178</c:v>
                </c:pt>
                <c:pt idx="30">
                  <c:v>3.0819427226640084</c:v>
                </c:pt>
                <c:pt idx="31">
                  <c:v>2.8962030782360229</c:v>
                </c:pt>
                <c:pt idx="32">
                  <c:v>2.7238375000964892</c:v>
                </c:pt>
                <c:pt idx="33">
                  <c:v>2.5636357875898272</c:v>
                </c:pt>
                <c:pt idx="34">
                  <c:v>2.4145256787648601</c:v>
                </c:pt>
                <c:pt idx="35">
                  <c:v>2.2755537277176208</c:v>
                </c:pt>
                <c:pt idx="36">
                  <c:v>2.1458692825737709</c:v>
                </c:pt>
                <c:pt idx="37">
                  <c:v>2.0247109928732998</c:v>
                </c:pt>
                <c:pt idx="38">
                  <c:v>1.9113953923002609</c:v>
                </c:pt>
                <c:pt idx="39">
                  <c:v>1.8053071935150309</c:v>
                </c:pt>
                <c:pt idx="40">
                  <c:v>1.7058910027264498</c:v>
                </c:pt>
                <c:pt idx="41">
                  <c:v>1.6126442173326041</c:v>
                </c:pt>
                <c:pt idx="42">
                  <c:v>1.5251109139941601</c:v>
                </c:pt>
                <c:pt idx="43">
                  <c:v>1.4428765695321306</c:v>
                </c:pt>
                <c:pt idx="44">
                  <c:v>1.3655634850643723</c:v>
                </c:pt>
                <c:pt idx="45">
                  <c:v>1.2928268063348816</c:v>
                </c:pt>
                <c:pt idx="46">
                  <c:v>1.2243510514135965</c:v>
                </c:pt>
                <c:pt idx="47">
                  <c:v>1.1598470717510903</c:v>
                </c:pt>
                <c:pt idx="48">
                  <c:v>1.0990493846595994</c:v>
                </c:pt>
                <c:pt idx="49">
                  <c:v>1.0417138252031608</c:v>
                </c:pt>
                <c:pt idx="50">
                  <c:v>0.9876154736418602</c:v>
                </c:pt>
                <c:pt idx="51">
                  <c:v>0.93654682132465905</c:v>
                </c:pt>
                <c:pt idx="52">
                  <c:v>0.88831614352852595</c:v>
                </c:pt>
                <c:pt idx="53">
                  <c:v>0.8427460524109045</c:v>
                </c:pt>
                <c:pt idx="54">
                  <c:v>0.79967220714770726</c:v>
                </c:pt>
                <c:pt idx="55">
                  <c:v>0.75894216160647332</c:v>
                </c:pt>
                <c:pt idx="56">
                  <c:v>0.72041433266420951</c:v>
                </c:pt>
                <c:pt idx="57">
                  <c:v>0.68395707461095079</c:v>
                </c:pt>
                <c:pt idx="58">
                  <c:v>0.64944784705585612</c:v>
                </c:pt>
                <c:pt idx="59">
                  <c:v>0.61677246543196362</c:v>
                </c:pt>
                <c:pt idx="60">
                  <c:v>0.58582442462719253</c:v>
                </c:pt>
                <c:pt idx="61">
                  <c:v>0.55650428749273451</c:v>
                </c:pt>
                <c:pt idx="62">
                  <c:v>0.52871913102866441</c:v>
                </c:pt>
                <c:pt idx="63">
                  <c:v>0.5023820439477148</c:v>
                </c:pt>
                <c:pt idx="64">
                  <c:v>0.47741167009441937</c:v>
                </c:pt>
                <c:pt idx="65">
                  <c:v>0.45373179286714399</c:v>
                </c:pt>
                <c:pt idx="66">
                  <c:v>0.4312709563707196</c:v>
                </c:pt>
                <c:pt idx="67">
                  <c:v>0.40996211953070738</c:v>
                </c:pt>
                <c:pt idx="68">
                  <c:v>0.38974233983792073</c:v>
                </c:pt>
                <c:pt idx="69">
                  <c:v>0.37055248377307859</c:v>
                </c:pt>
                <c:pt idx="70">
                  <c:v>0.35233696129432412</c:v>
                </c:pt>
                <c:pt idx="71">
                  <c:v>0.33504348206151824</c:v>
                </c:pt>
                <c:pt idx="72">
                  <c:v>0.31862283132643782</c:v>
                </c:pt>
                <c:pt idx="73">
                  <c:v>0.30302866364212105</c:v>
                </c:pt>
                <c:pt idx="74">
                  <c:v>0.28821731274176998</c:v>
                </c:pt>
                <c:pt idx="75">
                  <c:v>0.27414761611138228</c:v>
                </c:pt>
                <c:pt idx="76">
                  <c:v>0.26078075293368741</c:v>
                </c:pt>
                <c:pt idx="77">
                  <c:v>0.24808009421661964</c:v>
                </c:pt>
                <c:pt idx="78">
                  <c:v>0.23601106403971908</c:v>
                </c:pt>
                <c:pt idx="79">
                  <c:v>0.22454101095845425</c:v>
                </c:pt>
                <c:pt idx="80">
                  <c:v>0.21363908870118092</c:v>
                </c:pt>
                <c:pt idx="81">
                  <c:v>0.20327614537774411</c:v>
                </c:pt>
                <c:pt idx="82">
                  <c:v>0.19342462049385156</c:v>
                </c:pt>
                <c:pt idx="83">
                  <c:v>0.18405844913239461</c:v>
                </c:pt>
                <c:pt idx="84">
                  <c:v>0.17515297272281444</c:v>
                </c:pt>
                <c:pt idx="85">
                  <c:v>0.16668485587324253</c:v>
                </c:pt>
                <c:pt idx="86">
                  <c:v>0.15863200878820874</c:v>
                </c:pt>
                <c:pt idx="87">
                  <c:v>0.15097351483784088</c:v>
                </c:pt>
                <c:pt idx="88">
                  <c:v>0.14368956288323537</c:v>
                </c:pt>
                <c:pt idx="89">
                  <c:v>0.13676138399754714</c:v>
                </c:pt>
                <c:pt idx="90">
                  <c:v>0.13017119225375504</c:v>
                </c:pt>
                <c:pt idx="91">
                  <c:v>0.12390212927838694</c:v>
                </c:pt>
                <c:pt idx="92">
                  <c:v>0.11793821229606925</c:v>
                </c:pt>
                <c:pt idx="93">
                  <c:v>0.11226428541289009</c:v>
                </c:pt>
                <c:pt idx="94">
                  <c:v>0.10686597390749661</c:v>
                </c:pt>
                <c:pt idx="95">
                  <c:v>0.10172964131781291</c:v>
                </c:pt>
                <c:pt idx="96">
                  <c:v>9.6842349128470367E-2</c:v>
                </c:pt>
                <c:pt idx="97">
                  <c:v>9.2191818879666376E-2</c:v>
                </c:pt>
                <c:pt idx="98">
                  <c:v>8.7766396532373753E-2</c:v>
                </c:pt>
                <c:pt idx="99">
                  <c:v>8.3555018937750858E-2</c:v>
                </c:pt>
                <c:pt idx="100">
                  <c:v>7.9547182270381642E-2</c:v>
                </c:pt>
                <c:pt idx="101">
                  <c:v>7.5732912295718102E-2</c:v>
                </c:pt>
                <c:pt idx="102">
                  <c:v>7.2102736351904936E-2</c:v>
                </c:pt>
                <c:pt idx="103">
                  <c:v>6.864765693513071E-2</c:v>
                </c:pt>
                <c:pt idx="104">
                  <c:v>6.5359126785849264E-2</c:v>
                </c:pt>
                <c:pt idx="105">
                  <c:v>6.2229025380724751E-2</c:v>
                </c:pt>
                <c:pt idx="106">
                  <c:v>5.9249636742036628E-2</c:v>
                </c:pt>
                <c:pt idx="107">
                  <c:v>5.641362848259672E-2</c:v>
                </c:pt>
                <c:pt idx="108">
                  <c:v>5.3714032010029722E-2</c:v>
                </c:pt>
                <c:pt idx="109">
                  <c:v>5.1144223819601507E-2</c:v>
                </c:pt>
                <c:pt idx="110">
                  <c:v>0.05</c:v>
                </c:pt>
                <c:pt idx="111">
                  <c:v>0.05</c:v>
                </c:pt>
                <c:pt idx="112">
                  <c:v>0.05</c:v>
                </c:pt>
                <c:pt idx="113">
                  <c:v>0.05</c:v>
                </c:pt>
                <c:pt idx="114">
                  <c:v>0.05</c:v>
                </c:pt>
                <c:pt idx="115">
                  <c:v>0.05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0.05</c:v>
                </c:pt>
                <c:pt idx="132">
                  <c:v>0.05</c:v>
                </c:pt>
                <c:pt idx="133">
                  <c:v>0.05</c:v>
                </c:pt>
                <c:pt idx="134">
                  <c:v>0.05</c:v>
                </c:pt>
                <c:pt idx="135">
                  <c:v>0.05</c:v>
                </c:pt>
                <c:pt idx="136">
                  <c:v>0.05</c:v>
                </c:pt>
                <c:pt idx="137">
                  <c:v>0.05</c:v>
                </c:pt>
                <c:pt idx="138">
                  <c:v>0.05</c:v>
                </c:pt>
                <c:pt idx="139">
                  <c:v>0.05</c:v>
                </c:pt>
                <c:pt idx="140">
                  <c:v>0.05</c:v>
                </c:pt>
                <c:pt idx="141">
                  <c:v>0.05</c:v>
                </c:pt>
                <c:pt idx="142">
                  <c:v>0.05</c:v>
                </c:pt>
                <c:pt idx="143">
                  <c:v>0.05</c:v>
                </c:pt>
                <c:pt idx="144">
                  <c:v>0.05</c:v>
                </c:pt>
                <c:pt idx="145">
                  <c:v>0.05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0.05</c:v>
                </c:pt>
                <c:pt idx="156">
                  <c:v>0.05</c:v>
                </c:pt>
                <c:pt idx="157">
                  <c:v>0.05</c:v>
                </c:pt>
                <c:pt idx="158">
                  <c:v>0.05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0.05</c:v>
                </c:pt>
                <c:pt idx="169">
                  <c:v>0.05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0.05</c:v>
                </c:pt>
                <c:pt idx="188">
                  <c:v>0.05</c:v>
                </c:pt>
                <c:pt idx="189">
                  <c:v>0.05</c:v>
                </c:pt>
                <c:pt idx="190">
                  <c:v>0.05</c:v>
                </c:pt>
                <c:pt idx="191">
                  <c:v>0.05</c:v>
                </c:pt>
                <c:pt idx="192">
                  <c:v>0.05</c:v>
                </c:pt>
                <c:pt idx="193">
                  <c:v>0.05</c:v>
                </c:pt>
                <c:pt idx="194">
                  <c:v>0.05</c:v>
                </c:pt>
                <c:pt idx="195">
                  <c:v>0.05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0.05</c:v>
                </c:pt>
                <c:pt idx="221">
                  <c:v>0.05</c:v>
                </c:pt>
                <c:pt idx="222">
                  <c:v>0.05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0.05</c:v>
                </c:pt>
                <c:pt idx="229">
                  <c:v>0.05</c:v>
                </c:pt>
                <c:pt idx="230">
                  <c:v>0.05</c:v>
                </c:pt>
                <c:pt idx="231">
                  <c:v>0.05</c:v>
                </c:pt>
                <c:pt idx="232">
                  <c:v>0.05</c:v>
                </c:pt>
                <c:pt idx="233">
                  <c:v>0.05</c:v>
                </c:pt>
                <c:pt idx="234">
                  <c:v>0.05</c:v>
                </c:pt>
                <c:pt idx="235">
                  <c:v>0.05</c:v>
                </c:pt>
                <c:pt idx="236">
                  <c:v>0.05</c:v>
                </c:pt>
                <c:pt idx="237">
                  <c:v>0.05</c:v>
                </c:pt>
                <c:pt idx="238">
                  <c:v>0.05</c:v>
                </c:pt>
                <c:pt idx="239">
                  <c:v>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91-430D-BB01-C7FB17E8BA32}"/>
            </c:ext>
          </c:extLst>
        </c:ser>
        <c:ser>
          <c:idx val="0"/>
          <c:order val="2"/>
          <c:tx>
            <c:strRef>
              <c:f>Coordenograma!$AI$2</c:f>
              <c:strCache>
                <c:ptCount val="1"/>
                <c:pt idx="0">
                  <c:v>50/51N da Fonte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Coordenograma!$U$3:$U$242</c:f>
              <c:numCache>
                <c:formatCode>General</c:formatCode>
                <c:ptCount val="240"/>
                <c:pt idx="0">
                  <c:v>5.2714589795574529</c:v>
                </c:pt>
                <c:pt idx="1">
                  <c:v>5.535031928535326</c:v>
                </c:pt>
                <c:pt idx="2">
                  <c:v>5.8117835249620926</c:v>
                </c:pt>
                <c:pt idx="3">
                  <c:v>6.1023727012101974</c:v>
                </c:pt>
                <c:pt idx="4">
                  <c:v>6.4074913362707075</c:v>
                </c:pt>
                <c:pt idx="5">
                  <c:v>6.7278659030842434</c:v>
                </c:pt>
                <c:pt idx="6">
                  <c:v>7.0642591982384557</c:v>
                </c:pt>
                <c:pt idx="7">
                  <c:v>7.4174721581503791</c:v>
                </c:pt>
                <c:pt idx="8">
                  <c:v>7.7883457660578985</c:v>
                </c:pt>
                <c:pt idx="9">
                  <c:v>8.1777630543607938</c:v>
                </c:pt>
                <c:pt idx="10">
                  <c:v>8.5866512070788339</c:v>
                </c:pt>
                <c:pt idx="11">
                  <c:v>9.0159837674327754</c:v>
                </c:pt>
                <c:pt idx="12">
                  <c:v>9.4667829558044154</c:v>
                </c:pt>
                <c:pt idx="13">
                  <c:v>9.9401221035946374</c:v>
                </c:pt>
                <c:pt idx="14">
                  <c:v>10.43712820877437</c:v>
                </c:pt>
                <c:pt idx="15">
                  <c:v>10.958984619213089</c:v>
                </c:pt>
                <c:pt idx="16">
                  <c:v>11.506933850173743</c:v>
                </c:pt>
                <c:pt idx="17">
                  <c:v>12.082280542682431</c:v>
                </c:pt>
                <c:pt idx="18">
                  <c:v>12.686394569816553</c:v>
                </c:pt>
                <c:pt idx="19">
                  <c:v>13.320714298307381</c:v>
                </c:pt>
                <c:pt idx="20">
                  <c:v>13.986750013222752</c:v>
                </c:pt>
                <c:pt idx="21">
                  <c:v>14.686087513883889</c:v>
                </c:pt>
                <c:pt idx="22">
                  <c:v>15.420391889578084</c:v>
                </c:pt>
                <c:pt idx="23">
                  <c:v>16.191411484056989</c:v>
                </c:pt>
                <c:pt idx="24">
                  <c:v>17.00098205825984</c:v>
                </c:pt>
                <c:pt idx="25">
                  <c:v>17.851031161172834</c:v>
                </c:pt>
                <c:pt idx="26">
                  <c:v>18.743582719231476</c:v>
                </c:pt>
                <c:pt idx="27">
                  <c:v>19.680761855193051</c:v>
                </c:pt>
                <c:pt idx="28">
                  <c:v>20.664799947952705</c:v>
                </c:pt>
                <c:pt idx="29">
                  <c:v>21.698039945350342</c:v>
                </c:pt>
                <c:pt idx="30">
                  <c:v>22.78294194261786</c:v>
                </c:pt>
                <c:pt idx="31">
                  <c:v>23.922089039748755</c:v>
                </c:pt>
                <c:pt idx="32">
                  <c:v>25.118193491736193</c:v>
                </c:pt>
                <c:pt idx="33">
                  <c:v>26.374103166323003</c:v>
                </c:pt>
                <c:pt idx="34">
                  <c:v>27.692808324639156</c:v>
                </c:pt>
                <c:pt idx="35">
                  <c:v>29.077448740871116</c:v>
                </c:pt>
                <c:pt idx="36">
                  <c:v>30.531321177914673</c:v>
                </c:pt>
                <c:pt idx="37">
                  <c:v>32.057887236810409</c:v>
                </c:pt>
                <c:pt idx="38">
                  <c:v>33.660781598650928</c:v>
                </c:pt>
                <c:pt idx="39">
                  <c:v>35.343820678583477</c:v>
                </c:pt>
                <c:pt idx="40">
                  <c:v>37.111011712512649</c:v>
                </c:pt>
                <c:pt idx="41">
                  <c:v>38.966562298138285</c:v>
                </c:pt>
                <c:pt idx="42">
                  <c:v>40.9148904130452</c:v>
                </c:pt>
                <c:pt idx="43">
                  <c:v>42.960634933697463</c:v>
                </c:pt>
                <c:pt idx="44">
                  <c:v>45.108666680382335</c:v>
                </c:pt>
                <c:pt idx="45">
                  <c:v>47.364100014401451</c:v>
                </c:pt>
                <c:pt idx="46">
                  <c:v>49.732305015121526</c:v>
                </c:pt>
                <c:pt idx="47">
                  <c:v>52.218920265877607</c:v>
                </c:pt>
                <c:pt idx="48">
                  <c:v>54.82986627917149</c:v>
                </c:pt>
                <c:pt idx="49">
                  <c:v>57.571359593130069</c:v>
                </c:pt>
                <c:pt idx="50">
                  <c:v>60.449927572786578</c:v>
                </c:pt>
                <c:pt idx="51">
                  <c:v>63.47242395142591</c:v>
                </c:pt>
                <c:pt idx="52">
                  <c:v>66.646045148997203</c:v>
                </c:pt>
                <c:pt idx="53">
                  <c:v>69.978347406447071</c:v>
                </c:pt>
                <c:pt idx="54">
                  <c:v>73.477264776769431</c:v>
                </c:pt>
                <c:pt idx="55">
                  <c:v>77.15112801560791</c:v>
                </c:pt>
                <c:pt idx="56">
                  <c:v>81.008684416388306</c:v>
                </c:pt>
                <c:pt idx="57">
                  <c:v>85.059118637207732</c:v>
                </c:pt>
                <c:pt idx="58">
                  <c:v>89.312074569068116</c:v>
                </c:pt>
                <c:pt idx="59">
                  <c:v>93.777678297521533</c:v>
                </c:pt>
                <c:pt idx="60">
                  <c:v>98.466562212397619</c:v>
                </c:pt>
                <c:pt idx="61">
                  <c:v>103.38989032301751</c:v>
                </c:pt>
                <c:pt idx="62">
                  <c:v>108.55938483916839</c:v>
                </c:pt>
                <c:pt idx="63">
                  <c:v>113.98735408112681</c:v>
                </c:pt>
                <c:pt idx="64">
                  <c:v>119.68672178518315</c:v>
                </c:pt>
                <c:pt idx="65">
                  <c:v>125.67105787444231</c:v>
                </c:pt>
                <c:pt idx="66">
                  <c:v>131.95461076816443</c:v>
                </c:pt>
                <c:pt idx="67">
                  <c:v>138.55234130657266</c:v>
                </c:pt>
                <c:pt idx="68">
                  <c:v>145.47995837190129</c:v>
                </c:pt>
                <c:pt idx="69">
                  <c:v>152.75395629049635</c:v>
                </c:pt>
                <c:pt idx="70">
                  <c:v>160.39165410502116</c:v>
                </c:pt>
                <c:pt idx="71">
                  <c:v>168.41123681027221</c:v>
                </c:pt>
                <c:pt idx="72">
                  <c:v>176.83179865078583</c:v>
                </c:pt>
                <c:pt idx="73">
                  <c:v>185.67338858332513</c:v>
                </c:pt>
                <c:pt idx="74">
                  <c:v>194.95705801249139</c:v>
                </c:pt>
                <c:pt idx="75">
                  <c:v>204.70491091311595</c:v>
                </c:pt>
                <c:pt idx="76">
                  <c:v>214.94015645877175</c:v>
                </c:pt>
                <c:pt idx="77">
                  <c:v>225.68716428171035</c:v>
                </c:pt>
                <c:pt idx="78">
                  <c:v>236.97152249579588</c:v>
                </c:pt>
                <c:pt idx="79">
                  <c:v>248.8200986205857</c:v>
                </c:pt>
                <c:pt idx="80">
                  <c:v>261.26110355161501</c:v>
                </c:pt>
                <c:pt idx="81">
                  <c:v>274.32415872919574</c:v>
                </c:pt>
                <c:pt idx="82">
                  <c:v>288.04036666565554</c:v>
                </c:pt>
                <c:pt idx="83">
                  <c:v>302.44238499893834</c:v>
                </c:pt>
                <c:pt idx="84">
                  <c:v>317.56450424888527</c:v>
                </c:pt>
                <c:pt idx="85">
                  <c:v>333.44272946132952</c:v>
                </c:pt>
                <c:pt idx="86">
                  <c:v>350.11486593439599</c:v>
                </c:pt>
                <c:pt idx="87">
                  <c:v>367.62060923111579</c:v>
                </c:pt>
                <c:pt idx="88">
                  <c:v>386.00163969267157</c:v>
                </c:pt>
                <c:pt idx="89">
                  <c:v>405.30172167730518</c:v>
                </c:pt>
                <c:pt idx="90">
                  <c:v>425.56680776117048</c:v>
                </c:pt>
                <c:pt idx="91">
                  <c:v>446.84514814922903</c:v>
                </c:pt>
                <c:pt idx="92">
                  <c:v>469.18740555669052</c:v>
                </c:pt>
                <c:pt idx="93">
                  <c:v>492.64677583452504</c:v>
                </c:pt>
                <c:pt idx="94">
                  <c:v>517.27911462625127</c:v>
                </c:pt>
                <c:pt idx="95">
                  <c:v>543.14307035756383</c:v>
                </c:pt>
                <c:pt idx="96">
                  <c:v>570.30022387544204</c:v>
                </c:pt>
                <c:pt idx="97">
                  <c:v>598.81523506921417</c:v>
                </c:pt>
                <c:pt idx="98">
                  <c:v>628.75599682267489</c:v>
                </c:pt>
                <c:pt idx="99">
                  <c:v>660.19379666380871</c:v>
                </c:pt>
                <c:pt idx="100">
                  <c:v>693.20348649699918</c:v>
                </c:pt>
                <c:pt idx="101">
                  <c:v>727.86366082184918</c:v>
                </c:pt>
                <c:pt idx="102">
                  <c:v>764.25684386294165</c:v>
                </c:pt>
                <c:pt idx="103">
                  <c:v>802.46968605608879</c:v>
                </c:pt>
                <c:pt idx="104">
                  <c:v>842.5931703588933</c:v>
                </c:pt>
                <c:pt idx="105">
                  <c:v>884.72282887683798</c:v>
                </c:pt>
                <c:pt idx="106">
                  <c:v>928.9589703206799</c:v>
                </c:pt>
                <c:pt idx="107">
                  <c:v>975.40691883671388</c:v>
                </c:pt>
                <c:pt idx="108">
                  <c:v>1024.1772647785497</c:v>
                </c:pt>
                <c:pt idx="109">
                  <c:v>1075.3861280174772</c:v>
                </c:pt>
                <c:pt idx="110">
                  <c:v>1129.155434418351</c:v>
                </c:pt>
                <c:pt idx="111">
                  <c:v>1185.6132061392686</c:v>
                </c:pt>
                <c:pt idx="112">
                  <c:v>1244.8938664462321</c:v>
                </c:pt>
                <c:pt idx="113">
                  <c:v>1307.1385597685437</c:v>
                </c:pt>
                <c:pt idx="114">
                  <c:v>1372.495487756971</c:v>
                </c:pt>
                <c:pt idx="115">
                  <c:v>1441.1202621448197</c:v>
                </c:pt>
                <c:pt idx="116">
                  <c:v>1513.1762752520608</c:v>
                </c:pt>
                <c:pt idx="117">
                  <c:v>1588.8350890146639</c:v>
                </c:pt>
                <c:pt idx="118">
                  <c:v>1668.2768434653972</c:v>
                </c:pt>
                <c:pt idx="119">
                  <c:v>1751.6906856386672</c:v>
                </c:pt>
                <c:pt idx="120">
                  <c:v>1839.2752199206006</c:v>
                </c:pt>
                <c:pt idx="121">
                  <c:v>1931.2389809166307</c:v>
                </c:pt>
                <c:pt idx="122">
                  <c:v>2027.8009299624623</c:v>
                </c:pt>
                <c:pt idx="123">
                  <c:v>2129.1909764605857</c:v>
                </c:pt>
                <c:pt idx="124">
                  <c:v>2235.650525283615</c:v>
                </c:pt>
                <c:pt idx="125">
                  <c:v>2347.4330515477959</c:v>
                </c:pt>
                <c:pt idx="126">
                  <c:v>2464.8047041251857</c:v>
                </c:pt>
                <c:pt idx="127">
                  <c:v>2588.0449393314452</c:v>
                </c:pt>
                <c:pt idx="128">
                  <c:v>2717.4471862980176</c:v>
                </c:pt>
                <c:pt idx="129">
                  <c:v>2853.3195456129188</c:v>
                </c:pt>
                <c:pt idx="130">
                  <c:v>2995.9855228935648</c:v>
                </c:pt>
                <c:pt idx="131">
                  <c:v>3145.7847990382434</c:v>
                </c:pt>
                <c:pt idx="132">
                  <c:v>3303.0740389901557</c:v>
                </c:pt>
                <c:pt idx="133">
                  <c:v>3468.2277409396638</c:v>
                </c:pt>
                <c:pt idx="134">
                  <c:v>3641.6391279866471</c:v>
                </c:pt>
                <c:pt idx="135">
                  <c:v>3823.7210843859798</c:v>
                </c:pt>
                <c:pt idx="136">
                  <c:v>4014.9071386052788</c:v>
                </c:pt>
                <c:pt idx="137">
                  <c:v>4215.6524955355426</c:v>
                </c:pt>
                <c:pt idx="138">
                  <c:v>4426.4351203123197</c:v>
                </c:pt>
                <c:pt idx="139">
                  <c:v>4647.756876327936</c:v>
                </c:pt>
                <c:pt idx="140">
                  <c:v>4880.1447201443334</c:v>
                </c:pt>
                <c:pt idx="141">
                  <c:v>5124.1519561515506</c:v>
                </c:pt>
                <c:pt idx="142">
                  <c:v>5380.3595539591288</c:v>
                </c:pt>
                <c:pt idx="143">
                  <c:v>5649.3775316570855</c:v>
                </c:pt>
                <c:pt idx="144">
                  <c:v>5931.8464082399396</c:v>
                </c:pt>
                <c:pt idx="145">
                  <c:v>6228.4387286519368</c:v>
                </c:pt>
                <c:pt idx="146">
                  <c:v>6539.860665084534</c:v>
                </c:pt>
                <c:pt idx="147">
                  <c:v>6866.8536983387612</c:v>
                </c:pt>
                <c:pt idx="148">
                  <c:v>7210.1963832556994</c:v>
                </c:pt>
                <c:pt idx="149">
                  <c:v>7570.7062024184843</c:v>
                </c:pt>
                <c:pt idx="150">
                  <c:v>7949.2415125394091</c:v>
                </c:pt>
                <c:pt idx="151">
                  <c:v>8346.7035881663796</c:v>
                </c:pt>
                <c:pt idx="152">
                  <c:v>8764.0387675746988</c:v>
                </c:pt>
                <c:pt idx="153">
                  <c:v>9202.2407059534344</c:v>
                </c:pt>
                <c:pt idx="154">
                  <c:v>9662.3527412511066</c:v>
                </c:pt>
                <c:pt idx="155">
                  <c:v>10145.470378313663</c:v>
                </c:pt>
                <c:pt idx="156">
                  <c:v>10652.743897229346</c:v>
                </c:pt>
                <c:pt idx="157">
                  <c:v>11185.381092090813</c:v>
                </c:pt>
                <c:pt idx="158">
                  <c:v>11744.650146695354</c:v>
                </c:pt>
                <c:pt idx="159">
                  <c:v>12331.882654030122</c:v>
                </c:pt>
                <c:pt idx="160">
                  <c:v>12948.476786731628</c:v>
                </c:pt>
                <c:pt idx="161">
                  <c:v>13595.900626068209</c:v>
                </c:pt>
                <c:pt idx="162">
                  <c:v>14275.69565737162</c:v>
                </c:pt>
                <c:pt idx="163">
                  <c:v>14989.480440240201</c:v>
                </c:pt>
                <c:pt idx="164">
                  <c:v>15738.954462252212</c:v>
                </c:pt>
                <c:pt idx="165">
                  <c:v>16525.902185364823</c:v>
                </c:pt>
                <c:pt idx="166">
                  <c:v>17352.197294633064</c:v>
                </c:pt>
                <c:pt idx="167">
                  <c:v>18219.807159364718</c:v>
                </c:pt>
                <c:pt idx="168">
                  <c:v>19130.797517332954</c:v>
                </c:pt>
                <c:pt idx="169">
                  <c:v>20087.337393199603</c:v>
                </c:pt>
                <c:pt idx="170">
                  <c:v>21091.704262859585</c:v>
                </c:pt>
                <c:pt idx="171">
                  <c:v>22146.289476002567</c:v>
                </c:pt>
                <c:pt idx="172">
                  <c:v>23253.603949802695</c:v>
                </c:pt>
                <c:pt idx="173">
                  <c:v>24416.28414729283</c:v>
                </c:pt>
                <c:pt idx="174">
                  <c:v>25637.098354657472</c:v>
                </c:pt>
                <c:pt idx="175">
                  <c:v>26918.953272390347</c:v>
                </c:pt>
                <c:pt idx="176">
                  <c:v>28264.900936009864</c:v>
                </c:pt>
                <c:pt idx="177">
                  <c:v>29678.145982810358</c:v>
                </c:pt>
                <c:pt idx="178">
                  <c:v>31162.053281950877</c:v>
                </c:pt>
                <c:pt idx="179">
                  <c:v>32720.155946048424</c:v>
                </c:pt>
                <c:pt idx="180">
                  <c:v>34356.163743350844</c:v>
                </c:pt>
                <c:pt idx="181">
                  <c:v>36073.97193051839</c:v>
                </c:pt>
                <c:pt idx="182">
                  <c:v>37877.670527044313</c:v>
                </c:pt>
                <c:pt idx="183">
                  <c:v>39771.554053396532</c:v>
                </c:pt>
                <c:pt idx="184">
                  <c:v>41760.131756066359</c:v>
                </c:pt>
                <c:pt idx="185">
                  <c:v>43848.138343869679</c:v>
                </c:pt>
                <c:pt idx="186">
                  <c:v>46040.545261063162</c:v>
                </c:pt>
                <c:pt idx="187">
                  <c:v>48342.572524116324</c:v>
                </c:pt>
                <c:pt idx="188">
                  <c:v>50759.701150322144</c:v>
                </c:pt>
                <c:pt idx="189">
                  <c:v>53297.686207838255</c:v>
                </c:pt>
                <c:pt idx="190">
                  <c:v>55962.570518230168</c:v>
                </c:pt>
                <c:pt idx="191">
                  <c:v>58760.699044141678</c:v>
                </c:pt>
                <c:pt idx="192">
                  <c:v>61698.733996348768</c:v>
                </c:pt>
                <c:pt idx="193">
                  <c:v>64783.670696166213</c:v>
                </c:pt>
                <c:pt idx="194">
                  <c:v>68022.854230974524</c:v>
                </c:pt>
                <c:pt idx="195">
                  <c:v>71423.996942523256</c:v>
                </c:pt>
                <c:pt idx="196">
                  <c:v>74995.196789649417</c:v>
                </c:pt>
                <c:pt idx="197">
                  <c:v>78744.956629131892</c:v>
                </c:pt>
                <c:pt idx="198">
                  <c:v>82682.204460588488</c:v>
                </c:pt>
                <c:pt idx="199">
                  <c:v>86816.314683617922</c:v>
                </c:pt>
                <c:pt idx="200">
                  <c:v>91157.13041779882</c:v>
                </c:pt>
                <c:pt idx="201">
                  <c:v>95714.986938688759</c:v>
                </c:pt>
                <c:pt idx="202">
                  <c:v>100500.73628562321</c:v>
                </c:pt>
                <c:pt idx="203">
                  <c:v>105525.77309990437</c:v>
                </c:pt>
                <c:pt idx="204">
                  <c:v>110802.06175489959</c:v>
                </c:pt>
                <c:pt idx="205">
                  <c:v>116342.16484264458</c:v>
                </c:pt>
                <c:pt idx="206">
                  <c:v>122159.27308477681</c:v>
                </c:pt>
                <c:pt idx="207">
                  <c:v>128267.23673901566</c:v>
                </c:pt>
                <c:pt idx="208">
                  <c:v>134680.59857596643</c:v>
                </c:pt>
                <c:pt idx="209">
                  <c:v>141414.62850476475</c:v>
                </c:pt>
                <c:pt idx="210">
                  <c:v>148485.359930003</c:v>
                </c:pt>
                <c:pt idx="211">
                  <c:v>155909.62792650316</c:v>
                </c:pt>
                <c:pt idx="212">
                  <c:v>163705.10932282833</c:v>
                </c:pt>
                <c:pt idx="213">
                  <c:v>171890.36478896975</c:v>
                </c:pt>
                <c:pt idx="214">
                  <c:v>180484.88302841823</c:v>
                </c:pt>
                <c:pt idx="215">
                  <c:v>189509.12717983915</c:v>
                </c:pt>
                <c:pt idx="216">
                  <c:v>198984.58353883112</c:v>
                </c:pt>
                <c:pt idx="217">
                  <c:v>208933.81271577268</c:v>
                </c:pt>
                <c:pt idx="218">
                  <c:v>219380.50335156132</c:v>
                </c:pt>
                <c:pt idx="219">
                  <c:v>230349.52851913939</c:v>
                </c:pt>
                <c:pt idx="220">
                  <c:v>241867.00494509639</c:v>
                </c:pt>
                <c:pt idx="221">
                  <c:v>253960.35519235121</c:v>
                </c:pt>
                <c:pt idx="222">
                  <c:v>266658.37295196881</c:v>
                </c:pt>
                <c:pt idx="223">
                  <c:v>279991.29159956728</c:v>
                </c:pt>
                <c:pt idx="224">
                  <c:v>293990.85617954563</c:v>
                </c:pt>
                <c:pt idx="225">
                  <c:v>308690.39898852294</c:v>
                </c:pt>
                <c:pt idx="226">
                  <c:v>324124.91893794911</c:v>
                </c:pt>
                <c:pt idx="227">
                  <c:v>340331.1648848466</c:v>
                </c:pt>
                <c:pt idx="228">
                  <c:v>357347.72312908893</c:v>
                </c:pt>
                <c:pt idx="229">
                  <c:v>375215.10928554338</c:v>
                </c:pt>
                <c:pt idx="230">
                  <c:v>393975.86474982055</c:v>
                </c:pt>
                <c:pt idx="231">
                  <c:v>413674.6579873116</c:v>
                </c:pt>
                <c:pt idx="232">
                  <c:v>434358.3908866772</c:v>
                </c:pt>
                <c:pt idx="233">
                  <c:v>456076.31043101108</c:v>
                </c:pt>
                <c:pt idx="234">
                  <c:v>478880.12595256168</c:v>
                </c:pt>
                <c:pt idx="235">
                  <c:v>502824.13225018978</c:v>
                </c:pt>
                <c:pt idx="236">
                  <c:v>527965.33886269934</c:v>
                </c:pt>
                <c:pt idx="237">
                  <c:v>554363.60580583429</c:v>
                </c:pt>
                <c:pt idx="238">
                  <c:v>582081.78609612607</c:v>
                </c:pt>
                <c:pt idx="239">
                  <c:v>611185.87540093239</c:v>
                </c:pt>
              </c:numCache>
            </c:numRef>
          </c:xVal>
          <c:yVal>
            <c:numRef>
              <c:f>Coordenograma!$AI$3:$AI$242</c:f>
              <c:numCache>
                <c:formatCode>General</c:formatCode>
                <c:ptCount val="240"/>
                <c:pt idx="0">
                  <c:v>-11.158370519726791</c:v>
                </c:pt>
                <c:pt idx="1">
                  <c:v>-11.317647514536066</c:v>
                </c:pt>
                <c:pt idx="2">
                  <c:v>-11.489856649045874</c:v>
                </c:pt>
                <c:pt idx="3">
                  <c:v>-11.676408079753163</c:v>
                </c:pt>
                <c:pt idx="4">
                  <c:v>-11.878919828577763</c:v>
                </c:pt>
                <c:pt idx="5">
                  <c:v>-12.099257615034208</c:v>
                </c:pt>
                <c:pt idx="6">
                  <c:v>-12.339584222868083</c:v>
                </c:pt>
                <c:pt idx="7">
                  <c:v>-12.602421174448052</c:v>
                </c:pt>
                <c:pt idx="8">
                  <c:v>-12.890726448042646</c:v>
                </c:pt>
                <c:pt idx="9">
                  <c:v>-13.207993327239189</c:v>
                </c:pt>
                <c:pt idx="10">
                  <c:v>-13.558377404394916</c:v>
                </c:pt>
                <c:pt idx="11">
                  <c:v>-13.946861559438881</c:v>
                </c:pt>
                <c:pt idx="12">
                  <c:v>-14.379472856181172</c:v>
                </c:pt>
                <c:pt idx="13">
                  <c:v>-14.863571471942095</c:v>
                </c:pt>
                <c:pt idx="14">
                  <c:v>-15.408241205612338</c:v>
                </c:pt>
                <c:pt idx="15">
                  <c:v>-16.024825820532843</c:v>
                </c:pt>
                <c:pt idx="16">
                  <c:v>-16.727678977582801</c:v>
                </c:pt>
                <c:pt idx="17">
                  <c:v>-17.535234047792986</c:v>
                </c:pt>
                <c:pt idx="18">
                  <c:v>-18.471565169001252</c:v>
                </c:pt>
                <c:pt idx="19">
                  <c:v>-19.568724523109033</c:v>
                </c:pt>
                <c:pt idx="20">
                  <c:v>-20.870346818062409</c:v>
                </c:pt>
                <c:pt idx="21">
                  <c:v>-22.437402145609422</c:v>
                </c:pt>
                <c:pt idx="22">
                  <c:v>-24.357755891687582</c:v>
                </c:pt>
                <c:pt idx="23">
                  <c:v>-26.762839349687816</c:v>
                </c:pt>
                <c:pt idx="24">
                  <c:v>-29.858474680240846</c:v>
                </c:pt>
                <c:pt idx="25">
                  <c:v>-33.986186217177213</c:v>
                </c:pt>
                <c:pt idx="26">
                  <c:v>-39.757117602627943</c:v>
                </c:pt>
                <c:pt idx="27">
                  <c:v>-48.38353269575056</c:v>
                </c:pt>
                <c:pt idx="28">
                  <c:v>-62.658910032014042</c:v>
                </c:pt>
                <c:pt idx="29">
                  <c:v>-90.783504074229185</c:v>
                </c:pt>
                <c:pt idx="30">
                  <c:v>-171.70914627483802</c:v>
                </c:pt>
                <c:pt idx="31">
                  <c:v>-2682.2927008740498</c:v>
                </c:pt>
                <c:pt idx="32">
                  <c:v>186.89073183168117</c:v>
                </c:pt>
                <c:pt idx="33">
                  <c:v>88.02481836695712</c:v>
                </c:pt>
                <c:pt idx="34">
                  <c:v>56.591076933412317</c:v>
                </c:pt>
                <c:pt idx="35">
                  <c:v>41.158465730595694</c:v>
                </c:pt>
                <c:pt idx="36">
                  <c:v>31.996589098489771</c:v>
                </c:pt>
                <c:pt idx="37">
                  <c:v>25.934837986479632</c:v>
                </c:pt>
                <c:pt idx="38">
                  <c:v>21.631790126503105</c:v>
                </c:pt>
                <c:pt idx="39">
                  <c:v>18.422364556109653</c:v>
                </c:pt>
                <c:pt idx="40">
                  <c:v>15.93927338197383</c:v>
                </c:pt>
                <c:pt idx="41">
                  <c:v>13.963126323671224</c:v>
                </c:pt>
                <c:pt idx="42">
                  <c:v>12.354794793043959</c:v>
                </c:pt>
                <c:pt idx="43">
                  <c:v>11.021782800564019</c:v>
                </c:pt>
                <c:pt idx="44">
                  <c:v>9.9001989639743009</c:v>
                </c:pt>
                <c:pt idx="45">
                  <c:v>8.94449175749061</c:v>
                </c:pt>
                <c:pt idx="46">
                  <c:v>8.1213089879508811</c:v>
                </c:pt>
                <c:pt idx="47">
                  <c:v>7.4056696014942549</c:v>
                </c:pt>
                <c:pt idx="48">
                  <c:v>6.7784919372545547</c:v>
                </c:pt>
                <c:pt idx="49">
                  <c:v>6.2249489604455857</c:v>
                </c:pt>
                <c:pt idx="50">
                  <c:v>5.7333447256565737</c:v>
                </c:pt>
                <c:pt idx="51">
                  <c:v>5.2943290297339534</c:v>
                </c:pt>
                <c:pt idx="52">
                  <c:v>4.9003371653775503</c:v>
                </c:pt>
                <c:pt idx="53">
                  <c:v>4.5451829347545649</c:v>
                </c:pt>
                <c:pt idx="54">
                  <c:v>4.2237581431162772</c:v>
                </c:pt>
                <c:pt idx="55">
                  <c:v>3.9318074291599738</c:v>
                </c:pt>
                <c:pt idx="56">
                  <c:v>3.6657572813577231</c:v>
                </c:pt>
                <c:pt idx="57">
                  <c:v>3.4225846141292546</c:v>
                </c:pt>
                <c:pt idx="58">
                  <c:v>3.1997146221255264</c:v>
                </c:pt>
                <c:pt idx="59">
                  <c:v>2.9949405755367882</c:v>
                </c:pt>
                <c:pt idx="60">
                  <c:v>2.8063602480256269</c:v>
                </c:pt>
                <c:pt idx="61">
                  <c:v>2.6323250876114441</c:v>
                </c:pt>
                <c:pt idx="62">
                  <c:v>2.4713992467835371</c:v>
                </c:pt>
                <c:pt idx="63">
                  <c:v>2.3223263105568934</c:v>
                </c:pt>
                <c:pt idx="64">
                  <c:v>2.1840020861949943</c:v>
                </c:pt>
                <c:pt idx="65">
                  <c:v>2.0554522040881862</c:v>
                </c:pt>
                <c:pt idx="66">
                  <c:v>1.9358135656548328</c:v>
                </c:pt>
                <c:pt idx="67">
                  <c:v>1.8243188887838941</c:v>
                </c:pt>
                <c:pt idx="68">
                  <c:v>1.720283763682436</c:v>
                </c:pt>
                <c:pt idx="69">
                  <c:v>1.623095755818925</c:v>
                </c:pt>
                <c:pt idx="70">
                  <c:v>1.5322051878561871</c:v>
                </c:pt>
                <c:pt idx="71">
                  <c:v>1.4471173062146014</c:v>
                </c:pt>
                <c:pt idx="72">
                  <c:v>1.3673855954382272</c:v>
                </c:pt>
                <c:pt idx="73">
                  <c:v>1.2926060487208348</c:v>
                </c:pt>
                <c:pt idx="74">
                  <c:v>1.2224122386613039</c:v>
                </c:pt>
                <c:pt idx="75">
                  <c:v>1.1564710607144422</c:v>
                </c:pt>
                <c:pt idx="76">
                  <c:v>1.0944790445121659</c:v>
                </c:pt>
                <c:pt idx="77">
                  <c:v>1.036159146489378</c:v>
                </c:pt>
                <c:pt idx="78">
                  <c:v>0.98125795200682442</c:v>
                </c:pt>
                <c:pt idx="79">
                  <c:v>0.92954322715017579</c:v>
                </c:pt>
                <c:pt idx="80">
                  <c:v>0.88080177016683836</c:v>
                </c:pt>
                <c:pt idx="81">
                  <c:v>0.83483752052105187</c:v>
                </c:pt>
                <c:pt idx="82">
                  <c:v>0.79146989014987845</c:v>
                </c:pt>
                <c:pt idx="83">
                  <c:v>0.75053228696053864</c:v>
                </c:pt>
                <c:pt idx="84">
                  <c:v>0.71187080513939061</c:v>
                </c:pt>
                <c:pt idx="85">
                  <c:v>0.67534306061670069</c:v>
                </c:pt>
                <c:pt idx="86">
                  <c:v>0.64081715318687804</c:v>
                </c:pt>
                <c:pt idx="87">
                  <c:v>0.60817073943152855</c:v>
                </c:pt>
                <c:pt idx="88">
                  <c:v>0.57729020282178201</c:v>
                </c:pt>
                <c:pt idx="89">
                  <c:v>0.54806990925904964</c:v>
                </c:pt>
                <c:pt idx="90">
                  <c:v>0.52041153790850569</c:v>
                </c:pt>
                <c:pt idx="91">
                  <c:v>0.49422347853509607</c:v>
                </c:pt>
                <c:pt idx="92">
                  <c:v>0.46942028770710215</c:v>
                </c:pt>
                <c:pt idx="93">
                  <c:v>0.44592219721957277</c:v>
                </c:pt>
                <c:pt idx="94">
                  <c:v>0.42365466893594395</c:v>
                </c:pt>
                <c:pt idx="95">
                  <c:v>0.40254799097301525</c:v>
                </c:pt>
                <c:pt idx="96">
                  <c:v>0.38253691078048691</c:v>
                </c:pt>
                <c:pt idx="97">
                  <c:v>0.36356030120676341</c:v>
                </c:pt>
                <c:pt idx="98">
                  <c:v>0.34556085611049614</c:v>
                </c:pt>
                <c:pt idx="99">
                  <c:v>0.32848481248306444</c:v>
                </c:pt>
                <c:pt idx="100">
                  <c:v>0.3122816963998844</c:v>
                </c:pt>
                <c:pt idx="101">
                  <c:v>0.29690409042567933</c:v>
                </c:pt>
                <c:pt idx="102">
                  <c:v>0.28230742036704848</c:v>
                </c:pt>
                <c:pt idx="103">
                  <c:v>0.26844975950026012</c:v>
                </c:pt>
                <c:pt idx="104">
                  <c:v>0.2552916486077908</c:v>
                </c:pt>
                <c:pt idx="105">
                  <c:v>0.24279593033764327</c:v>
                </c:pt>
                <c:pt idx="106">
                  <c:v>0.23092759655826844</c:v>
                </c:pt>
                <c:pt idx="107">
                  <c:v>0.21965364752184063</c:v>
                </c:pt>
                <c:pt idx="108">
                  <c:v>0.20894296177215196</c:v>
                </c:pt>
                <c:pt idx="109">
                  <c:v>0.19876617584260742</c:v>
                </c:pt>
                <c:pt idx="110">
                  <c:v>0.18909557288653001</c:v>
                </c:pt>
                <c:pt idx="111">
                  <c:v>0.17990497946779099</c:v>
                </c:pt>
                <c:pt idx="112">
                  <c:v>0.17116966981601545</c:v>
                </c:pt>
                <c:pt idx="113">
                  <c:v>0.16286627691844632</c:v>
                </c:pt>
                <c:pt idx="114">
                  <c:v>0.15497270988100101</c:v>
                </c:pt>
                <c:pt idx="115">
                  <c:v>0.14746807704499798</c:v>
                </c:pt>
                <c:pt idx="116">
                  <c:v>0.1403326143942413</c:v>
                </c:pt>
                <c:pt idx="117">
                  <c:v>0.13354761883029428</c:v>
                </c:pt>
                <c:pt idx="118">
                  <c:v>0.12709538593243461</c:v>
                </c:pt>
                <c:pt idx="119">
                  <c:v>0.12095915185347393</c:v>
                </c:pt>
                <c:pt idx="120">
                  <c:v>0.11512303903379494</c:v>
                </c:pt>
                <c:pt idx="121">
                  <c:v>0.10957200544399683</c:v>
                </c:pt>
                <c:pt idx="122">
                  <c:v>0.10429179709179738</c:v>
                </c:pt>
                <c:pt idx="123">
                  <c:v>9.9268903551616855E-2</c:v>
                </c:pt>
                <c:pt idx="124">
                  <c:v>9.4490516295833424E-2</c:v>
                </c:pt>
                <c:pt idx="125">
                  <c:v>8.9944489625291446E-2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91-430D-BB01-C7FB17E8B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  <c:extLst/>
      </c:scatterChart>
      <c:valAx>
        <c:axId val="205394110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corrente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935"/>
        <c:crosses val="autoZero"/>
        <c:crossBetween val="midCat"/>
      </c:valAx>
      <c:valAx>
        <c:axId val="20539419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103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50/51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5"/>
          <c:order val="4"/>
          <c:tx>
            <c:strRef>
              <c:f>Coordenograma!$C$14</c:f>
              <c:strCache>
                <c:ptCount val="1"/>
                <c:pt idx="0">
                  <c:v>Corrente de falta 3F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6">
                  <a:lumMod val="600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accent6">
                  <a:lumMod val="60000"/>
                </a:schemeClr>
              </a:solidFill>
              <a:ln w="6350" cap="flat" cmpd="sng" algn="ctr">
                <a:solidFill>
                  <a:schemeClr val="accent6">
                    <a:lumMod val="6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Coordenograma!$B$14</c:f>
              <c:numCache>
                <c:formatCode>0.0</c:formatCode>
                <c:ptCount val="1"/>
                <c:pt idx="0">
                  <c:v>4253.3083536317963</c:v>
                </c:pt>
              </c:numCache>
              <c:extLst xmlns:c15="http://schemas.microsoft.com/office/drawing/2012/chart"/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BAA0-4597-9703-ED5411D275A9}"/>
            </c:ext>
          </c:extLst>
        </c:ser>
        <c:ser>
          <c:idx val="4"/>
          <c:order val="5"/>
          <c:tx>
            <c:strRef>
              <c:f>Coordenograma!$T$2</c:f>
              <c:strCache>
                <c:ptCount val="1"/>
                <c:pt idx="0">
                  <c:v>50/51 da Fonte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Coordenograma!$E$3:$E$242</c:f>
              <c:numCache>
                <c:formatCode>General</c:formatCode>
                <c:ptCount val="240"/>
                <c:pt idx="0">
                  <c:v>26.357294897787263</c:v>
                </c:pt>
                <c:pt idx="1">
                  <c:v>27.675159642676626</c:v>
                </c:pt>
                <c:pt idx="2">
                  <c:v>29.058917624810459</c:v>
                </c:pt>
                <c:pt idx="3">
                  <c:v>30.511863506050982</c:v>
                </c:pt>
                <c:pt idx="4">
                  <c:v>32.037456681353532</c:v>
                </c:pt>
                <c:pt idx="5">
                  <c:v>33.63932951542121</c:v>
                </c:pt>
                <c:pt idx="6">
                  <c:v>35.321295991192272</c:v>
                </c:pt>
                <c:pt idx="7">
                  <c:v>37.087360790751887</c:v>
                </c:pt>
                <c:pt idx="8">
                  <c:v>38.941728830289485</c:v>
                </c:pt>
                <c:pt idx="9">
                  <c:v>40.888815271803963</c:v>
                </c:pt>
                <c:pt idx="10">
                  <c:v>42.933256035394166</c:v>
                </c:pt>
                <c:pt idx="11">
                  <c:v>45.079918837163873</c:v>
                </c:pt>
                <c:pt idx="12">
                  <c:v>47.333914779022066</c:v>
                </c:pt>
                <c:pt idx="13">
                  <c:v>49.700610517973175</c:v>
                </c:pt>
                <c:pt idx="14">
                  <c:v>52.185641043871833</c:v>
                </c:pt>
                <c:pt idx="15">
                  <c:v>54.794923096065425</c:v>
                </c:pt>
                <c:pt idx="16">
                  <c:v>57.534669250868696</c:v>
                </c:pt>
                <c:pt idx="17">
                  <c:v>60.41140271341213</c:v>
                </c:pt>
                <c:pt idx="18">
                  <c:v>63.43197284908274</c:v>
                </c:pt>
                <c:pt idx="19">
                  <c:v>66.603571491536883</c:v>
                </c:pt>
                <c:pt idx="20">
                  <c:v>69.933750066113731</c:v>
                </c:pt>
                <c:pt idx="21">
                  <c:v>73.430437569419425</c:v>
                </c:pt>
                <c:pt idx="22">
                  <c:v>77.101959447890394</c:v>
                </c:pt>
                <c:pt idx="23">
                  <c:v>80.957057420284912</c:v>
                </c:pt>
                <c:pt idx="24">
                  <c:v>85.004910291299154</c:v>
                </c:pt>
                <c:pt idx="25">
                  <c:v>89.255155805864121</c:v>
                </c:pt>
                <c:pt idx="26">
                  <c:v>93.717913596157331</c:v>
                </c:pt>
                <c:pt idx="27">
                  <c:v>98.403809275965202</c:v>
                </c:pt>
                <c:pt idx="28">
                  <c:v>103.32399973976347</c:v>
                </c:pt>
                <c:pt idx="29">
                  <c:v>108.49019972675164</c:v>
                </c:pt>
                <c:pt idx="30">
                  <c:v>113.91470971308922</c:v>
                </c:pt>
                <c:pt idx="31">
                  <c:v>119.61044519874369</c:v>
                </c:pt>
                <c:pt idx="32">
                  <c:v>125.59096745868088</c:v>
                </c:pt>
                <c:pt idx="33">
                  <c:v>131.87051583161494</c:v>
                </c:pt>
                <c:pt idx="34">
                  <c:v>138.4640416231957</c:v>
                </c:pt>
                <c:pt idx="35">
                  <c:v>145.38724370435548</c:v>
                </c:pt>
                <c:pt idx="36">
                  <c:v>152.65660588957326</c:v>
                </c:pt>
                <c:pt idx="37">
                  <c:v>160.28943618405194</c:v>
                </c:pt>
                <c:pt idx="38">
                  <c:v>168.30390799325454</c:v>
                </c:pt>
                <c:pt idx="39">
                  <c:v>176.71910339291728</c:v>
                </c:pt>
                <c:pt idx="40">
                  <c:v>185.55505856256315</c:v>
                </c:pt>
                <c:pt idx="41">
                  <c:v>194.83281149069131</c:v>
                </c:pt>
                <c:pt idx="42">
                  <c:v>204.5744520652259</c:v>
                </c:pt>
                <c:pt idx="43">
                  <c:v>214.8031746684872</c:v>
                </c:pt>
                <c:pt idx="44">
                  <c:v>225.54333340191158</c:v>
                </c:pt>
                <c:pt idx="45">
                  <c:v>236.82050007200718</c:v>
                </c:pt>
                <c:pt idx="46">
                  <c:v>248.66152507560756</c:v>
                </c:pt>
                <c:pt idx="47">
                  <c:v>261.09460132938796</c:v>
                </c:pt>
                <c:pt idx="48">
                  <c:v>274.14933139585736</c:v>
                </c:pt>
                <c:pt idx="49">
                  <c:v>287.85679796565023</c:v>
                </c:pt>
                <c:pt idx="50">
                  <c:v>302.24963786393278</c:v>
                </c:pt>
                <c:pt idx="51">
                  <c:v>317.36211975712945</c:v>
                </c:pt>
                <c:pt idx="52">
                  <c:v>333.23022574498594</c:v>
                </c:pt>
                <c:pt idx="53">
                  <c:v>349.89173703223526</c:v>
                </c:pt>
                <c:pt idx="54">
                  <c:v>367.38632388384701</c:v>
                </c:pt>
                <c:pt idx="55">
                  <c:v>385.75564007803939</c:v>
                </c:pt>
                <c:pt idx="56">
                  <c:v>405.0434220819414</c:v>
                </c:pt>
                <c:pt idx="57">
                  <c:v>425.2955931860385</c:v>
                </c:pt>
                <c:pt idx="58">
                  <c:v>446.56037284534045</c:v>
                </c:pt>
                <c:pt idx="59">
                  <c:v>468.88839148760752</c:v>
                </c:pt>
                <c:pt idx="60">
                  <c:v>492.33281106198791</c:v>
                </c:pt>
                <c:pt idx="61">
                  <c:v>516.94945161508736</c:v>
                </c:pt>
                <c:pt idx="62">
                  <c:v>542.79692419584171</c:v>
                </c:pt>
                <c:pt idx="63">
                  <c:v>569.93677040563387</c:v>
                </c:pt>
                <c:pt idx="64">
                  <c:v>598.43360892591556</c:v>
                </c:pt>
                <c:pt idx="65">
                  <c:v>628.35528937221136</c:v>
                </c:pt>
                <c:pt idx="66">
                  <c:v>659.77305384082194</c:v>
                </c:pt>
                <c:pt idx="67">
                  <c:v>692.76170653286306</c:v>
                </c:pt>
                <c:pt idx="68">
                  <c:v>727.39979185950619</c:v>
                </c:pt>
                <c:pt idx="69">
                  <c:v>763.76978145248154</c:v>
                </c:pt>
                <c:pt idx="70">
                  <c:v>801.9582705251056</c:v>
                </c:pt>
                <c:pt idx="71">
                  <c:v>842.0561840513609</c:v>
                </c:pt>
                <c:pt idx="72">
                  <c:v>884.158993253929</c:v>
                </c:pt>
                <c:pt idx="73">
                  <c:v>928.36694291662548</c:v>
                </c:pt>
                <c:pt idx="74">
                  <c:v>974.78529006245674</c:v>
                </c:pt>
                <c:pt idx="75">
                  <c:v>1023.5245545655796</c:v>
                </c:pt>
                <c:pt idx="76">
                  <c:v>1074.7007822938585</c:v>
                </c:pt>
                <c:pt idx="77">
                  <c:v>1128.4358214085514</c:v>
                </c:pt>
                <c:pt idx="78">
                  <c:v>1184.857612478979</c:v>
                </c:pt>
                <c:pt idx="79">
                  <c:v>1244.1004931029281</c:v>
                </c:pt>
                <c:pt idx="80">
                  <c:v>1306.3055177580745</c:v>
                </c:pt>
                <c:pt idx="81">
                  <c:v>1371.6207936459782</c:v>
                </c:pt>
                <c:pt idx="82">
                  <c:v>1440.2018333282772</c:v>
                </c:pt>
                <c:pt idx="83">
                  <c:v>1512.2119249946911</c:v>
                </c:pt>
                <c:pt idx="84">
                  <c:v>1587.8225212444258</c:v>
                </c:pt>
                <c:pt idx="85">
                  <c:v>1667.2136473066473</c:v>
                </c:pt>
                <c:pt idx="86">
                  <c:v>1750.5743296719797</c:v>
                </c:pt>
                <c:pt idx="87">
                  <c:v>1838.1030461555788</c:v>
                </c:pt>
                <c:pt idx="88">
                  <c:v>1930.0081984633578</c:v>
                </c:pt>
                <c:pt idx="89">
                  <c:v>2026.5086083865258</c:v>
                </c:pt>
                <c:pt idx="90">
                  <c:v>2127.8340388058523</c:v>
                </c:pt>
                <c:pt idx="91">
                  <c:v>2234.2257407461452</c:v>
                </c:pt>
                <c:pt idx="92">
                  <c:v>2345.9370277834528</c:v>
                </c:pt>
                <c:pt idx="93">
                  <c:v>2463.2338791726256</c:v>
                </c:pt>
                <c:pt idx="94">
                  <c:v>2586.3955731312572</c:v>
                </c:pt>
                <c:pt idx="95">
                  <c:v>2715.7153517878201</c:v>
                </c:pt>
                <c:pt idx="96">
                  <c:v>2851.5011193772111</c:v>
                </c:pt>
                <c:pt idx="97">
                  <c:v>2994.076175346072</c:v>
                </c:pt>
                <c:pt idx="98">
                  <c:v>3143.7799841133756</c:v>
                </c:pt>
                <c:pt idx="99">
                  <c:v>3300.9689833190446</c:v>
                </c:pt>
                <c:pt idx="100">
                  <c:v>3466.0174324849968</c:v>
                </c:pt>
                <c:pt idx="101">
                  <c:v>3639.3183041092466</c:v>
                </c:pt>
                <c:pt idx="102">
                  <c:v>3821.2842193147089</c:v>
                </c:pt>
                <c:pt idx="103">
                  <c:v>4012.3484302804445</c:v>
                </c:pt>
                <c:pt idx="104">
                  <c:v>4212.9658517944672</c:v>
                </c:pt>
                <c:pt idx="105">
                  <c:v>4423.6141443841907</c:v>
                </c:pt>
                <c:pt idx="106">
                  <c:v>4644.7948516034003</c:v>
                </c:pt>
                <c:pt idx="107">
                  <c:v>4877.0345941835703</c:v>
                </c:pt>
                <c:pt idx="108">
                  <c:v>5120.8863238927488</c:v>
                </c:pt>
                <c:pt idx="109">
                  <c:v>5376.9306400873866</c:v>
                </c:pt>
                <c:pt idx="110">
                  <c:v>5645.7771720917563</c:v>
                </c:pt>
                <c:pt idx="111">
                  <c:v>5928.0660306963446</c:v>
                </c:pt>
                <c:pt idx="112">
                  <c:v>6224.4693322311623</c:v>
                </c:pt>
                <c:pt idx="113">
                  <c:v>6535.6927988427205</c:v>
                </c:pt>
                <c:pt idx="114">
                  <c:v>6862.4774387848565</c:v>
                </c:pt>
                <c:pt idx="115">
                  <c:v>7205.6013107240997</c:v>
                </c:pt>
                <c:pt idx="116">
                  <c:v>7565.8813762603049</c:v>
                </c:pt>
                <c:pt idx="117">
                  <c:v>7944.1754450733206</c:v>
                </c:pt>
                <c:pt idx="118">
                  <c:v>8341.3842173269877</c:v>
                </c:pt>
                <c:pt idx="119">
                  <c:v>8758.4534281933375</c:v>
                </c:pt>
                <c:pt idx="120">
                  <c:v>9196.3760996030051</c:v>
                </c:pt>
                <c:pt idx="121">
                  <c:v>9656.1949045831552</c:v>
                </c:pt>
                <c:pt idx="122">
                  <c:v>10139.004649812314</c:v>
                </c:pt>
                <c:pt idx="123">
                  <c:v>10645.954882302929</c:v>
                </c:pt>
                <c:pt idx="124">
                  <c:v>11178.252626418076</c:v>
                </c:pt>
                <c:pt idx="125">
                  <c:v>11737.16525773898</c:v>
                </c:pt>
                <c:pt idx="126">
                  <c:v>12324.023520625929</c:v>
                </c:pt>
                <c:pt idx="127">
                  <c:v>12940.224696657226</c:v>
                </c:pt>
                <c:pt idx="128">
                  <c:v>13587.235931490088</c:v>
                </c:pt>
                <c:pt idx="129">
                  <c:v>14266.597728064593</c:v>
                </c:pt>
                <c:pt idx="130">
                  <c:v>14979.927614467822</c:v>
                </c:pt>
                <c:pt idx="131">
                  <c:v>15728.923995191215</c:v>
                </c:pt>
                <c:pt idx="132">
                  <c:v>16515.370194950778</c:v>
                </c:pt>
                <c:pt idx="133">
                  <c:v>17341.138704698318</c:v>
                </c:pt>
                <c:pt idx="134">
                  <c:v>18208.195639933234</c:v>
                </c:pt>
                <c:pt idx="135">
                  <c:v>19118.605421929897</c:v>
                </c:pt>
                <c:pt idx="136">
                  <c:v>20074.535693026392</c:v>
                </c:pt>
                <c:pt idx="137">
                  <c:v>21078.262477677712</c:v>
                </c:pt>
                <c:pt idx="138">
                  <c:v>22132.175601561597</c:v>
                </c:pt>
                <c:pt idx="139">
                  <c:v>23238.784381639678</c:v>
                </c:pt>
                <c:pt idx="140">
                  <c:v>24400.723600721663</c:v>
                </c:pt>
                <c:pt idx="141">
                  <c:v>25620.759780757748</c:v>
                </c:pt>
                <c:pt idx="142">
                  <c:v>26901.797769795638</c:v>
                </c:pt>
                <c:pt idx="143">
                  <c:v>28246.887658285421</c:v>
                </c:pt>
                <c:pt idx="144">
                  <c:v>29659.232041199692</c:v>
                </c:pt>
                <c:pt idx="145">
                  <c:v>31142.193643259678</c:v>
                </c:pt>
                <c:pt idx="146">
                  <c:v>32699.303325422661</c:v>
                </c:pt>
                <c:pt idx="147">
                  <c:v>34334.268491693794</c:v>
                </c:pt>
                <c:pt idx="148">
                  <c:v>36050.981916278484</c:v>
                </c:pt>
                <c:pt idx="149">
                  <c:v>37853.531012092411</c:v>
                </c:pt>
                <c:pt idx="150">
                  <c:v>39746.207562697033</c:v>
                </c:pt>
                <c:pt idx="151">
                  <c:v>41733.517940831887</c:v>
                </c:pt>
                <c:pt idx="152">
                  <c:v>43820.193837873485</c:v>
                </c:pt>
                <c:pt idx="153">
                  <c:v>46011.203529767161</c:v>
                </c:pt>
                <c:pt idx="154">
                  <c:v>48311.763706255522</c:v>
                </c:pt>
                <c:pt idx="155">
                  <c:v>50727.351891568302</c:v>
                </c:pt>
                <c:pt idx="156">
                  <c:v>53263.719486146721</c:v>
                </c:pt>
                <c:pt idx="157">
                  <c:v>55926.905460454058</c:v>
                </c:pt>
                <c:pt idx="158">
                  <c:v>58723.250733476765</c:v>
                </c:pt>
                <c:pt idx="159">
                  <c:v>61659.41327015061</c:v>
                </c:pt>
                <c:pt idx="160">
                  <c:v>64742.383933658144</c:v>
                </c:pt>
                <c:pt idx="161">
                  <c:v>67979.503130341051</c:v>
                </c:pt>
                <c:pt idx="162">
                  <c:v>71378.47828685811</c:v>
                </c:pt>
                <c:pt idx="163">
                  <c:v>74947.402201201025</c:v>
                </c:pt>
                <c:pt idx="164">
                  <c:v>78694.772311261084</c:v>
                </c:pt>
                <c:pt idx="165">
                  <c:v>82629.510926824136</c:v>
                </c:pt>
                <c:pt idx="166">
                  <c:v>86760.986473165351</c:v>
                </c:pt>
                <c:pt idx="167">
                  <c:v>91099.03579682362</c:v>
                </c:pt>
                <c:pt idx="168">
                  <c:v>95653.987586664807</c:v>
                </c:pt>
                <c:pt idx="169">
                  <c:v>100436.68696599806</c:v>
                </c:pt>
                <c:pt idx="170">
                  <c:v>105458.52131429796</c:v>
                </c:pt>
                <c:pt idx="171">
                  <c:v>110731.44738001286</c:v>
                </c:pt>
                <c:pt idx="172">
                  <c:v>116268.0197490135</c:v>
                </c:pt>
                <c:pt idx="173">
                  <c:v>122081.42073646418</c:v>
                </c:pt>
                <c:pt idx="174">
                  <c:v>128185.49177328739</c:v>
                </c:pt>
                <c:pt idx="175">
                  <c:v>134594.76636195177</c:v>
                </c:pt>
                <c:pt idx="176">
                  <c:v>141324.50468004937</c:v>
                </c:pt>
                <c:pt idx="177">
                  <c:v>148390.72991405186</c:v>
                </c:pt>
                <c:pt idx="178">
                  <c:v>155810.26640975446</c:v>
                </c:pt>
                <c:pt idx="179">
                  <c:v>163600.77973024218</c:v>
                </c:pt>
                <c:pt idx="180">
                  <c:v>171780.81871675429</c:v>
                </c:pt>
                <c:pt idx="181">
                  <c:v>180369.85965259201</c:v>
                </c:pt>
                <c:pt idx="182">
                  <c:v>189388.35263522161</c:v>
                </c:pt>
                <c:pt idx="183">
                  <c:v>198857.7702669827</c:v>
                </c:pt>
                <c:pt idx="184">
                  <c:v>208800.65878033184</c:v>
                </c:pt>
                <c:pt idx="185">
                  <c:v>219240.69171934846</c:v>
                </c:pt>
                <c:pt idx="186">
                  <c:v>230202.72630531588</c:v>
                </c:pt>
                <c:pt idx="187">
                  <c:v>241712.8626205817</c:v>
                </c:pt>
                <c:pt idx="188">
                  <c:v>253798.50575161079</c:v>
                </c:pt>
                <c:pt idx="189">
                  <c:v>266488.43103919132</c:v>
                </c:pt>
                <c:pt idx="190">
                  <c:v>279812.85259115091</c:v>
                </c:pt>
                <c:pt idx="191">
                  <c:v>293803.49522070849</c:v>
                </c:pt>
                <c:pt idx="192">
                  <c:v>308493.66998174391</c:v>
                </c:pt>
                <c:pt idx="193">
                  <c:v>323918.35348083114</c:v>
                </c:pt>
                <c:pt idx="194">
                  <c:v>340114.27115487272</c:v>
                </c:pt>
                <c:pt idx="195">
                  <c:v>357119.98471261637</c:v>
                </c:pt>
                <c:pt idx="196">
                  <c:v>374975.98394824722</c:v>
                </c:pt>
                <c:pt idx="197">
                  <c:v>393724.7831456596</c:v>
                </c:pt>
                <c:pt idx="198">
                  <c:v>413411.02230294258</c:v>
                </c:pt>
                <c:pt idx="199">
                  <c:v>434081.57341808971</c:v>
                </c:pt>
                <c:pt idx="200">
                  <c:v>455785.65208899422</c:v>
                </c:pt>
                <c:pt idx="201">
                  <c:v>478574.93469344394</c:v>
                </c:pt>
                <c:pt idx="202">
                  <c:v>502503.68142811616</c:v>
                </c:pt>
                <c:pt idx="203">
                  <c:v>527628.86549952195</c:v>
                </c:pt>
                <c:pt idx="204">
                  <c:v>554010.30877449806</c:v>
                </c:pt>
                <c:pt idx="205">
                  <c:v>581710.82421322295</c:v>
                </c:pt>
                <c:pt idx="206">
                  <c:v>610796.36542388413</c:v>
                </c:pt>
                <c:pt idx="207">
                  <c:v>641336.18369507836</c:v>
                </c:pt>
                <c:pt idx="208">
                  <c:v>673402.99287983228</c:v>
                </c:pt>
                <c:pt idx="209">
                  <c:v>707073.14252382389</c:v>
                </c:pt>
                <c:pt idx="210">
                  <c:v>742426.79965001508</c:v>
                </c:pt>
                <c:pt idx="211">
                  <c:v>779548.13963251584</c:v>
                </c:pt>
                <c:pt idx="212">
                  <c:v>818525.54661414167</c:v>
                </c:pt>
                <c:pt idx="213">
                  <c:v>859451.82394484885</c:v>
                </c:pt>
                <c:pt idx="214">
                  <c:v>902424.41514209134</c:v>
                </c:pt>
                <c:pt idx="215">
                  <c:v>947545.63589919591</c:v>
                </c:pt>
                <c:pt idx="216">
                  <c:v>994922.91769415571</c:v>
                </c:pt>
                <c:pt idx="217">
                  <c:v>1044669.0635788635</c:v>
                </c:pt>
                <c:pt idx="218">
                  <c:v>1096902.5167578068</c:v>
                </c:pt>
                <c:pt idx="219">
                  <c:v>1151747.6425956972</c:v>
                </c:pt>
                <c:pt idx="220">
                  <c:v>1209335.0247254821</c:v>
                </c:pt>
                <c:pt idx="221">
                  <c:v>1269801.7759617562</c:v>
                </c:pt>
                <c:pt idx="222">
                  <c:v>1333291.864759844</c:v>
                </c:pt>
                <c:pt idx="223">
                  <c:v>1399956.4579978364</c:v>
                </c:pt>
                <c:pt idx="224">
                  <c:v>1469954.2808977284</c:v>
                </c:pt>
                <c:pt idx="225">
                  <c:v>1543451.9949426148</c:v>
                </c:pt>
                <c:pt idx="226">
                  <c:v>1620624.5946897457</c:v>
                </c:pt>
                <c:pt idx="227">
                  <c:v>1701655.8244242331</c:v>
                </c:pt>
                <c:pt idx="228">
                  <c:v>1786738.6156454447</c:v>
                </c:pt>
                <c:pt idx="229">
                  <c:v>1876075.546427717</c:v>
                </c:pt>
                <c:pt idx="230">
                  <c:v>1969879.3237491029</c:v>
                </c:pt>
                <c:pt idx="231">
                  <c:v>2068373.2899365581</c:v>
                </c:pt>
                <c:pt idx="232">
                  <c:v>2171791.9544333862</c:v>
                </c:pt>
                <c:pt idx="233">
                  <c:v>2280381.5521550556</c:v>
                </c:pt>
                <c:pt idx="234">
                  <c:v>2394400.6297628083</c:v>
                </c:pt>
                <c:pt idx="235">
                  <c:v>2514120.6612509489</c:v>
                </c:pt>
                <c:pt idx="236">
                  <c:v>2639826.6943134964</c:v>
                </c:pt>
                <c:pt idx="237">
                  <c:v>2771818.0290291714</c:v>
                </c:pt>
                <c:pt idx="238">
                  <c:v>2910408.9304806301</c:v>
                </c:pt>
                <c:pt idx="239">
                  <c:v>3055929.3770046616</c:v>
                </c:pt>
              </c:numCache>
            </c:numRef>
          </c:xVal>
          <c:yVal>
            <c:numRef>
              <c:f>Coordenograma!$T$3:$T$242</c:f>
              <c:numCache>
                <c:formatCode>General</c:formatCode>
                <c:ptCount val="240"/>
                <c:pt idx="0">
                  <c:v>-4.6621012590979678</c:v>
                </c:pt>
                <c:pt idx="1">
                  <c:v>-4.6846626195614789</c:v>
                </c:pt>
                <c:pt idx="2">
                  <c:v>-4.7085882613895622</c:v>
                </c:pt>
                <c:pt idx="3">
                  <c:v>-4.7339746253677673</c:v>
                </c:pt>
                <c:pt idx="4">
                  <c:v>-4.7609265989200118</c:v>
                </c:pt>
                <c:pt idx="5">
                  <c:v>-4.7895584497481609</c:v>
                </c:pt>
                <c:pt idx="6">
                  <c:v>-4.8199948869235314</c:v>
                </c:pt>
                <c:pt idx="7">
                  <c:v>-4.8523722702606564</c:v>
                </c:pt>
                <c:pt idx="8">
                  <c:v>-4.8868399927870971</c:v>
                </c:pt>
                <c:pt idx="9">
                  <c:v>-4.9235620659843136</c:v>
                </c:pt>
                <c:pt idx="10">
                  <c:v>-4.9627189434338161</c:v>
                </c:pt>
                <c:pt idx="11">
                  <c:v>-5.0045096258426387</c:v>
                </c:pt>
                <c:pt idx="12">
                  <c:v>-5.0491540995074526</c:v>
                </c:pt>
                <c:pt idx="13">
                  <c:v>-5.0968961715809842</c:v>
                </c:pt>
                <c:pt idx="14">
                  <c:v>-5.1480067796469067</c:v>
                </c:pt>
                <c:pt idx="15">
                  <c:v>-5.2027878709045172</c:v>
                </c:pt>
                <c:pt idx="16">
                  <c:v>-5.2615769687913234</c:v>
                </c:pt>
                <c:pt idx="17">
                  <c:v>-5.3247525735708967</c:v>
                </c:pt>
                <c:pt idx="18">
                  <c:v>-5.3927405802227968</c:v>
                </c:pt>
                <c:pt idx="19">
                  <c:v>-5.4660219445206302</c:v>
                </c:pt>
                <c:pt idx="20">
                  <c:v>-5.5451418900712737</c:v>
                </c:pt>
                <c:pt idx="21">
                  <c:v>-5.6307210302834978</c:v>
                </c:pt>
                <c:pt idx="22">
                  <c:v>-5.7234688866713128</c:v>
                </c:pt>
                <c:pt idx="23">
                  <c:v>-5.8242004283508173</c:v>
                </c:pt>
                <c:pt idx="24">
                  <c:v>-5.9338564509939609</c:v>
                </c:pt>
                <c:pt idx="25">
                  <c:v>-6.0535288769617202</c:v>
                </c:pt>
                <c:pt idx="26">
                  <c:v>-6.1844924212296268</c:v>
                </c:pt>
                <c:pt idx="27">
                  <c:v>-6.3282445735612898</c:v>
                </c:pt>
                <c:pt idx="28">
                  <c:v>-6.4865565616138268</c:v>
                </c:pt>
                <c:pt idx="29">
                  <c:v>-6.6615389822335223</c:v>
                </c:pt>
                <c:pt idx="30">
                  <c:v>-6.8557272744826747</c:v>
                </c:pt>
                <c:pt idx="31">
                  <c:v>-7.0721944039695313</c:v>
                </c:pt>
                <c:pt idx="32">
                  <c:v>-7.3147014315199694</c:v>
                </c:pt>
                <c:pt idx="33">
                  <c:v>-7.5879017074858259</c:v>
                </c:pt>
                <c:pt idx="34">
                  <c:v>-7.8976223796818177</c:v>
                </c:pt>
                <c:pt idx="35">
                  <c:v>-8.2512596668321496</c:v>
                </c:pt>
                <c:pt idx="36">
                  <c:v>-8.6583454093903054</c:v>
                </c:pt>
                <c:pt idx="37">
                  <c:v>-9.1313782233435674</c:v>
                </c:pt>
                <c:pt idx="38">
                  <c:v>-9.6870756038429473</c:v>
                </c:pt>
                <c:pt idx="39">
                  <c:v>-10.348318637444967</c:v>
                </c:pt>
                <c:pt idx="40">
                  <c:v>-11.147281688264124</c:v>
                </c:pt>
                <c:pt idx="41">
                  <c:v>-12.130684656337268</c:v>
                </c:pt>
                <c:pt idx="42">
                  <c:v>-13.369061300774602</c:v>
                </c:pt>
                <c:pt idx="43">
                  <c:v>-14.974149506579359</c:v>
                </c:pt>
                <c:pt idx="44">
                  <c:v>-17.134127248623741</c:v>
                </c:pt>
                <c:pt idx="45">
                  <c:v>-20.192467516425459</c:v>
                </c:pt>
                <c:pt idx="46">
                  <c:v>-24.849783751442391</c:v>
                </c:pt>
                <c:pt idx="47">
                  <c:v>-32.79107896569797</c:v>
                </c:pt>
                <c:pt idx="48">
                  <c:v>-49.350754502170126</c:v>
                </c:pt>
                <c:pt idx="49">
                  <c:v>-105.05878073931864</c:v>
                </c:pt>
                <c:pt idx="50">
                  <c:v>567.09127297927444</c:v>
                </c:pt>
                <c:pt idx="51">
                  <c:v>73.478931020282587</c:v>
                </c:pt>
                <c:pt idx="52">
                  <c:v>38.39125288495805</c:v>
                </c:pt>
                <c:pt idx="53">
                  <c:v>25.570366475228791</c:v>
                </c:pt>
                <c:pt idx="54">
                  <c:v>18.931883006394511</c:v>
                </c:pt>
                <c:pt idx="55">
                  <c:v>14.876572536092564</c:v>
                </c:pt>
                <c:pt idx="56">
                  <c:v>12.144977521817824</c:v>
                </c:pt>
                <c:pt idx="57">
                  <c:v>10.181922345072186</c:v>
                </c:pt>
                <c:pt idx="58">
                  <c:v>8.7046039473865839</c:v>
                </c:pt>
                <c:pt idx="59">
                  <c:v>7.5538051417442187</c:v>
                </c:pt>
                <c:pt idx="60">
                  <c:v>6.633033609584337</c:v>
                </c:pt>
                <c:pt idx="61">
                  <c:v>5.8804020498905949</c:v>
                </c:pt>
                <c:pt idx="62">
                  <c:v>5.2543911098765443</c:v>
                </c:pt>
                <c:pt idx="63">
                  <c:v>4.7261067770905427</c:v>
                </c:pt>
                <c:pt idx="64">
                  <c:v>4.2748201336689853</c:v>
                </c:pt>
                <c:pt idx="65">
                  <c:v>3.8852731821044535</c:v>
                </c:pt>
                <c:pt idx="66">
                  <c:v>3.5459854104705766</c:v>
                </c:pt>
                <c:pt idx="67">
                  <c:v>3.2481527062854223</c:v>
                </c:pt>
                <c:pt idx="68">
                  <c:v>2.9849102042131119</c:v>
                </c:pt>
                <c:pt idx="69">
                  <c:v>2.7508260585768998</c:v>
                </c:pt>
                <c:pt idx="70">
                  <c:v>2.5415459310301229</c:v>
                </c:pt>
                <c:pt idx="71">
                  <c:v>2.3535383186018963</c:v>
                </c:pt>
                <c:pt idx="72">
                  <c:v>2.1839088582608577</c:v>
                </c:pt>
                <c:pt idx="73">
                  <c:v>2.0302627539228655</c:v>
                </c:pt>
                <c:pt idx="74">
                  <c:v>1.8906013791170806</c:v>
                </c:pt>
                <c:pt idx="75">
                  <c:v>1.7632435443272398</c:v>
                </c:pt>
                <c:pt idx="76">
                  <c:v>1.6467648273473461</c:v>
                </c:pt>
                <c:pt idx="77">
                  <c:v>1.5399503100082041</c:v>
                </c:pt>
                <c:pt idx="78">
                  <c:v>1.4417573878648269</c:v>
                </c:pt>
                <c:pt idx="79">
                  <c:v>1.3512862341667209</c:v>
                </c:pt>
                <c:pt idx="80">
                  <c:v>1.2677561411391391</c:v>
                </c:pt>
                <c:pt idx="81">
                  <c:v>1.1904864179235572</c:v>
                </c:pt>
                <c:pt idx="82">
                  <c:v>1.1188808531170789</c:v>
                </c:pt>
                <c:pt idx="83">
                  <c:v>1.0524149892400927</c:v>
                </c:pt>
                <c:pt idx="84">
                  <c:v>0.99062563276750271</c:v>
                </c:pt>
                <c:pt idx="85">
                  <c:v>0.93310215452659728</c:v>
                </c:pt>
                <c:pt idx="86">
                  <c:v>0.87947923377941406</c:v>
                </c:pt>
                <c:pt idx="87">
                  <c:v>0.82943077395801357</c:v>
                </c:pt>
                <c:pt idx="88">
                  <c:v>0.78266477506228238</c:v>
                </c:pt>
                <c:pt idx="89">
                  <c:v>0.7389189916592579</c:v>
                </c:pt>
                <c:pt idx="90">
                  <c:v>0.69795723950598065</c:v>
                </c:pt>
                <c:pt idx="91">
                  <c:v>0.65956624044712997</c:v>
                </c:pt>
                <c:pt idx="92">
                  <c:v>0.62355291618243724</c:v>
                </c:pt>
                <c:pt idx="93">
                  <c:v>0.58974205807461633</c:v>
                </c:pt>
                <c:pt idx="94">
                  <c:v>0.55797431336557346</c:v>
                </c:pt>
                <c:pt idx="95">
                  <c:v>0.52810443873523605</c:v>
                </c:pt>
                <c:pt idx="96">
                  <c:v>0.49999978064340195</c:v>
                </c:pt>
                <c:pt idx="97">
                  <c:v>0.47353894877754205</c:v>
                </c:pt>
                <c:pt idx="98">
                  <c:v>0.44861065452563453</c:v>
                </c:pt>
                <c:pt idx="99">
                  <c:v>0.42511269096458032</c:v>
                </c:pt>
                <c:pt idx="100">
                  <c:v>0.4029510346058543</c:v>
                </c:pt>
                <c:pt idx="101">
                  <c:v>0.38203905223114171</c:v>
                </c:pt>
                <c:pt idx="102">
                  <c:v>0.36229679870836412</c:v>
                </c:pt>
                <c:pt idx="103">
                  <c:v>0.34365039380304752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A0-4597-9703-ED5411D27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  <c:extLst/>
      </c:scatterChart>
      <c:scatterChart>
        <c:scatterStyle val="lineMarker"/>
        <c:varyColors val="0"/>
        <c:ser>
          <c:idx val="0"/>
          <c:order val="0"/>
          <c:tx>
            <c:strRef>
              <c:f>Coordenograma!$M$2</c:f>
              <c:strCache>
                <c:ptCount val="1"/>
                <c:pt idx="0">
                  <c:v>50/51 da Carga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Coordenograma!$E$3:$E$242</c:f>
              <c:numCache>
                <c:formatCode>General</c:formatCode>
                <c:ptCount val="240"/>
                <c:pt idx="0">
                  <c:v>26.357294897787263</c:v>
                </c:pt>
                <c:pt idx="1">
                  <c:v>27.675159642676626</c:v>
                </c:pt>
                <c:pt idx="2">
                  <c:v>29.058917624810459</c:v>
                </c:pt>
                <c:pt idx="3">
                  <c:v>30.511863506050982</c:v>
                </c:pt>
                <c:pt idx="4">
                  <c:v>32.037456681353532</c:v>
                </c:pt>
                <c:pt idx="5">
                  <c:v>33.63932951542121</c:v>
                </c:pt>
                <c:pt idx="6">
                  <c:v>35.321295991192272</c:v>
                </c:pt>
                <c:pt idx="7">
                  <c:v>37.087360790751887</c:v>
                </c:pt>
                <c:pt idx="8">
                  <c:v>38.941728830289485</c:v>
                </c:pt>
                <c:pt idx="9">
                  <c:v>40.888815271803963</c:v>
                </c:pt>
                <c:pt idx="10">
                  <c:v>42.933256035394166</c:v>
                </c:pt>
                <c:pt idx="11">
                  <c:v>45.079918837163873</c:v>
                </c:pt>
                <c:pt idx="12">
                  <c:v>47.333914779022066</c:v>
                </c:pt>
                <c:pt idx="13">
                  <c:v>49.700610517973175</c:v>
                </c:pt>
                <c:pt idx="14">
                  <c:v>52.185641043871833</c:v>
                </c:pt>
                <c:pt idx="15">
                  <c:v>54.794923096065425</c:v>
                </c:pt>
                <c:pt idx="16">
                  <c:v>57.534669250868696</c:v>
                </c:pt>
                <c:pt idx="17">
                  <c:v>60.41140271341213</c:v>
                </c:pt>
                <c:pt idx="18">
                  <c:v>63.43197284908274</c:v>
                </c:pt>
                <c:pt idx="19">
                  <c:v>66.603571491536883</c:v>
                </c:pt>
                <c:pt idx="20">
                  <c:v>69.933750066113731</c:v>
                </c:pt>
                <c:pt idx="21">
                  <c:v>73.430437569419425</c:v>
                </c:pt>
                <c:pt idx="22">
                  <c:v>77.101959447890394</c:v>
                </c:pt>
                <c:pt idx="23">
                  <c:v>80.957057420284912</c:v>
                </c:pt>
                <c:pt idx="24">
                  <c:v>85.004910291299154</c:v>
                </c:pt>
                <c:pt idx="25">
                  <c:v>89.255155805864121</c:v>
                </c:pt>
                <c:pt idx="26">
                  <c:v>93.717913596157331</c:v>
                </c:pt>
                <c:pt idx="27">
                  <c:v>98.403809275965202</c:v>
                </c:pt>
                <c:pt idx="28">
                  <c:v>103.32399973976347</c:v>
                </c:pt>
                <c:pt idx="29">
                  <c:v>108.49019972675164</c:v>
                </c:pt>
                <c:pt idx="30">
                  <c:v>113.91470971308922</c:v>
                </c:pt>
                <c:pt idx="31">
                  <c:v>119.61044519874369</c:v>
                </c:pt>
                <c:pt idx="32">
                  <c:v>125.59096745868088</c:v>
                </c:pt>
                <c:pt idx="33">
                  <c:v>131.87051583161494</c:v>
                </c:pt>
                <c:pt idx="34">
                  <c:v>138.4640416231957</c:v>
                </c:pt>
                <c:pt idx="35">
                  <c:v>145.38724370435548</c:v>
                </c:pt>
                <c:pt idx="36">
                  <c:v>152.65660588957326</c:v>
                </c:pt>
                <c:pt idx="37">
                  <c:v>160.28943618405194</c:v>
                </c:pt>
                <c:pt idx="38">
                  <c:v>168.30390799325454</c:v>
                </c:pt>
                <c:pt idx="39">
                  <c:v>176.71910339291728</c:v>
                </c:pt>
                <c:pt idx="40">
                  <c:v>185.55505856256315</c:v>
                </c:pt>
                <c:pt idx="41">
                  <c:v>194.83281149069131</c:v>
                </c:pt>
                <c:pt idx="42">
                  <c:v>204.5744520652259</c:v>
                </c:pt>
                <c:pt idx="43">
                  <c:v>214.8031746684872</c:v>
                </c:pt>
                <c:pt idx="44">
                  <c:v>225.54333340191158</c:v>
                </c:pt>
                <c:pt idx="45">
                  <c:v>236.82050007200718</c:v>
                </c:pt>
                <c:pt idx="46">
                  <c:v>248.66152507560756</c:v>
                </c:pt>
                <c:pt idx="47">
                  <c:v>261.09460132938796</c:v>
                </c:pt>
                <c:pt idx="48">
                  <c:v>274.14933139585736</c:v>
                </c:pt>
                <c:pt idx="49">
                  <c:v>287.85679796565023</c:v>
                </c:pt>
                <c:pt idx="50">
                  <c:v>302.24963786393278</c:v>
                </c:pt>
                <c:pt idx="51">
                  <c:v>317.36211975712945</c:v>
                </c:pt>
                <c:pt idx="52">
                  <c:v>333.23022574498594</c:v>
                </c:pt>
                <c:pt idx="53">
                  <c:v>349.89173703223526</c:v>
                </c:pt>
                <c:pt idx="54">
                  <c:v>367.38632388384701</c:v>
                </c:pt>
                <c:pt idx="55">
                  <c:v>385.75564007803939</c:v>
                </c:pt>
                <c:pt idx="56">
                  <c:v>405.0434220819414</c:v>
                </c:pt>
                <c:pt idx="57">
                  <c:v>425.2955931860385</c:v>
                </c:pt>
                <c:pt idx="58">
                  <c:v>446.56037284534045</c:v>
                </c:pt>
                <c:pt idx="59">
                  <c:v>468.88839148760752</c:v>
                </c:pt>
                <c:pt idx="60">
                  <c:v>492.33281106198791</c:v>
                </c:pt>
                <c:pt idx="61">
                  <c:v>516.94945161508736</c:v>
                </c:pt>
                <c:pt idx="62">
                  <c:v>542.79692419584171</c:v>
                </c:pt>
                <c:pt idx="63">
                  <c:v>569.93677040563387</c:v>
                </c:pt>
                <c:pt idx="64">
                  <c:v>598.43360892591556</c:v>
                </c:pt>
                <c:pt idx="65">
                  <c:v>628.35528937221136</c:v>
                </c:pt>
                <c:pt idx="66">
                  <c:v>659.77305384082194</c:v>
                </c:pt>
                <c:pt idx="67">
                  <c:v>692.76170653286306</c:v>
                </c:pt>
                <c:pt idx="68">
                  <c:v>727.39979185950619</c:v>
                </c:pt>
                <c:pt idx="69">
                  <c:v>763.76978145248154</c:v>
                </c:pt>
                <c:pt idx="70">
                  <c:v>801.9582705251056</c:v>
                </c:pt>
                <c:pt idx="71">
                  <c:v>842.0561840513609</c:v>
                </c:pt>
                <c:pt idx="72">
                  <c:v>884.158993253929</c:v>
                </c:pt>
                <c:pt idx="73">
                  <c:v>928.36694291662548</c:v>
                </c:pt>
                <c:pt idx="74">
                  <c:v>974.78529006245674</c:v>
                </c:pt>
                <c:pt idx="75">
                  <c:v>1023.5245545655796</c:v>
                </c:pt>
                <c:pt idx="76">
                  <c:v>1074.7007822938585</c:v>
                </c:pt>
                <c:pt idx="77">
                  <c:v>1128.4358214085514</c:v>
                </c:pt>
                <c:pt idx="78">
                  <c:v>1184.857612478979</c:v>
                </c:pt>
                <c:pt idx="79">
                  <c:v>1244.1004931029281</c:v>
                </c:pt>
                <c:pt idx="80">
                  <c:v>1306.3055177580745</c:v>
                </c:pt>
                <c:pt idx="81">
                  <c:v>1371.6207936459782</c:v>
                </c:pt>
                <c:pt idx="82">
                  <c:v>1440.2018333282772</c:v>
                </c:pt>
                <c:pt idx="83">
                  <c:v>1512.2119249946911</c:v>
                </c:pt>
                <c:pt idx="84">
                  <c:v>1587.8225212444258</c:v>
                </c:pt>
                <c:pt idx="85">
                  <c:v>1667.2136473066473</c:v>
                </c:pt>
                <c:pt idx="86">
                  <c:v>1750.5743296719797</c:v>
                </c:pt>
                <c:pt idx="87">
                  <c:v>1838.1030461555788</c:v>
                </c:pt>
                <c:pt idx="88">
                  <c:v>1930.0081984633578</c:v>
                </c:pt>
                <c:pt idx="89">
                  <c:v>2026.5086083865258</c:v>
                </c:pt>
                <c:pt idx="90">
                  <c:v>2127.8340388058523</c:v>
                </c:pt>
                <c:pt idx="91">
                  <c:v>2234.2257407461452</c:v>
                </c:pt>
                <c:pt idx="92">
                  <c:v>2345.9370277834528</c:v>
                </c:pt>
                <c:pt idx="93">
                  <c:v>2463.2338791726256</c:v>
                </c:pt>
                <c:pt idx="94">
                  <c:v>2586.3955731312572</c:v>
                </c:pt>
                <c:pt idx="95">
                  <c:v>2715.7153517878201</c:v>
                </c:pt>
                <c:pt idx="96">
                  <c:v>2851.5011193772111</c:v>
                </c:pt>
                <c:pt idx="97">
                  <c:v>2994.076175346072</c:v>
                </c:pt>
                <c:pt idx="98">
                  <c:v>3143.7799841133756</c:v>
                </c:pt>
                <c:pt idx="99">
                  <c:v>3300.9689833190446</c:v>
                </c:pt>
                <c:pt idx="100">
                  <c:v>3466.0174324849968</c:v>
                </c:pt>
                <c:pt idx="101">
                  <c:v>3639.3183041092466</c:v>
                </c:pt>
                <c:pt idx="102">
                  <c:v>3821.2842193147089</c:v>
                </c:pt>
                <c:pt idx="103">
                  <c:v>4012.3484302804445</c:v>
                </c:pt>
                <c:pt idx="104">
                  <c:v>4212.9658517944672</c:v>
                </c:pt>
                <c:pt idx="105">
                  <c:v>4423.6141443841907</c:v>
                </c:pt>
                <c:pt idx="106">
                  <c:v>4644.7948516034003</c:v>
                </c:pt>
                <c:pt idx="107">
                  <c:v>4877.0345941835703</c:v>
                </c:pt>
                <c:pt idx="108">
                  <c:v>5120.8863238927488</c:v>
                </c:pt>
                <c:pt idx="109">
                  <c:v>5376.9306400873866</c:v>
                </c:pt>
                <c:pt idx="110">
                  <c:v>5645.7771720917563</c:v>
                </c:pt>
                <c:pt idx="111">
                  <c:v>5928.0660306963446</c:v>
                </c:pt>
                <c:pt idx="112">
                  <c:v>6224.4693322311623</c:v>
                </c:pt>
                <c:pt idx="113">
                  <c:v>6535.6927988427205</c:v>
                </c:pt>
                <c:pt idx="114">
                  <c:v>6862.4774387848565</c:v>
                </c:pt>
                <c:pt idx="115">
                  <c:v>7205.6013107240997</c:v>
                </c:pt>
                <c:pt idx="116">
                  <c:v>7565.8813762603049</c:v>
                </c:pt>
                <c:pt idx="117">
                  <c:v>7944.1754450733206</c:v>
                </c:pt>
                <c:pt idx="118">
                  <c:v>8341.3842173269877</c:v>
                </c:pt>
                <c:pt idx="119">
                  <c:v>8758.4534281933375</c:v>
                </c:pt>
                <c:pt idx="120">
                  <c:v>9196.3760996030051</c:v>
                </c:pt>
                <c:pt idx="121">
                  <c:v>9656.1949045831552</c:v>
                </c:pt>
                <c:pt idx="122">
                  <c:v>10139.004649812314</c:v>
                </c:pt>
                <c:pt idx="123">
                  <c:v>10645.954882302929</c:v>
                </c:pt>
                <c:pt idx="124">
                  <c:v>11178.252626418076</c:v>
                </c:pt>
                <c:pt idx="125">
                  <c:v>11737.16525773898</c:v>
                </c:pt>
                <c:pt idx="126">
                  <c:v>12324.023520625929</c:v>
                </c:pt>
                <c:pt idx="127">
                  <c:v>12940.224696657226</c:v>
                </c:pt>
                <c:pt idx="128">
                  <c:v>13587.235931490088</c:v>
                </c:pt>
                <c:pt idx="129">
                  <c:v>14266.597728064593</c:v>
                </c:pt>
                <c:pt idx="130">
                  <c:v>14979.927614467822</c:v>
                </c:pt>
                <c:pt idx="131">
                  <c:v>15728.923995191215</c:v>
                </c:pt>
                <c:pt idx="132">
                  <c:v>16515.370194950778</c:v>
                </c:pt>
                <c:pt idx="133">
                  <c:v>17341.138704698318</c:v>
                </c:pt>
                <c:pt idx="134">
                  <c:v>18208.195639933234</c:v>
                </c:pt>
                <c:pt idx="135">
                  <c:v>19118.605421929897</c:v>
                </c:pt>
                <c:pt idx="136">
                  <c:v>20074.535693026392</c:v>
                </c:pt>
                <c:pt idx="137">
                  <c:v>21078.262477677712</c:v>
                </c:pt>
                <c:pt idx="138">
                  <c:v>22132.175601561597</c:v>
                </c:pt>
                <c:pt idx="139">
                  <c:v>23238.784381639678</c:v>
                </c:pt>
                <c:pt idx="140">
                  <c:v>24400.723600721663</c:v>
                </c:pt>
                <c:pt idx="141">
                  <c:v>25620.759780757748</c:v>
                </c:pt>
                <c:pt idx="142">
                  <c:v>26901.797769795638</c:v>
                </c:pt>
                <c:pt idx="143">
                  <c:v>28246.887658285421</c:v>
                </c:pt>
                <c:pt idx="144">
                  <c:v>29659.232041199692</c:v>
                </c:pt>
                <c:pt idx="145">
                  <c:v>31142.193643259678</c:v>
                </c:pt>
                <c:pt idx="146">
                  <c:v>32699.303325422661</c:v>
                </c:pt>
                <c:pt idx="147">
                  <c:v>34334.268491693794</c:v>
                </c:pt>
                <c:pt idx="148">
                  <c:v>36050.981916278484</c:v>
                </c:pt>
                <c:pt idx="149">
                  <c:v>37853.531012092411</c:v>
                </c:pt>
                <c:pt idx="150">
                  <c:v>39746.207562697033</c:v>
                </c:pt>
                <c:pt idx="151">
                  <c:v>41733.517940831887</c:v>
                </c:pt>
                <c:pt idx="152">
                  <c:v>43820.193837873485</c:v>
                </c:pt>
                <c:pt idx="153">
                  <c:v>46011.203529767161</c:v>
                </c:pt>
                <c:pt idx="154">
                  <c:v>48311.763706255522</c:v>
                </c:pt>
                <c:pt idx="155">
                  <c:v>50727.351891568302</c:v>
                </c:pt>
                <c:pt idx="156">
                  <c:v>53263.719486146721</c:v>
                </c:pt>
                <c:pt idx="157">
                  <c:v>55926.905460454058</c:v>
                </c:pt>
                <c:pt idx="158">
                  <c:v>58723.250733476765</c:v>
                </c:pt>
                <c:pt idx="159">
                  <c:v>61659.41327015061</c:v>
                </c:pt>
                <c:pt idx="160">
                  <c:v>64742.383933658144</c:v>
                </c:pt>
                <c:pt idx="161">
                  <c:v>67979.503130341051</c:v>
                </c:pt>
                <c:pt idx="162">
                  <c:v>71378.47828685811</c:v>
                </c:pt>
                <c:pt idx="163">
                  <c:v>74947.402201201025</c:v>
                </c:pt>
                <c:pt idx="164">
                  <c:v>78694.772311261084</c:v>
                </c:pt>
                <c:pt idx="165">
                  <c:v>82629.510926824136</c:v>
                </c:pt>
                <c:pt idx="166">
                  <c:v>86760.986473165351</c:v>
                </c:pt>
                <c:pt idx="167">
                  <c:v>91099.03579682362</c:v>
                </c:pt>
                <c:pt idx="168">
                  <c:v>95653.987586664807</c:v>
                </c:pt>
                <c:pt idx="169">
                  <c:v>100436.68696599806</c:v>
                </c:pt>
                <c:pt idx="170">
                  <c:v>105458.52131429796</c:v>
                </c:pt>
                <c:pt idx="171">
                  <c:v>110731.44738001286</c:v>
                </c:pt>
                <c:pt idx="172">
                  <c:v>116268.0197490135</c:v>
                </c:pt>
                <c:pt idx="173">
                  <c:v>122081.42073646418</c:v>
                </c:pt>
                <c:pt idx="174">
                  <c:v>128185.49177328739</c:v>
                </c:pt>
                <c:pt idx="175">
                  <c:v>134594.76636195177</c:v>
                </c:pt>
                <c:pt idx="176">
                  <c:v>141324.50468004937</c:v>
                </c:pt>
                <c:pt idx="177">
                  <c:v>148390.72991405186</c:v>
                </c:pt>
                <c:pt idx="178">
                  <c:v>155810.26640975446</c:v>
                </c:pt>
                <c:pt idx="179">
                  <c:v>163600.77973024218</c:v>
                </c:pt>
                <c:pt idx="180">
                  <c:v>171780.81871675429</c:v>
                </c:pt>
                <c:pt idx="181">
                  <c:v>180369.85965259201</c:v>
                </c:pt>
                <c:pt idx="182">
                  <c:v>189388.35263522161</c:v>
                </c:pt>
                <c:pt idx="183">
                  <c:v>198857.7702669827</c:v>
                </c:pt>
                <c:pt idx="184">
                  <c:v>208800.65878033184</c:v>
                </c:pt>
                <c:pt idx="185">
                  <c:v>219240.69171934846</c:v>
                </c:pt>
                <c:pt idx="186">
                  <c:v>230202.72630531588</c:v>
                </c:pt>
                <c:pt idx="187">
                  <c:v>241712.8626205817</c:v>
                </c:pt>
                <c:pt idx="188">
                  <c:v>253798.50575161079</c:v>
                </c:pt>
                <c:pt idx="189">
                  <c:v>266488.43103919132</c:v>
                </c:pt>
                <c:pt idx="190">
                  <c:v>279812.85259115091</c:v>
                </c:pt>
                <c:pt idx="191">
                  <c:v>293803.49522070849</c:v>
                </c:pt>
                <c:pt idx="192">
                  <c:v>308493.66998174391</c:v>
                </c:pt>
                <c:pt idx="193">
                  <c:v>323918.35348083114</c:v>
                </c:pt>
                <c:pt idx="194">
                  <c:v>340114.27115487272</c:v>
                </c:pt>
                <c:pt idx="195">
                  <c:v>357119.98471261637</c:v>
                </c:pt>
                <c:pt idx="196">
                  <c:v>374975.98394824722</c:v>
                </c:pt>
                <c:pt idx="197">
                  <c:v>393724.7831456596</c:v>
                </c:pt>
                <c:pt idx="198">
                  <c:v>413411.02230294258</c:v>
                </c:pt>
                <c:pt idx="199">
                  <c:v>434081.57341808971</c:v>
                </c:pt>
                <c:pt idx="200">
                  <c:v>455785.65208899422</c:v>
                </c:pt>
                <c:pt idx="201">
                  <c:v>478574.93469344394</c:v>
                </c:pt>
                <c:pt idx="202">
                  <c:v>502503.68142811616</c:v>
                </c:pt>
                <c:pt idx="203">
                  <c:v>527628.86549952195</c:v>
                </c:pt>
                <c:pt idx="204">
                  <c:v>554010.30877449806</c:v>
                </c:pt>
                <c:pt idx="205">
                  <c:v>581710.82421322295</c:v>
                </c:pt>
                <c:pt idx="206">
                  <c:v>610796.36542388413</c:v>
                </c:pt>
                <c:pt idx="207">
                  <c:v>641336.18369507836</c:v>
                </c:pt>
                <c:pt idx="208">
                  <c:v>673402.99287983228</c:v>
                </c:pt>
                <c:pt idx="209">
                  <c:v>707073.14252382389</c:v>
                </c:pt>
                <c:pt idx="210">
                  <c:v>742426.79965001508</c:v>
                </c:pt>
                <c:pt idx="211">
                  <c:v>779548.13963251584</c:v>
                </c:pt>
                <c:pt idx="212">
                  <c:v>818525.54661414167</c:v>
                </c:pt>
                <c:pt idx="213">
                  <c:v>859451.82394484885</c:v>
                </c:pt>
                <c:pt idx="214">
                  <c:v>902424.41514209134</c:v>
                </c:pt>
                <c:pt idx="215">
                  <c:v>947545.63589919591</c:v>
                </c:pt>
                <c:pt idx="216">
                  <c:v>994922.91769415571</c:v>
                </c:pt>
                <c:pt idx="217">
                  <c:v>1044669.0635788635</c:v>
                </c:pt>
                <c:pt idx="218">
                  <c:v>1096902.5167578068</c:v>
                </c:pt>
                <c:pt idx="219">
                  <c:v>1151747.6425956972</c:v>
                </c:pt>
                <c:pt idx="220">
                  <c:v>1209335.0247254821</c:v>
                </c:pt>
                <c:pt idx="221">
                  <c:v>1269801.7759617562</c:v>
                </c:pt>
                <c:pt idx="222">
                  <c:v>1333291.864759844</c:v>
                </c:pt>
                <c:pt idx="223">
                  <c:v>1399956.4579978364</c:v>
                </c:pt>
                <c:pt idx="224">
                  <c:v>1469954.2808977284</c:v>
                </c:pt>
                <c:pt idx="225">
                  <c:v>1543451.9949426148</c:v>
                </c:pt>
                <c:pt idx="226">
                  <c:v>1620624.5946897457</c:v>
                </c:pt>
                <c:pt idx="227">
                  <c:v>1701655.8244242331</c:v>
                </c:pt>
                <c:pt idx="228">
                  <c:v>1786738.6156454447</c:v>
                </c:pt>
                <c:pt idx="229">
                  <c:v>1876075.546427717</c:v>
                </c:pt>
                <c:pt idx="230">
                  <c:v>1969879.3237491029</c:v>
                </c:pt>
                <c:pt idx="231">
                  <c:v>2068373.2899365581</c:v>
                </c:pt>
                <c:pt idx="232">
                  <c:v>2171791.9544333862</c:v>
                </c:pt>
                <c:pt idx="233">
                  <c:v>2280381.5521550556</c:v>
                </c:pt>
                <c:pt idx="234">
                  <c:v>2394400.6297628083</c:v>
                </c:pt>
                <c:pt idx="235">
                  <c:v>2514120.6612509489</c:v>
                </c:pt>
                <c:pt idx="236">
                  <c:v>2639826.6943134964</c:v>
                </c:pt>
                <c:pt idx="237">
                  <c:v>2771818.0290291714</c:v>
                </c:pt>
                <c:pt idx="238">
                  <c:v>2910408.9304806301</c:v>
                </c:pt>
                <c:pt idx="239">
                  <c:v>3055929.3770046616</c:v>
                </c:pt>
              </c:numCache>
            </c:numRef>
          </c:xVal>
          <c:yVal>
            <c:numRef>
              <c:f>Coordenograma!$M$3:$M$242</c:f>
              <c:numCache>
                <c:formatCode>General</c:formatCode>
                <c:ptCount val="240"/>
                <c:pt idx="0">
                  <c:v>133.88336857863715</c:v>
                </c:pt>
                <c:pt idx="1">
                  <c:v>65.308960282262063</c:v>
                </c:pt>
                <c:pt idx="2">
                  <c:v>42.468951174825428</c:v>
                </c:pt>
                <c:pt idx="3">
                  <c:v>31.062525699054497</c:v>
                </c:pt>
                <c:pt idx="4">
                  <c:v>24.229515601251389</c:v>
                </c:pt>
                <c:pt idx="5">
                  <c:v>19.683193870494382</c:v>
                </c:pt>
                <c:pt idx="6">
                  <c:v>16.44353102178998</c:v>
                </c:pt>
                <c:pt idx="7">
                  <c:v>14.020509172138187</c:v>
                </c:pt>
                <c:pt idx="8">
                  <c:v>12.141893403824483</c:v>
                </c:pt>
                <c:pt idx="9">
                  <c:v>10.644340313788126</c:v>
                </c:pt>
                <c:pt idx="10">
                  <c:v>9.4239019032868061</c:v>
                </c:pt>
                <c:pt idx="11">
                  <c:v>8.4112775259208288</c:v>
                </c:pt>
                <c:pt idx="12">
                  <c:v>7.5584880163398669</c:v>
                </c:pt>
                <c:pt idx="13">
                  <c:v>6.8312609091914975</c:v>
                </c:pt>
                <c:pt idx="14">
                  <c:v>6.2044615727656733</c:v>
                </c:pt>
                <c:pt idx="15">
                  <c:v>5.6592376695562177</c:v>
                </c:pt>
                <c:pt idx="16">
                  <c:v>5.1811714560866946</c:v>
                </c:pt>
                <c:pt idx="17">
                  <c:v>4.7590479844113975</c:v>
                </c:pt>
                <c:pt idx="18">
                  <c:v>4.3840122940519706</c:v>
                </c:pt>
                <c:pt idx="19">
                  <c:v>4.0489794476228962</c:v>
                </c:pt>
                <c:pt idx="20">
                  <c:v>3.7482131288239464</c:v>
                </c:pt>
                <c:pt idx="21">
                  <c:v>3.477019169229207</c:v>
                </c:pt>
                <c:pt idx="22">
                  <c:v>3.2315190254557025</c:v>
                </c:pt>
                <c:pt idx="23">
                  <c:v>3.0084798877659686</c:v>
                </c:pt>
                <c:pt idx="24">
                  <c:v>2.8051855632209155</c:v>
                </c:pt>
                <c:pt idx="25">
                  <c:v>2.6193371555401663</c:v>
                </c:pt>
                <c:pt idx="26">
                  <c:v>2.4489758165213344</c:v>
                </c:pt>
                <c:pt idx="27">
                  <c:v>2.2924220510553441</c:v>
                </c:pt>
                <c:pt idx="28">
                  <c:v>2.148227579972215</c:v>
                </c:pt>
                <c:pt idx="29">
                  <c:v>2.015136830490099</c:v>
                </c:pt>
                <c:pt idx="30">
                  <c:v>1.8920558802291183</c:v>
                </c:pt>
                <c:pt idx="31">
                  <c:v>1.7780272242624486</c:v>
                </c:pt>
                <c:pt idx="32">
                  <c:v>1.6722091299579258</c:v>
                </c:pt>
                <c:pt idx="33">
                  <c:v>1.5738586350113493</c:v>
                </c:pt>
                <c:pt idx="34">
                  <c:v>1.4823174599826274</c:v>
                </c:pt>
                <c:pt idx="35">
                  <c:v>1.3970002685785781</c:v>
                </c:pt>
                <c:pt idx="36">
                  <c:v>1.3173848314699432</c:v>
                </c:pt>
                <c:pt idx="37">
                  <c:v>1.2430037429505147</c:v>
                </c:pt>
                <c:pt idx="38">
                  <c:v>1.173437411685089</c:v>
                </c:pt>
                <c:pt idx="39">
                  <c:v>1.1083081025456234</c:v>
                </c:pt>
                <c:pt idx="40">
                  <c:v>1.0472748500493145</c:v>
                </c:pt>
                <c:pt idx="41">
                  <c:v>0.99002909810218365</c:v>
                </c:pt>
                <c:pt idx="42">
                  <c:v>0.93629094778567701</c:v>
                </c:pt>
                <c:pt idx="43">
                  <c:v>0.88580591642802842</c:v>
                </c:pt>
                <c:pt idx="44">
                  <c:v>0.83834212840557332</c:v>
                </c:pt>
                <c:pt idx="45">
                  <c:v>0.79368787195673507</c:v>
                </c:pt>
                <c:pt idx="46">
                  <c:v>0.7516494674791997</c:v>
                </c:pt>
                <c:pt idx="47">
                  <c:v>0.71204940187086507</c:v>
                </c:pt>
                <c:pt idx="48">
                  <c:v>0.67472469089559062</c:v>
                </c:pt>
                <c:pt idx="49">
                  <c:v>0.63952543763951153</c:v>
                </c:pt>
                <c:pt idx="50">
                  <c:v>0.60631356013460302</c:v>
                </c:pt>
                <c:pt idx="51">
                  <c:v>0.5749616653697921</c:v>
                </c:pt>
                <c:pt idx="52">
                  <c:v>0.54535205034984457</c:v>
                </c:pt>
                <c:pt idx="53">
                  <c:v>0.51737581372882702</c:v>
                </c:pt>
                <c:pt idx="54">
                  <c:v>0.49093206394237249</c:v>
                </c:pt>
                <c:pt idx="55">
                  <c:v>0.46592721177507501</c:v>
                </c:pt>
                <c:pt idx="56">
                  <c:v>0.44227433699365781</c:v>
                </c:pt>
                <c:pt idx="57">
                  <c:v>0.41989262010792899</c:v>
                </c:pt>
                <c:pt idx="58">
                  <c:v>0.3987068315344986</c:v>
                </c:pt>
                <c:pt idx="59">
                  <c:v>0.37864687146918746</c:v>
                </c:pt>
                <c:pt idx="60">
                  <c:v>0.35964735465285208</c:v>
                </c:pt>
                <c:pt idx="61">
                  <c:v>0.341647234966519</c:v>
                </c:pt>
                <c:pt idx="62">
                  <c:v>0.32458946543552392</c:v>
                </c:pt>
                <c:pt idx="63">
                  <c:v>0.30842068977555859</c:v>
                </c:pt>
                <c:pt idx="64">
                  <c:v>0.29309096209009128</c:v>
                </c:pt>
                <c:pt idx="65">
                  <c:v>0.27855349174014199</c:v>
                </c:pt>
                <c:pt idx="66">
                  <c:v>0.26476441076358498</c:v>
                </c:pt>
                <c:pt idx="67">
                  <c:v>0.25168256153014512</c:v>
                </c:pt>
                <c:pt idx="68">
                  <c:v>0.23926930258690124</c:v>
                </c:pt>
                <c:pt idx="69">
                  <c:v>0.22748833088316678</c:v>
                </c:pt>
                <c:pt idx="70">
                  <c:v>0.21630551876796239</c:v>
                </c:pt>
                <c:pt idx="71">
                  <c:v>0.20568876433205663</c:v>
                </c:pt>
                <c:pt idx="72">
                  <c:v>0.19560785382323259</c:v>
                </c:pt>
                <c:pt idx="73">
                  <c:v>0.1860343350010247</c:v>
                </c:pt>
                <c:pt idx="74">
                  <c:v>0.17694140041821635</c:v>
                </c:pt>
                <c:pt idx="75">
                  <c:v>0.1683037797230614</c:v>
                </c:pt>
                <c:pt idx="76">
                  <c:v>0.16009764017037226</c:v>
                </c:pt>
                <c:pt idx="77">
                  <c:v>0.15230049461289752</c:v>
                </c:pt>
                <c:pt idx="78">
                  <c:v>0.14489111631818066</c:v>
                </c:pt>
                <c:pt idx="79">
                  <c:v>0.13784946002153536</c:v>
                </c:pt>
                <c:pt idx="80">
                  <c:v>0.13115658868392502</c:v>
                </c:pt>
                <c:pt idx="81">
                  <c:v>0.12479460547528144</c:v>
                </c:pt>
                <c:pt idx="82">
                  <c:v>0.11874659054991631</c:v>
                </c:pt>
                <c:pt idx="83">
                  <c:v>0.11299654222184097</c:v>
                </c:pt>
                <c:pt idx="84">
                  <c:v>0.10752932218459665</c:v>
                </c:pt>
                <c:pt idx="85">
                  <c:v>0.10233060445312292</c:v>
                </c:pt>
                <c:pt idx="86">
                  <c:v>9.7386827734698464E-2</c:v>
                </c:pt>
                <c:pt idx="87">
                  <c:v>9.2685150962468446E-2</c:v>
                </c:pt>
                <c:pt idx="88">
                  <c:v>8.8213411748864573E-2</c:v>
                </c:pt>
                <c:pt idx="89">
                  <c:v>8.3960087537629818E-2</c:v>
                </c:pt>
                <c:pt idx="90">
                  <c:v>7.9914259252443151E-2</c:v>
                </c:pt>
                <c:pt idx="91">
                  <c:v>7.6065577257529576E-2</c:v>
                </c:pt>
                <c:pt idx="92">
                  <c:v>7.2404229461345157E-2</c:v>
                </c:pt>
                <c:pt idx="93">
                  <c:v>6.892091140862365E-2</c:v>
                </c:pt>
                <c:pt idx="94">
                  <c:v>0.05</c:v>
                </c:pt>
                <c:pt idx="95">
                  <c:v>0.05</c:v>
                </c:pt>
                <c:pt idx="96">
                  <c:v>0.05</c:v>
                </c:pt>
                <c:pt idx="97">
                  <c:v>0.05</c:v>
                </c:pt>
                <c:pt idx="98">
                  <c:v>0.05</c:v>
                </c:pt>
                <c:pt idx="99">
                  <c:v>0.05</c:v>
                </c:pt>
                <c:pt idx="100">
                  <c:v>0.05</c:v>
                </c:pt>
                <c:pt idx="101">
                  <c:v>0.05</c:v>
                </c:pt>
                <c:pt idx="102">
                  <c:v>0.05</c:v>
                </c:pt>
                <c:pt idx="103">
                  <c:v>0.05</c:v>
                </c:pt>
                <c:pt idx="104">
                  <c:v>0.05</c:v>
                </c:pt>
                <c:pt idx="105">
                  <c:v>0.05</c:v>
                </c:pt>
                <c:pt idx="106">
                  <c:v>0.05</c:v>
                </c:pt>
                <c:pt idx="107">
                  <c:v>0.05</c:v>
                </c:pt>
                <c:pt idx="108">
                  <c:v>0.05</c:v>
                </c:pt>
                <c:pt idx="109">
                  <c:v>0.05</c:v>
                </c:pt>
                <c:pt idx="110">
                  <c:v>0.05</c:v>
                </c:pt>
                <c:pt idx="111">
                  <c:v>0.05</c:v>
                </c:pt>
                <c:pt idx="112">
                  <c:v>0.05</c:v>
                </c:pt>
                <c:pt idx="113">
                  <c:v>0.05</c:v>
                </c:pt>
                <c:pt idx="114">
                  <c:v>0.05</c:v>
                </c:pt>
                <c:pt idx="115">
                  <c:v>0.05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0.05</c:v>
                </c:pt>
                <c:pt idx="132">
                  <c:v>0.05</c:v>
                </c:pt>
                <c:pt idx="133">
                  <c:v>0.05</c:v>
                </c:pt>
                <c:pt idx="134">
                  <c:v>0.05</c:v>
                </c:pt>
                <c:pt idx="135">
                  <c:v>0.05</c:v>
                </c:pt>
                <c:pt idx="136">
                  <c:v>0.05</c:v>
                </c:pt>
                <c:pt idx="137">
                  <c:v>0.05</c:v>
                </c:pt>
                <c:pt idx="138">
                  <c:v>0.05</c:v>
                </c:pt>
                <c:pt idx="139">
                  <c:v>0.05</c:v>
                </c:pt>
                <c:pt idx="140">
                  <c:v>0.05</c:v>
                </c:pt>
                <c:pt idx="141">
                  <c:v>0.05</c:v>
                </c:pt>
                <c:pt idx="142">
                  <c:v>0.05</c:v>
                </c:pt>
                <c:pt idx="143">
                  <c:v>0.05</c:v>
                </c:pt>
                <c:pt idx="144">
                  <c:v>0.05</c:v>
                </c:pt>
                <c:pt idx="145">
                  <c:v>0.05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0.05</c:v>
                </c:pt>
                <c:pt idx="156">
                  <c:v>0.05</c:v>
                </c:pt>
                <c:pt idx="157">
                  <c:v>0.05</c:v>
                </c:pt>
                <c:pt idx="158">
                  <c:v>0.05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0.05</c:v>
                </c:pt>
                <c:pt idx="169">
                  <c:v>0.05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0.05</c:v>
                </c:pt>
                <c:pt idx="188">
                  <c:v>0.05</c:v>
                </c:pt>
                <c:pt idx="189">
                  <c:v>0.05</c:v>
                </c:pt>
                <c:pt idx="190">
                  <c:v>0.05</c:v>
                </c:pt>
                <c:pt idx="191">
                  <c:v>0.05</c:v>
                </c:pt>
                <c:pt idx="192">
                  <c:v>0.05</c:v>
                </c:pt>
                <c:pt idx="193">
                  <c:v>0.05</c:v>
                </c:pt>
                <c:pt idx="194">
                  <c:v>0.05</c:v>
                </c:pt>
                <c:pt idx="195">
                  <c:v>0.05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0.05</c:v>
                </c:pt>
                <c:pt idx="221">
                  <c:v>0.05</c:v>
                </c:pt>
                <c:pt idx="222">
                  <c:v>0.05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0.05</c:v>
                </c:pt>
                <c:pt idx="229">
                  <c:v>0.05</c:v>
                </c:pt>
                <c:pt idx="230">
                  <c:v>0.05</c:v>
                </c:pt>
                <c:pt idx="231">
                  <c:v>0.05</c:v>
                </c:pt>
                <c:pt idx="232">
                  <c:v>0.05</c:v>
                </c:pt>
                <c:pt idx="233">
                  <c:v>0.05</c:v>
                </c:pt>
                <c:pt idx="234">
                  <c:v>0.05</c:v>
                </c:pt>
                <c:pt idx="235">
                  <c:v>0.05</c:v>
                </c:pt>
                <c:pt idx="236">
                  <c:v>0.05</c:v>
                </c:pt>
                <c:pt idx="237">
                  <c:v>0.05</c:v>
                </c:pt>
                <c:pt idx="238">
                  <c:v>0.05</c:v>
                </c:pt>
                <c:pt idx="239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0-4597-9703-ED5411D275A9}"/>
            </c:ext>
          </c:extLst>
        </c:ser>
        <c:ser>
          <c:idx val="1"/>
          <c:order val="1"/>
          <c:tx>
            <c:strRef>
              <c:f>Coordenograma!$C$9</c:f>
              <c:strCache>
                <c:ptCount val="1"/>
                <c:pt idx="0">
                  <c:v>Corrente ANSI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4"/>
              </a:solidFill>
              <a:ln w="6350" cap="flat" cmpd="sng" algn="ctr">
                <a:solidFill>
                  <a:schemeClr val="accent4"/>
                </a:solidFill>
                <a:prstDash val="solid"/>
                <a:round/>
              </a:ln>
              <a:effectLst/>
            </c:spPr>
          </c:marker>
          <c:xVal>
            <c:numRef>
              <c:f>Coordenograma!$B$9</c:f>
              <c:numCache>
                <c:formatCode>0.0</c:formatCode>
                <c:ptCount val="1"/>
                <c:pt idx="0">
                  <c:v>380.33614571121592</c:v>
                </c:pt>
              </c:numCache>
            </c:numRef>
          </c:xVal>
          <c:yVal>
            <c:numRef>
              <c:f>Coordenograma!$B$10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0-4597-9703-ED5411D275A9}"/>
            </c:ext>
          </c:extLst>
        </c:ser>
        <c:ser>
          <c:idx val="2"/>
          <c:order val="2"/>
          <c:tx>
            <c:strRef>
              <c:f>Coordenograma!$C$11</c:f>
              <c:strCache>
                <c:ptCount val="1"/>
                <c:pt idx="0">
                  <c:v>Corrente de Magnetização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6"/>
              </a:solidFill>
              <a:ln w="6350" cap="flat" cmpd="sng" algn="ctr">
                <a:solidFill>
                  <a:schemeClr val="accent6"/>
                </a:solidFill>
                <a:prstDash val="solid"/>
                <a:round/>
              </a:ln>
              <a:effectLst/>
            </c:spPr>
          </c:marker>
          <c:xVal>
            <c:numRef>
              <c:f>Coordenograma!$B$11</c:f>
              <c:numCache>
                <c:formatCode>0.0</c:formatCode>
                <c:ptCount val="1"/>
                <c:pt idx="0">
                  <c:v>167.347904112935</c:v>
                </c:pt>
              </c:numCache>
            </c:numRef>
          </c:xVal>
          <c:yVal>
            <c:numRef>
              <c:f>Coordenograma!$B$12</c:f>
              <c:numCache>
                <c:formatCode>General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0-4597-9703-ED5411D275A9}"/>
            </c:ext>
          </c:extLst>
        </c:ser>
        <c:ser>
          <c:idx val="3"/>
          <c:order val="3"/>
          <c:tx>
            <c:strRef>
              <c:f>Coordenograma!$C$13</c:f>
              <c:strCache>
                <c:ptCount val="1"/>
                <c:pt idx="0">
                  <c:v>Corrente nominal do trafo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noFill/>
              <a:ln w="6350" cap="flat" cmpd="sng" algn="ctr">
                <a:solidFill>
                  <a:schemeClr val="accent2">
                    <a:lumMod val="6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Coordenograma!$B$13</c:f>
              <c:numCache>
                <c:formatCode>0.00</c:formatCode>
                <c:ptCount val="1"/>
                <c:pt idx="0">
                  <c:v>20.918488014116875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BAA0-4597-9703-ED5411D27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</c:scatterChart>
      <c:valAx>
        <c:axId val="205394110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corrente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935"/>
        <c:crosses val="autoZero"/>
        <c:crossBetween val="midCat"/>
      </c:valAx>
      <c:valAx>
        <c:axId val="2053941935"/>
        <c:scaling>
          <c:logBase val="10"/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103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50/51N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5"/>
          <c:order val="1"/>
          <c:tx>
            <c:strRef>
              <c:f>Coordenograma!$C$22</c:f>
              <c:strCache>
                <c:ptCount val="1"/>
                <c:pt idx="0">
                  <c:v>Corrente de falta FT min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4">
                  <a:lumMod val="60000"/>
                </a:schemeClr>
              </a:solidFill>
              <a:ln w="6350" cap="flat" cmpd="sng" algn="ctr">
                <a:solidFill>
                  <a:schemeClr val="accent4">
                    <a:lumMod val="6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Coordenograma!$B$22</c:f>
              <c:numCache>
                <c:formatCode>0.00</c:formatCode>
                <c:ptCount val="1"/>
                <c:pt idx="0">
                  <c:v>78.325972099303485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60B5-471A-9DF1-ECE3B614E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</c:scatterChart>
      <c:scatterChart>
        <c:scatterStyle val="smoothMarker"/>
        <c:varyColors val="0"/>
        <c:ser>
          <c:idx val="4"/>
          <c:order val="0"/>
          <c:tx>
            <c:strRef>
              <c:f>Coordenograma!$AB$2</c:f>
              <c:strCache>
                <c:ptCount val="1"/>
                <c:pt idx="0">
                  <c:v>50/51N da Carga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Coordenograma!$U$3:$U$242</c:f>
              <c:numCache>
                <c:formatCode>General</c:formatCode>
                <c:ptCount val="240"/>
                <c:pt idx="0">
                  <c:v>5.2714589795574529</c:v>
                </c:pt>
                <c:pt idx="1">
                  <c:v>5.535031928535326</c:v>
                </c:pt>
                <c:pt idx="2">
                  <c:v>5.8117835249620926</c:v>
                </c:pt>
                <c:pt idx="3">
                  <c:v>6.1023727012101974</c:v>
                </c:pt>
                <c:pt idx="4">
                  <c:v>6.4074913362707075</c:v>
                </c:pt>
                <c:pt idx="5">
                  <c:v>6.7278659030842434</c:v>
                </c:pt>
                <c:pt idx="6">
                  <c:v>7.0642591982384557</c:v>
                </c:pt>
                <c:pt idx="7">
                  <c:v>7.4174721581503791</c:v>
                </c:pt>
                <c:pt idx="8">
                  <c:v>7.7883457660578985</c:v>
                </c:pt>
                <c:pt idx="9">
                  <c:v>8.1777630543607938</c:v>
                </c:pt>
                <c:pt idx="10">
                  <c:v>8.5866512070788339</c:v>
                </c:pt>
                <c:pt idx="11">
                  <c:v>9.0159837674327754</c:v>
                </c:pt>
                <c:pt idx="12">
                  <c:v>9.4667829558044154</c:v>
                </c:pt>
                <c:pt idx="13">
                  <c:v>9.9401221035946374</c:v>
                </c:pt>
                <c:pt idx="14">
                  <c:v>10.43712820877437</c:v>
                </c:pt>
                <c:pt idx="15">
                  <c:v>10.958984619213089</c:v>
                </c:pt>
                <c:pt idx="16">
                  <c:v>11.506933850173743</c:v>
                </c:pt>
                <c:pt idx="17">
                  <c:v>12.082280542682431</c:v>
                </c:pt>
                <c:pt idx="18">
                  <c:v>12.686394569816553</c:v>
                </c:pt>
                <c:pt idx="19">
                  <c:v>13.320714298307381</c:v>
                </c:pt>
                <c:pt idx="20">
                  <c:v>13.986750013222752</c:v>
                </c:pt>
                <c:pt idx="21">
                  <c:v>14.686087513883889</c:v>
                </c:pt>
                <c:pt idx="22">
                  <c:v>15.420391889578084</c:v>
                </c:pt>
                <c:pt idx="23">
                  <c:v>16.191411484056989</c:v>
                </c:pt>
                <c:pt idx="24">
                  <c:v>17.00098205825984</c:v>
                </c:pt>
                <c:pt idx="25">
                  <c:v>17.851031161172834</c:v>
                </c:pt>
                <c:pt idx="26">
                  <c:v>18.743582719231476</c:v>
                </c:pt>
                <c:pt idx="27">
                  <c:v>19.680761855193051</c:v>
                </c:pt>
                <c:pt idx="28">
                  <c:v>20.664799947952705</c:v>
                </c:pt>
                <c:pt idx="29">
                  <c:v>21.698039945350342</c:v>
                </c:pt>
                <c:pt idx="30">
                  <c:v>22.78294194261786</c:v>
                </c:pt>
                <c:pt idx="31">
                  <c:v>23.922089039748755</c:v>
                </c:pt>
                <c:pt idx="32">
                  <c:v>25.118193491736193</c:v>
                </c:pt>
                <c:pt idx="33">
                  <c:v>26.374103166323003</c:v>
                </c:pt>
                <c:pt idx="34">
                  <c:v>27.692808324639156</c:v>
                </c:pt>
                <c:pt idx="35">
                  <c:v>29.077448740871116</c:v>
                </c:pt>
                <c:pt idx="36">
                  <c:v>30.531321177914673</c:v>
                </c:pt>
                <c:pt idx="37">
                  <c:v>32.057887236810409</c:v>
                </c:pt>
                <c:pt idx="38">
                  <c:v>33.660781598650928</c:v>
                </c:pt>
                <c:pt idx="39">
                  <c:v>35.343820678583477</c:v>
                </c:pt>
                <c:pt idx="40">
                  <c:v>37.111011712512649</c:v>
                </c:pt>
                <c:pt idx="41">
                  <c:v>38.966562298138285</c:v>
                </c:pt>
                <c:pt idx="42">
                  <c:v>40.9148904130452</c:v>
                </c:pt>
                <c:pt idx="43">
                  <c:v>42.960634933697463</c:v>
                </c:pt>
                <c:pt idx="44">
                  <c:v>45.108666680382335</c:v>
                </c:pt>
                <c:pt idx="45">
                  <c:v>47.364100014401451</c:v>
                </c:pt>
                <c:pt idx="46">
                  <c:v>49.732305015121526</c:v>
                </c:pt>
                <c:pt idx="47">
                  <c:v>52.218920265877607</c:v>
                </c:pt>
                <c:pt idx="48">
                  <c:v>54.82986627917149</c:v>
                </c:pt>
                <c:pt idx="49">
                  <c:v>57.571359593130069</c:v>
                </c:pt>
                <c:pt idx="50">
                  <c:v>60.449927572786578</c:v>
                </c:pt>
                <c:pt idx="51">
                  <c:v>63.47242395142591</c:v>
                </c:pt>
                <c:pt idx="52">
                  <c:v>66.646045148997203</c:v>
                </c:pt>
                <c:pt idx="53">
                  <c:v>69.978347406447071</c:v>
                </c:pt>
                <c:pt idx="54">
                  <c:v>73.477264776769431</c:v>
                </c:pt>
                <c:pt idx="55">
                  <c:v>77.15112801560791</c:v>
                </c:pt>
                <c:pt idx="56">
                  <c:v>81.008684416388306</c:v>
                </c:pt>
                <c:pt idx="57">
                  <c:v>85.059118637207732</c:v>
                </c:pt>
                <c:pt idx="58">
                  <c:v>89.312074569068116</c:v>
                </c:pt>
                <c:pt idx="59">
                  <c:v>93.777678297521533</c:v>
                </c:pt>
                <c:pt idx="60">
                  <c:v>98.466562212397619</c:v>
                </c:pt>
                <c:pt idx="61">
                  <c:v>103.38989032301751</c:v>
                </c:pt>
                <c:pt idx="62">
                  <c:v>108.55938483916839</c:v>
                </c:pt>
                <c:pt idx="63">
                  <c:v>113.98735408112681</c:v>
                </c:pt>
                <c:pt idx="64">
                  <c:v>119.68672178518315</c:v>
                </c:pt>
                <c:pt idx="65">
                  <c:v>125.67105787444231</c:v>
                </c:pt>
                <c:pt idx="66">
                  <c:v>131.95461076816443</c:v>
                </c:pt>
                <c:pt idx="67">
                  <c:v>138.55234130657266</c:v>
                </c:pt>
                <c:pt idx="68">
                  <c:v>145.47995837190129</c:v>
                </c:pt>
                <c:pt idx="69">
                  <c:v>152.75395629049635</c:v>
                </c:pt>
                <c:pt idx="70">
                  <c:v>160.39165410502116</c:v>
                </c:pt>
                <c:pt idx="71">
                  <c:v>168.41123681027221</c:v>
                </c:pt>
                <c:pt idx="72">
                  <c:v>176.83179865078583</c:v>
                </c:pt>
                <c:pt idx="73">
                  <c:v>185.67338858332513</c:v>
                </c:pt>
                <c:pt idx="74">
                  <c:v>194.95705801249139</c:v>
                </c:pt>
                <c:pt idx="75">
                  <c:v>204.70491091311595</c:v>
                </c:pt>
                <c:pt idx="76">
                  <c:v>214.94015645877175</c:v>
                </c:pt>
                <c:pt idx="77">
                  <c:v>225.68716428171035</c:v>
                </c:pt>
                <c:pt idx="78">
                  <c:v>236.97152249579588</c:v>
                </c:pt>
                <c:pt idx="79">
                  <c:v>248.8200986205857</c:v>
                </c:pt>
                <c:pt idx="80">
                  <c:v>261.26110355161501</c:v>
                </c:pt>
                <c:pt idx="81">
                  <c:v>274.32415872919574</c:v>
                </c:pt>
                <c:pt idx="82">
                  <c:v>288.04036666565554</c:v>
                </c:pt>
                <c:pt idx="83">
                  <c:v>302.44238499893834</c:v>
                </c:pt>
                <c:pt idx="84">
                  <c:v>317.56450424888527</c:v>
                </c:pt>
                <c:pt idx="85">
                  <c:v>333.44272946132952</c:v>
                </c:pt>
                <c:pt idx="86">
                  <c:v>350.11486593439599</c:v>
                </c:pt>
                <c:pt idx="87">
                  <c:v>367.62060923111579</c:v>
                </c:pt>
                <c:pt idx="88">
                  <c:v>386.00163969267157</c:v>
                </c:pt>
                <c:pt idx="89">
                  <c:v>405.30172167730518</c:v>
                </c:pt>
                <c:pt idx="90">
                  <c:v>425.56680776117048</c:v>
                </c:pt>
                <c:pt idx="91">
                  <c:v>446.84514814922903</c:v>
                </c:pt>
                <c:pt idx="92">
                  <c:v>469.18740555669052</c:v>
                </c:pt>
                <c:pt idx="93">
                  <c:v>492.64677583452504</c:v>
                </c:pt>
                <c:pt idx="94">
                  <c:v>517.27911462625127</c:v>
                </c:pt>
                <c:pt idx="95">
                  <c:v>543.14307035756383</c:v>
                </c:pt>
                <c:pt idx="96">
                  <c:v>570.30022387544204</c:v>
                </c:pt>
                <c:pt idx="97">
                  <c:v>598.81523506921417</c:v>
                </c:pt>
                <c:pt idx="98">
                  <c:v>628.75599682267489</c:v>
                </c:pt>
                <c:pt idx="99">
                  <c:v>660.19379666380871</c:v>
                </c:pt>
                <c:pt idx="100">
                  <c:v>693.20348649699918</c:v>
                </c:pt>
                <c:pt idx="101">
                  <c:v>727.86366082184918</c:v>
                </c:pt>
                <c:pt idx="102">
                  <c:v>764.25684386294165</c:v>
                </c:pt>
                <c:pt idx="103">
                  <c:v>802.46968605608879</c:v>
                </c:pt>
                <c:pt idx="104">
                  <c:v>842.5931703588933</c:v>
                </c:pt>
                <c:pt idx="105">
                  <c:v>884.72282887683798</c:v>
                </c:pt>
                <c:pt idx="106">
                  <c:v>928.9589703206799</c:v>
                </c:pt>
                <c:pt idx="107">
                  <c:v>975.40691883671388</c:v>
                </c:pt>
                <c:pt idx="108">
                  <c:v>1024.1772647785497</c:v>
                </c:pt>
                <c:pt idx="109">
                  <c:v>1075.3861280174772</c:v>
                </c:pt>
                <c:pt idx="110">
                  <c:v>1129.155434418351</c:v>
                </c:pt>
                <c:pt idx="111">
                  <c:v>1185.6132061392686</c:v>
                </c:pt>
                <c:pt idx="112">
                  <c:v>1244.8938664462321</c:v>
                </c:pt>
                <c:pt idx="113">
                  <c:v>1307.1385597685437</c:v>
                </c:pt>
                <c:pt idx="114">
                  <c:v>1372.495487756971</c:v>
                </c:pt>
                <c:pt idx="115">
                  <c:v>1441.1202621448197</c:v>
                </c:pt>
                <c:pt idx="116">
                  <c:v>1513.1762752520608</c:v>
                </c:pt>
                <c:pt idx="117">
                  <c:v>1588.8350890146639</c:v>
                </c:pt>
                <c:pt idx="118">
                  <c:v>1668.2768434653972</c:v>
                </c:pt>
                <c:pt idx="119">
                  <c:v>1751.6906856386672</c:v>
                </c:pt>
                <c:pt idx="120">
                  <c:v>1839.2752199206006</c:v>
                </c:pt>
                <c:pt idx="121">
                  <c:v>1931.2389809166307</c:v>
                </c:pt>
                <c:pt idx="122">
                  <c:v>2027.8009299624623</c:v>
                </c:pt>
                <c:pt idx="123">
                  <c:v>2129.1909764605857</c:v>
                </c:pt>
                <c:pt idx="124">
                  <c:v>2235.650525283615</c:v>
                </c:pt>
                <c:pt idx="125">
                  <c:v>2347.4330515477959</c:v>
                </c:pt>
                <c:pt idx="126">
                  <c:v>2464.8047041251857</c:v>
                </c:pt>
                <c:pt idx="127">
                  <c:v>2588.0449393314452</c:v>
                </c:pt>
                <c:pt idx="128">
                  <c:v>2717.4471862980176</c:v>
                </c:pt>
                <c:pt idx="129">
                  <c:v>2853.3195456129188</c:v>
                </c:pt>
                <c:pt idx="130">
                  <c:v>2995.9855228935648</c:v>
                </c:pt>
                <c:pt idx="131">
                  <c:v>3145.7847990382434</c:v>
                </c:pt>
                <c:pt idx="132">
                  <c:v>3303.0740389901557</c:v>
                </c:pt>
                <c:pt idx="133">
                  <c:v>3468.2277409396638</c:v>
                </c:pt>
                <c:pt idx="134">
                  <c:v>3641.6391279866471</c:v>
                </c:pt>
                <c:pt idx="135">
                  <c:v>3823.7210843859798</c:v>
                </c:pt>
                <c:pt idx="136">
                  <c:v>4014.9071386052788</c:v>
                </c:pt>
                <c:pt idx="137">
                  <c:v>4215.6524955355426</c:v>
                </c:pt>
                <c:pt idx="138">
                  <c:v>4426.4351203123197</c:v>
                </c:pt>
                <c:pt idx="139">
                  <c:v>4647.756876327936</c:v>
                </c:pt>
                <c:pt idx="140">
                  <c:v>4880.1447201443334</c:v>
                </c:pt>
                <c:pt idx="141">
                  <c:v>5124.1519561515506</c:v>
                </c:pt>
                <c:pt idx="142">
                  <c:v>5380.3595539591288</c:v>
                </c:pt>
                <c:pt idx="143">
                  <c:v>5649.3775316570855</c:v>
                </c:pt>
                <c:pt idx="144">
                  <c:v>5931.8464082399396</c:v>
                </c:pt>
                <c:pt idx="145">
                  <c:v>6228.4387286519368</c:v>
                </c:pt>
                <c:pt idx="146">
                  <c:v>6539.860665084534</c:v>
                </c:pt>
                <c:pt idx="147">
                  <c:v>6866.8536983387612</c:v>
                </c:pt>
                <c:pt idx="148">
                  <c:v>7210.1963832556994</c:v>
                </c:pt>
                <c:pt idx="149">
                  <c:v>7570.7062024184843</c:v>
                </c:pt>
                <c:pt idx="150">
                  <c:v>7949.2415125394091</c:v>
                </c:pt>
                <c:pt idx="151">
                  <c:v>8346.7035881663796</c:v>
                </c:pt>
                <c:pt idx="152">
                  <c:v>8764.0387675746988</c:v>
                </c:pt>
                <c:pt idx="153">
                  <c:v>9202.2407059534344</c:v>
                </c:pt>
                <c:pt idx="154">
                  <c:v>9662.3527412511066</c:v>
                </c:pt>
                <c:pt idx="155">
                  <c:v>10145.470378313663</c:v>
                </c:pt>
                <c:pt idx="156">
                  <c:v>10652.743897229346</c:v>
                </c:pt>
                <c:pt idx="157">
                  <c:v>11185.381092090813</c:v>
                </c:pt>
                <c:pt idx="158">
                  <c:v>11744.650146695354</c:v>
                </c:pt>
                <c:pt idx="159">
                  <c:v>12331.882654030122</c:v>
                </c:pt>
                <c:pt idx="160">
                  <c:v>12948.476786731628</c:v>
                </c:pt>
                <c:pt idx="161">
                  <c:v>13595.900626068209</c:v>
                </c:pt>
                <c:pt idx="162">
                  <c:v>14275.69565737162</c:v>
                </c:pt>
                <c:pt idx="163">
                  <c:v>14989.480440240201</c:v>
                </c:pt>
                <c:pt idx="164">
                  <c:v>15738.954462252212</c:v>
                </c:pt>
                <c:pt idx="165">
                  <c:v>16525.902185364823</c:v>
                </c:pt>
                <c:pt idx="166">
                  <c:v>17352.197294633064</c:v>
                </c:pt>
                <c:pt idx="167">
                  <c:v>18219.807159364718</c:v>
                </c:pt>
                <c:pt idx="168">
                  <c:v>19130.797517332954</c:v>
                </c:pt>
                <c:pt idx="169">
                  <c:v>20087.337393199603</c:v>
                </c:pt>
                <c:pt idx="170">
                  <c:v>21091.704262859585</c:v>
                </c:pt>
                <c:pt idx="171">
                  <c:v>22146.289476002567</c:v>
                </c:pt>
                <c:pt idx="172">
                  <c:v>23253.603949802695</c:v>
                </c:pt>
                <c:pt idx="173">
                  <c:v>24416.28414729283</c:v>
                </c:pt>
                <c:pt idx="174">
                  <c:v>25637.098354657472</c:v>
                </c:pt>
                <c:pt idx="175">
                  <c:v>26918.953272390347</c:v>
                </c:pt>
                <c:pt idx="176">
                  <c:v>28264.900936009864</c:v>
                </c:pt>
                <c:pt idx="177">
                  <c:v>29678.145982810358</c:v>
                </c:pt>
                <c:pt idx="178">
                  <c:v>31162.053281950877</c:v>
                </c:pt>
                <c:pt idx="179">
                  <c:v>32720.155946048424</c:v>
                </c:pt>
                <c:pt idx="180">
                  <c:v>34356.163743350844</c:v>
                </c:pt>
                <c:pt idx="181">
                  <c:v>36073.97193051839</c:v>
                </c:pt>
                <c:pt idx="182">
                  <c:v>37877.670527044313</c:v>
                </c:pt>
                <c:pt idx="183">
                  <c:v>39771.554053396532</c:v>
                </c:pt>
                <c:pt idx="184">
                  <c:v>41760.131756066359</c:v>
                </c:pt>
                <c:pt idx="185">
                  <c:v>43848.138343869679</c:v>
                </c:pt>
                <c:pt idx="186">
                  <c:v>46040.545261063162</c:v>
                </c:pt>
                <c:pt idx="187">
                  <c:v>48342.572524116324</c:v>
                </c:pt>
                <c:pt idx="188">
                  <c:v>50759.701150322144</c:v>
                </c:pt>
                <c:pt idx="189">
                  <c:v>53297.686207838255</c:v>
                </c:pt>
                <c:pt idx="190">
                  <c:v>55962.570518230168</c:v>
                </c:pt>
                <c:pt idx="191">
                  <c:v>58760.699044141678</c:v>
                </c:pt>
                <c:pt idx="192">
                  <c:v>61698.733996348768</c:v>
                </c:pt>
                <c:pt idx="193">
                  <c:v>64783.670696166213</c:v>
                </c:pt>
                <c:pt idx="194">
                  <c:v>68022.854230974524</c:v>
                </c:pt>
                <c:pt idx="195">
                  <c:v>71423.996942523256</c:v>
                </c:pt>
                <c:pt idx="196">
                  <c:v>74995.196789649417</c:v>
                </c:pt>
                <c:pt idx="197">
                  <c:v>78744.956629131892</c:v>
                </c:pt>
                <c:pt idx="198">
                  <c:v>82682.204460588488</c:v>
                </c:pt>
                <c:pt idx="199">
                  <c:v>86816.314683617922</c:v>
                </c:pt>
                <c:pt idx="200">
                  <c:v>91157.13041779882</c:v>
                </c:pt>
                <c:pt idx="201">
                  <c:v>95714.986938688759</c:v>
                </c:pt>
                <c:pt idx="202">
                  <c:v>100500.73628562321</c:v>
                </c:pt>
                <c:pt idx="203">
                  <c:v>105525.77309990437</c:v>
                </c:pt>
                <c:pt idx="204">
                  <c:v>110802.06175489959</c:v>
                </c:pt>
                <c:pt idx="205">
                  <c:v>116342.16484264458</c:v>
                </c:pt>
                <c:pt idx="206">
                  <c:v>122159.27308477681</c:v>
                </c:pt>
                <c:pt idx="207">
                  <c:v>128267.23673901566</c:v>
                </c:pt>
                <c:pt idx="208">
                  <c:v>134680.59857596643</c:v>
                </c:pt>
                <c:pt idx="209">
                  <c:v>141414.62850476475</c:v>
                </c:pt>
                <c:pt idx="210">
                  <c:v>148485.359930003</c:v>
                </c:pt>
                <c:pt idx="211">
                  <c:v>155909.62792650316</c:v>
                </c:pt>
                <c:pt idx="212">
                  <c:v>163705.10932282833</c:v>
                </c:pt>
                <c:pt idx="213">
                  <c:v>171890.36478896975</c:v>
                </c:pt>
                <c:pt idx="214">
                  <c:v>180484.88302841823</c:v>
                </c:pt>
                <c:pt idx="215">
                  <c:v>189509.12717983915</c:v>
                </c:pt>
                <c:pt idx="216">
                  <c:v>198984.58353883112</c:v>
                </c:pt>
                <c:pt idx="217">
                  <c:v>208933.81271577268</c:v>
                </c:pt>
                <c:pt idx="218">
                  <c:v>219380.50335156132</c:v>
                </c:pt>
                <c:pt idx="219">
                  <c:v>230349.52851913939</c:v>
                </c:pt>
                <c:pt idx="220">
                  <c:v>241867.00494509639</c:v>
                </c:pt>
                <c:pt idx="221">
                  <c:v>253960.35519235121</c:v>
                </c:pt>
                <c:pt idx="222">
                  <c:v>266658.37295196881</c:v>
                </c:pt>
                <c:pt idx="223">
                  <c:v>279991.29159956728</c:v>
                </c:pt>
                <c:pt idx="224">
                  <c:v>293990.85617954563</c:v>
                </c:pt>
                <c:pt idx="225">
                  <c:v>308690.39898852294</c:v>
                </c:pt>
                <c:pt idx="226">
                  <c:v>324124.91893794911</c:v>
                </c:pt>
                <c:pt idx="227">
                  <c:v>340331.1648848466</c:v>
                </c:pt>
                <c:pt idx="228">
                  <c:v>357347.72312908893</c:v>
                </c:pt>
                <c:pt idx="229">
                  <c:v>375215.10928554338</c:v>
                </c:pt>
                <c:pt idx="230">
                  <c:v>393975.86474982055</c:v>
                </c:pt>
                <c:pt idx="231">
                  <c:v>413674.6579873116</c:v>
                </c:pt>
                <c:pt idx="232">
                  <c:v>434358.3908866772</c:v>
                </c:pt>
                <c:pt idx="233">
                  <c:v>456076.31043101108</c:v>
                </c:pt>
                <c:pt idx="234">
                  <c:v>478880.12595256168</c:v>
                </c:pt>
                <c:pt idx="235">
                  <c:v>502824.13225018978</c:v>
                </c:pt>
                <c:pt idx="236">
                  <c:v>527965.33886269934</c:v>
                </c:pt>
                <c:pt idx="237">
                  <c:v>554363.60580583429</c:v>
                </c:pt>
                <c:pt idx="238">
                  <c:v>582081.78609612607</c:v>
                </c:pt>
                <c:pt idx="239">
                  <c:v>611185.87540093239</c:v>
                </c:pt>
              </c:numCache>
            </c:numRef>
          </c:xVal>
          <c:yVal>
            <c:numRef>
              <c:f>Coordenograma!$AB$3:$AB$242</c:f>
              <c:numCache>
                <c:formatCode>General</c:formatCode>
                <c:ptCount val="240"/>
                <c:pt idx="0">
                  <c:v>218.08070141496458</c:v>
                </c:pt>
                <c:pt idx="1">
                  <c:v>106.38082995851936</c:v>
                </c:pt>
                <c:pt idx="2">
                  <c:v>69.177066269616049</c:v>
                </c:pt>
                <c:pt idx="3">
                  <c:v>50.597303190734493</c:v>
                </c:pt>
                <c:pt idx="4">
                  <c:v>39.467110914244316</c:v>
                </c:pt>
                <c:pt idx="5">
                  <c:v>32.061672565722041</c:v>
                </c:pt>
                <c:pt idx="6">
                  <c:v>26.78463215439951</c:v>
                </c:pt>
                <c:pt idx="7">
                  <c:v>22.837806569371896</c:v>
                </c:pt>
                <c:pt idx="8">
                  <c:v>19.777756252499024</c:v>
                </c:pt>
                <c:pt idx="9">
                  <c:v>17.338413474165417</c:v>
                </c:pt>
                <c:pt idx="10">
                  <c:v>15.350458828106717</c:v>
                </c:pt>
                <c:pt idx="11">
                  <c:v>13.70100948402216</c:v>
                </c:pt>
                <c:pt idx="12">
                  <c:v>12.311912866696565</c:v>
                </c:pt>
                <c:pt idx="13">
                  <c:v>11.127343048215037</c:v>
                </c:pt>
                <c:pt idx="14">
                  <c:v>10.106358586998025</c:v>
                </c:pt>
                <c:pt idx="15">
                  <c:v>9.2182511805109826</c:v>
                </c:pt>
                <c:pt idx="16">
                  <c:v>8.4395359729159924</c:v>
                </c:pt>
                <c:pt idx="17">
                  <c:v>7.7519450961402949</c:v>
                </c:pt>
                <c:pt idx="18">
                  <c:v>7.1410548318936931</c:v>
                </c:pt>
                <c:pt idx="19">
                  <c:v>6.5953246271491821</c:v>
                </c:pt>
                <c:pt idx="20">
                  <c:v>6.1054106784487772</c:v>
                </c:pt>
                <c:pt idx="21">
                  <c:v>5.6636667220798822</c:v>
                </c:pt>
                <c:pt idx="22">
                  <c:v>5.2637750542798276</c:v>
                </c:pt>
                <c:pt idx="23">
                  <c:v>4.9004697975720353</c:v>
                </c:pt>
                <c:pt idx="24">
                  <c:v>4.569326584183087</c:v>
                </c:pt>
                <c:pt idx="25">
                  <c:v>4.266600774889854</c:v>
                </c:pt>
                <c:pt idx="26">
                  <c:v>3.9891016299128017</c:v>
                </c:pt>
                <c:pt idx="27">
                  <c:v>3.7340934437248072</c:v>
                </c:pt>
                <c:pt idx="28">
                  <c:v>3.499217135130146</c:v>
                </c:pt>
                <c:pt idx="29">
                  <c:v>3.2824275196085178</c:v>
                </c:pt>
                <c:pt idx="30">
                  <c:v>3.0819427226640084</c:v>
                </c:pt>
                <c:pt idx="31">
                  <c:v>2.8962030782360229</c:v>
                </c:pt>
                <c:pt idx="32">
                  <c:v>2.7238375000964892</c:v>
                </c:pt>
                <c:pt idx="33">
                  <c:v>2.5636357875898272</c:v>
                </c:pt>
                <c:pt idx="34">
                  <c:v>2.4145256787648601</c:v>
                </c:pt>
                <c:pt idx="35">
                  <c:v>2.2755537277176208</c:v>
                </c:pt>
                <c:pt idx="36">
                  <c:v>2.1458692825737709</c:v>
                </c:pt>
                <c:pt idx="37">
                  <c:v>2.0247109928732998</c:v>
                </c:pt>
                <c:pt idx="38">
                  <c:v>1.9113953923002609</c:v>
                </c:pt>
                <c:pt idx="39">
                  <c:v>1.8053071935150309</c:v>
                </c:pt>
                <c:pt idx="40">
                  <c:v>1.7058910027264498</c:v>
                </c:pt>
                <c:pt idx="41">
                  <c:v>1.6126442173326041</c:v>
                </c:pt>
                <c:pt idx="42">
                  <c:v>1.5251109139941601</c:v>
                </c:pt>
                <c:pt idx="43">
                  <c:v>1.4428765695321306</c:v>
                </c:pt>
                <c:pt idx="44">
                  <c:v>1.3655634850643723</c:v>
                </c:pt>
                <c:pt idx="45">
                  <c:v>1.2928268063348816</c:v>
                </c:pt>
                <c:pt idx="46">
                  <c:v>1.2243510514135965</c:v>
                </c:pt>
                <c:pt idx="47">
                  <c:v>1.1598470717510903</c:v>
                </c:pt>
                <c:pt idx="48">
                  <c:v>1.0990493846595994</c:v>
                </c:pt>
                <c:pt idx="49">
                  <c:v>1.0417138252031608</c:v>
                </c:pt>
                <c:pt idx="50">
                  <c:v>0.9876154736418602</c:v>
                </c:pt>
                <c:pt idx="51">
                  <c:v>0.93654682132465905</c:v>
                </c:pt>
                <c:pt idx="52">
                  <c:v>0.88831614352852595</c:v>
                </c:pt>
                <c:pt idx="53">
                  <c:v>0.8427460524109045</c:v>
                </c:pt>
                <c:pt idx="54">
                  <c:v>0.79967220714770726</c:v>
                </c:pt>
                <c:pt idx="55">
                  <c:v>0.75894216160647332</c:v>
                </c:pt>
                <c:pt idx="56">
                  <c:v>0.72041433266420951</c:v>
                </c:pt>
                <c:pt idx="57">
                  <c:v>0.68395707461095079</c:v>
                </c:pt>
                <c:pt idx="58">
                  <c:v>0.64944784705585612</c:v>
                </c:pt>
                <c:pt idx="59">
                  <c:v>0.61677246543196362</c:v>
                </c:pt>
                <c:pt idx="60">
                  <c:v>0.58582442462719253</c:v>
                </c:pt>
                <c:pt idx="61">
                  <c:v>0.55650428749273451</c:v>
                </c:pt>
                <c:pt idx="62">
                  <c:v>0.52871913102866441</c:v>
                </c:pt>
                <c:pt idx="63">
                  <c:v>0.5023820439477148</c:v>
                </c:pt>
                <c:pt idx="64">
                  <c:v>0.47741167009441937</c:v>
                </c:pt>
                <c:pt idx="65">
                  <c:v>0.45373179286714399</c:v>
                </c:pt>
                <c:pt idx="66">
                  <c:v>0.4312709563707196</c:v>
                </c:pt>
                <c:pt idx="67">
                  <c:v>0.40996211953070738</c:v>
                </c:pt>
                <c:pt idx="68">
                  <c:v>0.38974233983792073</c:v>
                </c:pt>
                <c:pt idx="69">
                  <c:v>0.37055248377307859</c:v>
                </c:pt>
                <c:pt idx="70">
                  <c:v>0.35233696129432412</c:v>
                </c:pt>
                <c:pt idx="71">
                  <c:v>0.33504348206151824</c:v>
                </c:pt>
                <c:pt idx="72">
                  <c:v>0.31862283132643782</c:v>
                </c:pt>
                <c:pt idx="73">
                  <c:v>0.30302866364212105</c:v>
                </c:pt>
                <c:pt idx="74">
                  <c:v>0.28821731274176998</c:v>
                </c:pt>
                <c:pt idx="75">
                  <c:v>0.27414761611138228</c:v>
                </c:pt>
                <c:pt idx="76">
                  <c:v>0.26078075293368741</c:v>
                </c:pt>
                <c:pt idx="77">
                  <c:v>0.24808009421661964</c:v>
                </c:pt>
                <c:pt idx="78">
                  <c:v>0.23601106403971908</c:v>
                </c:pt>
                <c:pt idx="79">
                  <c:v>0.22454101095845425</c:v>
                </c:pt>
                <c:pt idx="80">
                  <c:v>0.21363908870118092</c:v>
                </c:pt>
                <c:pt idx="81">
                  <c:v>0.20327614537774411</c:v>
                </c:pt>
                <c:pt idx="82">
                  <c:v>0.19342462049385156</c:v>
                </c:pt>
                <c:pt idx="83">
                  <c:v>0.18405844913239461</c:v>
                </c:pt>
                <c:pt idx="84">
                  <c:v>0.17515297272281444</c:v>
                </c:pt>
                <c:pt idx="85">
                  <c:v>0.16668485587324253</c:v>
                </c:pt>
                <c:pt idx="86">
                  <c:v>0.15863200878820874</c:v>
                </c:pt>
                <c:pt idx="87">
                  <c:v>0.15097351483784088</c:v>
                </c:pt>
                <c:pt idx="88">
                  <c:v>0.14368956288323537</c:v>
                </c:pt>
                <c:pt idx="89">
                  <c:v>0.13676138399754714</c:v>
                </c:pt>
                <c:pt idx="90">
                  <c:v>0.13017119225375504</c:v>
                </c:pt>
                <c:pt idx="91">
                  <c:v>0.12390212927838694</c:v>
                </c:pt>
                <c:pt idx="92">
                  <c:v>0.11793821229606925</c:v>
                </c:pt>
                <c:pt idx="93">
                  <c:v>0.11226428541289009</c:v>
                </c:pt>
                <c:pt idx="94">
                  <c:v>0.10686597390749661</c:v>
                </c:pt>
                <c:pt idx="95">
                  <c:v>0.10172964131781291</c:v>
                </c:pt>
                <c:pt idx="96">
                  <c:v>9.6842349128470367E-2</c:v>
                </c:pt>
                <c:pt idx="97">
                  <c:v>9.2191818879666376E-2</c:v>
                </c:pt>
                <c:pt idx="98">
                  <c:v>8.7766396532373753E-2</c:v>
                </c:pt>
                <c:pt idx="99">
                  <c:v>8.3555018937750858E-2</c:v>
                </c:pt>
                <c:pt idx="100">
                  <c:v>7.9547182270381642E-2</c:v>
                </c:pt>
                <c:pt idx="101">
                  <c:v>7.5732912295718102E-2</c:v>
                </c:pt>
                <c:pt idx="102">
                  <c:v>7.2102736351904936E-2</c:v>
                </c:pt>
                <c:pt idx="103">
                  <c:v>6.864765693513071E-2</c:v>
                </c:pt>
                <c:pt idx="104">
                  <c:v>6.5359126785849264E-2</c:v>
                </c:pt>
                <c:pt idx="105">
                  <c:v>6.2229025380724751E-2</c:v>
                </c:pt>
                <c:pt idx="106">
                  <c:v>5.9249636742036628E-2</c:v>
                </c:pt>
                <c:pt idx="107">
                  <c:v>5.641362848259672E-2</c:v>
                </c:pt>
                <c:pt idx="108">
                  <c:v>5.3714032010029722E-2</c:v>
                </c:pt>
                <c:pt idx="109">
                  <c:v>5.1144223819601507E-2</c:v>
                </c:pt>
                <c:pt idx="110">
                  <c:v>0.05</c:v>
                </c:pt>
                <c:pt idx="111">
                  <c:v>0.05</c:v>
                </c:pt>
                <c:pt idx="112">
                  <c:v>0.05</c:v>
                </c:pt>
                <c:pt idx="113">
                  <c:v>0.05</c:v>
                </c:pt>
                <c:pt idx="114">
                  <c:v>0.05</c:v>
                </c:pt>
                <c:pt idx="115">
                  <c:v>0.05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0.05</c:v>
                </c:pt>
                <c:pt idx="132">
                  <c:v>0.05</c:v>
                </c:pt>
                <c:pt idx="133">
                  <c:v>0.05</c:v>
                </c:pt>
                <c:pt idx="134">
                  <c:v>0.05</c:v>
                </c:pt>
                <c:pt idx="135">
                  <c:v>0.05</c:v>
                </c:pt>
                <c:pt idx="136">
                  <c:v>0.05</c:v>
                </c:pt>
                <c:pt idx="137">
                  <c:v>0.05</c:v>
                </c:pt>
                <c:pt idx="138">
                  <c:v>0.05</c:v>
                </c:pt>
                <c:pt idx="139">
                  <c:v>0.05</c:v>
                </c:pt>
                <c:pt idx="140">
                  <c:v>0.05</c:v>
                </c:pt>
                <c:pt idx="141">
                  <c:v>0.05</c:v>
                </c:pt>
                <c:pt idx="142">
                  <c:v>0.05</c:v>
                </c:pt>
                <c:pt idx="143">
                  <c:v>0.05</c:v>
                </c:pt>
                <c:pt idx="144">
                  <c:v>0.05</c:v>
                </c:pt>
                <c:pt idx="145">
                  <c:v>0.05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0.05</c:v>
                </c:pt>
                <c:pt idx="156">
                  <c:v>0.05</c:v>
                </c:pt>
                <c:pt idx="157">
                  <c:v>0.05</c:v>
                </c:pt>
                <c:pt idx="158">
                  <c:v>0.05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0.05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0.05</c:v>
                </c:pt>
                <c:pt idx="169">
                  <c:v>0.05</c:v>
                </c:pt>
                <c:pt idx="170">
                  <c:v>0.05</c:v>
                </c:pt>
                <c:pt idx="171">
                  <c:v>0.05</c:v>
                </c:pt>
                <c:pt idx="172">
                  <c:v>0.05</c:v>
                </c:pt>
                <c:pt idx="173">
                  <c:v>0.05</c:v>
                </c:pt>
                <c:pt idx="174">
                  <c:v>0.05</c:v>
                </c:pt>
                <c:pt idx="175">
                  <c:v>0.05</c:v>
                </c:pt>
                <c:pt idx="176">
                  <c:v>0.05</c:v>
                </c:pt>
                <c:pt idx="177">
                  <c:v>0.05</c:v>
                </c:pt>
                <c:pt idx="178">
                  <c:v>0.05</c:v>
                </c:pt>
                <c:pt idx="179">
                  <c:v>0.05</c:v>
                </c:pt>
                <c:pt idx="180">
                  <c:v>0.05</c:v>
                </c:pt>
                <c:pt idx="181">
                  <c:v>0.05</c:v>
                </c:pt>
                <c:pt idx="182">
                  <c:v>0.05</c:v>
                </c:pt>
                <c:pt idx="183">
                  <c:v>0.05</c:v>
                </c:pt>
                <c:pt idx="184">
                  <c:v>0.05</c:v>
                </c:pt>
                <c:pt idx="185">
                  <c:v>0.05</c:v>
                </c:pt>
                <c:pt idx="186">
                  <c:v>0.05</c:v>
                </c:pt>
                <c:pt idx="187">
                  <c:v>0.05</c:v>
                </c:pt>
                <c:pt idx="188">
                  <c:v>0.05</c:v>
                </c:pt>
                <c:pt idx="189">
                  <c:v>0.05</c:v>
                </c:pt>
                <c:pt idx="190">
                  <c:v>0.05</c:v>
                </c:pt>
                <c:pt idx="191">
                  <c:v>0.05</c:v>
                </c:pt>
                <c:pt idx="192">
                  <c:v>0.05</c:v>
                </c:pt>
                <c:pt idx="193">
                  <c:v>0.05</c:v>
                </c:pt>
                <c:pt idx="194">
                  <c:v>0.05</c:v>
                </c:pt>
                <c:pt idx="195">
                  <c:v>0.05</c:v>
                </c:pt>
                <c:pt idx="196">
                  <c:v>0.05</c:v>
                </c:pt>
                <c:pt idx="197">
                  <c:v>0.05</c:v>
                </c:pt>
                <c:pt idx="198">
                  <c:v>0.05</c:v>
                </c:pt>
                <c:pt idx="199">
                  <c:v>0.05</c:v>
                </c:pt>
                <c:pt idx="200">
                  <c:v>0.05</c:v>
                </c:pt>
                <c:pt idx="201">
                  <c:v>0.05</c:v>
                </c:pt>
                <c:pt idx="202">
                  <c:v>0.05</c:v>
                </c:pt>
                <c:pt idx="203">
                  <c:v>0.05</c:v>
                </c:pt>
                <c:pt idx="204">
                  <c:v>0.05</c:v>
                </c:pt>
                <c:pt idx="205">
                  <c:v>0.05</c:v>
                </c:pt>
                <c:pt idx="206">
                  <c:v>0.05</c:v>
                </c:pt>
                <c:pt idx="207">
                  <c:v>0.05</c:v>
                </c:pt>
                <c:pt idx="208">
                  <c:v>0.05</c:v>
                </c:pt>
                <c:pt idx="209">
                  <c:v>0.05</c:v>
                </c:pt>
                <c:pt idx="210">
                  <c:v>0.05</c:v>
                </c:pt>
                <c:pt idx="211">
                  <c:v>0.05</c:v>
                </c:pt>
                <c:pt idx="212">
                  <c:v>0.05</c:v>
                </c:pt>
                <c:pt idx="213">
                  <c:v>0.05</c:v>
                </c:pt>
                <c:pt idx="214">
                  <c:v>0.05</c:v>
                </c:pt>
                <c:pt idx="215">
                  <c:v>0.05</c:v>
                </c:pt>
                <c:pt idx="216">
                  <c:v>0.05</c:v>
                </c:pt>
                <c:pt idx="217">
                  <c:v>0.05</c:v>
                </c:pt>
                <c:pt idx="218">
                  <c:v>0.05</c:v>
                </c:pt>
                <c:pt idx="219">
                  <c:v>0.05</c:v>
                </c:pt>
                <c:pt idx="220">
                  <c:v>0.05</c:v>
                </c:pt>
                <c:pt idx="221">
                  <c:v>0.05</c:v>
                </c:pt>
                <c:pt idx="222">
                  <c:v>0.05</c:v>
                </c:pt>
                <c:pt idx="223">
                  <c:v>0.05</c:v>
                </c:pt>
                <c:pt idx="224">
                  <c:v>0.05</c:v>
                </c:pt>
                <c:pt idx="225">
                  <c:v>0.05</c:v>
                </c:pt>
                <c:pt idx="226">
                  <c:v>0.05</c:v>
                </c:pt>
                <c:pt idx="227">
                  <c:v>0.05</c:v>
                </c:pt>
                <c:pt idx="228">
                  <c:v>0.05</c:v>
                </c:pt>
                <c:pt idx="229">
                  <c:v>0.05</c:v>
                </c:pt>
                <c:pt idx="230">
                  <c:v>0.05</c:v>
                </c:pt>
                <c:pt idx="231">
                  <c:v>0.05</c:v>
                </c:pt>
                <c:pt idx="232">
                  <c:v>0.05</c:v>
                </c:pt>
                <c:pt idx="233">
                  <c:v>0.05</c:v>
                </c:pt>
                <c:pt idx="234">
                  <c:v>0.05</c:v>
                </c:pt>
                <c:pt idx="235">
                  <c:v>0.05</c:v>
                </c:pt>
                <c:pt idx="236">
                  <c:v>0.05</c:v>
                </c:pt>
                <c:pt idx="237">
                  <c:v>0.05</c:v>
                </c:pt>
                <c:pt idx="238">
                  <c:v>0.05</c:v>
                </c:pt>
                <c:pt idx="239">
                  <c:v>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B5-471A-9DF1-ECE3B614E67D}"/>
            </c:ext>
          </c:extLst>
        </c:ser>
        <c:ser>
          <c:idx val="0"/>
          <c:order val="2"/>
          <c:tx>
            <c:strRef>
              <c:f>Coordenograma!$AI$2</c:f>
              <c:strCache>
                <c:ptCount val="1"/>
                <c:pt idx="0">
                  <c:v>50/51N da Fonte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Coordenograma!$U$3:$U$242</c:f>
              <c:numCache>
                <c:formatCode>General</c:formatCode>
                <c:ptCount val="240"/>
                <c:pt idx="0">
                  <c:v>5.2714589795574529</c:v>
                </c:pt>
                <c:pt idx="1">
                  <c:v>5.535031928535326</c:v>
                </c:pt>
                <c:pt idx="2">
                  <c:v>5.8117835249620926</c:v>
                </c:pt>
                <c:pt idx="3">
                  <c:v>6.1023727012101974</c:v>
                </c:pt>
                <c:pt idx="4">
                  <c:v>6.4074913362707075</c:v>
                </c:pt>
                <c:pt idx="5">
                  <c:v>6.7278659030842434</c:v>
                </c:pt>
                <c:pt idx="6">
                  <c:v>7.0642591982384557</c:v>
                </c:pt>
                <c:pt idx="7">
                  <c:v>7.4174721581503791</c:v>
                </c:pt>
                <c:pt idx="8">
                  <c:v>7.7883457660578985</c:v>
                </c:pt>
                <c:pt idx="9">
                  <c:v>8.1777630543607938</c:v>
                </c:pt>
                <c:pt idx="10">
                  <c:v>8.5866512070788339</c:v>
                </c:pt>
                <c:pt idx="11">
                  <c:v>9.0159837674327754</c:v>
                </c:pt>
                <c:pt idx="12">
                  <c:v>9.4667829558044154</c:v>
                </c:pt>
                <c:pt idx="13">
                  <c:v>9.9401221035946374</c:v>
                </c:pt>
                <c:pt idx="14">
                  <c:v>10.43712820877437</c:v>
                </c:pt>
                <c:pt idx="15">
                  <c:v>10.958984619213089</c:v>
                </c:pt>
                <c:pt idx="16">
                  <c:v>11.506933850173743</c:v>
                </c:pt>
                <c:pt idx="17">
                  <c:v>12.082280542682431</c:v>
                </c:pt>
                <c:pt idx="18">
                  <c:v>12.686394569816553</c:v>
                </c:pt>
                <c:pt idx="19">
                  <c:v>13.320714298307381</c:v>
                </c:pt>
                <c:pt idx="20">
                  <c:v>13.986750013222752</c:v>
                </c:pt>
                <c:pt idx="21">
                  <c:v>14.686087513883889</c:v>
                </c:pt>
                <c:pt idx="22">
                  <c:v>15.420391889578084</c:v>
                </c:pt>
                <c:pt idx="23">
                  <c:v>16.191411484056989</c:v>
                </c:pt>
                <c:pt idx="24">
                  <c:v>17.00098205825984</c:v>
                </c:pt>
                <c:pt idx="25">
                  <c:v>17.851031161172834</c:v>
                </c:pt>
                <c:pt idx="26">
                  <c:v>18.743582719231476</c:v>
                </c:pt>
                <c:pt idx="27">
                  <c:v>19.680761855193051</c:v>
                </c:pt>
                <c:pt idx="28">
                  <c:v>20.664799947952705</c:v>
                </c:pt>
                <c:pt idx="29">
                  <c:v>21.698039945350342</c:v>
                </c:pt>
                <c:pt idx="30">
                  <c:v>22.78294194261786</c:v>
                </c:pt>
                <c:pt idx="31">
                  <c:v>23.922089039748755</c:v>
                </c:pt>
                <c:pt idx="32">
                  <c:v>25.118193491736193</c:v>
                </c:pt>
                <c:pt idx="33">
                  <c:v>26.374103166323003</c:v>
                </c:pt>
                <c:pt idx="34">
                  <c:v>27.692808324639156</c:v>
                </c:pt>
                <c:pt idx="35">
                  <c:v>29.077448740871116</c:v>
                </c:pt>
                <c:pt idx="36">
                  <c:v>30.531321177914673</c:v>
                </c:pt>
                <c:pt idx="37">
                  <c:v>32.057887236810409</c:v>
                </c:pt>
                <c:pt idx="38">
                  <c:v>33.660781598650928</c:v>
                </c:pt>
                <c:pt idx="39">
                  <c:v>35.343820678583477</c:v>
                </c:pt>
                <c:pt idx="40">
                  <c:v>37.111011712512649</c:v>
                </c:pt>
                <c:pt idx="41">
                  <c:v>38.966562298138285</c:v>
                </c:pt>
                <c:pt idx="42">
                  <c:v>40.9148904130452</c:v>
                </c:pt>
                <c:pt idx="43">
                  <c:v>42.960634933697463</c:v>
                </c:pt>
                <c:pt idx="44">
                  <c:v>45.108666680382335</c:v>
                </c:pt>
                <c:pt idx="45">
                  <c:v>47.364100014401451</c:v>
                </c:pt>
                <c:pt idx="46">
                  <c:v>49.732305015121526</c:v>
                </c:pt>
                <c:pt idx="47">
                  <c:v>52.218920265877607</c:v>
                </c:pt>
                <c:pt idx="48">
                  <c:v>54.82986627917149</c:v>
                </c:pt>
                <c:pt idx="49">
                  <c:v>57.571359593130069</c:v>
                </c:pt>
                <c:pt idx="50">
                  <c:v>60.449927572786578</c:v>
                </c:pt>
                <c:pt idx="51">
                  <c:v>63.47242395142591</c:v>
                </c:pt>
                <c:pt idx="52">
                  <c:v>66.646045148997203</c:v>
                </c:pt>
                <c:pt idx="53">
                  <c:v>69.978347406447071</c:v>
                </c:pt>
                <c:pt idx="54">
                  <c:v>73.477264776769431</c:v>
                </c:pt>
                <c:pt idx="55">
                  <c:v>77.15112801560791</c:v>
                </c:pt>
                <c:pt idx="56">
                  <c:v>81.008684416388306</c:v>
                </c:pt>
                <c:pt idx="57">
                  <c:v>85.059118637207732</c:v>
                </c:pt>
                <c:pt idx="58">
                  <c:v>89.312074569068116</c:v>
                </c:pt>
                <c:pt idx="59">
                  <c:v>93.777678297521533</c:v>
                </c:pt>
                <c:pt idx="60">
                  <c:v>98.466562212397619</c:v>
                </c:pt>
                <c:pt idx="61">
                  <c:v>103.38989032301751</c:v>
                </c:pt>
                <c:pt idx="62">
                  <c:v>108.55938483916839</c:v>
                </c:pt>
                <c:pt idx="63">
                  <c:v>113.98735408112681</c:v>
                </c:pt>
                <c:pt idx="64">
                  <c:v>119.68672178518315</c:v>
                </c:pt>
                <c:pt idx="65">
                  <c:v>125.67105787444231</c:v>
                </c:pt>
                <c:pt idx="66">
                  <c:v>131.95461076816443</c:v>
                </c:pt>
                <c:pt idx="67">
                  <c:v>138.55234130657266</c:v>
                </c:pt>
                <c:pt idx="68">
                  <c:v>145.47995837190129</c:v>
                </c:pt>
                <c:pt idx="69">
                  <c:v>152.75395629049635</c:v>
                </c:pt>
                <c:pt idx="70">
                  <c:v>160.39165410502116</c:v>
                </c:pt>
                <c:pt idx="71">
                  <c:v>168.41123681027221</c:v>
                </c:pt>
                <c:pt idx="72">
                  <c:v>176.83179865078583</c:v>
                </c:pt>
                <c:pt idx="73">
                  <c:v>185.67338858332513</c:v>
                </c:pt>
                <c:pt idx="74">
                  <c:v>194.95705801249139</c:v>
                </c:pt>
                <c:pt idx="75">
                  <c:v>204.70491091311595</c:v>
                </c:pt>
                <c:pt idx="76">
                  <c:v>214.94015645877175</c:v>
                </c:pt>
                <c:pt idx="77">
                  <c:v>225.68716428171035</c:v>
                </c:pt>
                <c:pt idx="78">
                  <c:v>236.97152249579588</c:v>
                </c:pt>
                <c:pt idx="79">
                  <c:v>248.8200986205857</c:v>
                </c:pt>
                <c:pt idx="80">
                  <c:v>261.26110355161501</c:v>
                </c:pt>
                <c:pt idx="81">
                  <c:v>274.32415872919574</c:v>
                </c:pt>
                <c:pt idx="82">
                  <c:v>288.04036666565554</c:v>
                </c:pt>
                <c:pt idx="83">
                  <c:v>302.44238499893834</c:v>
                </c:pt>
                <c:pt idx="84">
                  <c:v>317.56450424888527</c:v>
                </c:pt>
                <c:pt idx="85">
                  <c:v>333.44272946132952</c:v>
                </c:pt>
                <c:pt idx="86">
                  <c:v>350.11486593439599</c:v>
                </c:pt>
                <c:pt idx="87">
                  <c:v>367.62060923111579</c:v>
                </c:pt>
                <c:pt idx="88">
                  <c:v>386.00163969267157</c:v>
                </c:pt>
                <c:pt idx="89">
                  <c:v>405.30172167730518</c:v>
                </c:pt>
                <c:pt idx="90">
                  <c:v>425.56680776117048</c:v>
                </c:pt>
                <c:pt idx="91">
                  <c:v>446.84514814922903</c:v>
                </c:pt>
                <c:pt idx="92">
                  <c:v>469.18740555669052</c:v>
                </c:pt>
                <c:pt idx="93">
                  <c:v>492.64677583452504</c:v>
                </c:pt>
                <c:pt idx="94">
                  <c:v>517.27911462625127</c:v>
                </c:pt>
                <c:pt idx="95">
                  <c:v>543.14307035756383</c:v>
                </c:pt>
                <c:pt idx="96">
                  <c:v>570.30022387544204</c:v>
                </c:pt>
                <c:pt idx="97">
                  <c:v>598.81523506921417</c:v>
                </c:pt>
                <c:pt idx="98">
                  <c:v>628.75599682267489</c:v>
                </c:pt>
                <c:pt idx="99">
                  <c:v>660.19379666380871</c:v>
                </c:pt>
                <c:pt idx="100">
                  <c:v>693.20348649699918</c:v>
                </c:pt>
                <c:pt idx="101">
                  <c:v>727.86366082184918</c:v>
                </c:pt>
                <c:pt idx="102">
                  <c:v>764.25684386294165</c:v>
                </c:pt>
                <c:pt idx="103">
                  <c:v>802.46968605608879</c:v>
                </c:pt>
                <c:pt idx="104">
                  <c:v>842.5931703588933</c:v>
                </c:pt>
                <c:pt idx="105">
                  <c:v>884.72282887683798</c:v>
                </c:pt>
                <c:pt idx="106">
                  <c:v>928.9589703206799</c:v>
                </c:pt>
                <c:pt idx="107">
                  <c:v>975.40691883671388</c:v>
                </c:pt>
                <c:pt idx="108">
                  <c:v>1024.1772647785497</c:v>
                </c:pt>
                <c:pt idx="109">
                  <c:v>1075.3861280174772</c:v>
                </c:pt>
                <c:pt idx="110">
                  <c:v>1129.155434418351</c:v>
                </c:pt>
                <c:pt idx="111">
                  <c:v>1185.6132061392686</c:v>
                </c:pt>
                <c:pt idx="112">
                  <c:v>1244.8938664462321</c:v>
                </c:pt>
                <c:pt idx="113">
                  <c:v>1307.1385597685437</c:v>
                </c:pt>
                <c:pt idx="114">
                  <c:v>1372.495487756971</c:v>
                </c:pt>
                <c:pt idx="115">
                  <c:v>1441.1202621448197</c:v>
                </c:pt>
                <c:pt idx="116">
                  <c:v>1513.1762752520608</c:v>
                </c:pt>
                <c:pt idx="117">
                  <c:v>1588.8350890146639</c:v>
                </c:pt>
                <c:pt idx="118">
                  <c:v>1668.2768434653972</c:v>
                </c:pt>
                <c:pt idx="119">
                  <c:v>1751.6906856386672</c:v>
                </c:pt>
                <c:pt idx="120">
                  <c:v>1839.2752199206006</c:v>
                </c:pt>
                <c:pt idx="121">
                  <c:v>1931.2389809166307</c:v>
                </c:pt>
                <c:pt idx="122">
                  <c:v>2027.8009299624623</c:v>
                </c:pt>
                <c:pt idx="123">
                  <c:v>2129.1909764605857</c:v>
                </c:pt>
                <c:pt idx="124">
                  <c:v>2235.650525283615</c:v>
                </c:pt>
                <c:pt idx="125">
                  <c:v>2347.4330515477959</c:v>
                </c:pt>
                <c:pt idx="126">
                  <c:v>2464.8047041251857</c:v>
                </c:pt>
                <c:pt idx="127">
                  <c:v>2588.0449393314452</c:v>
                </c:pt>
                <c:pt idx="128">
                  <c:v>2717.4471862980176</c:v>
                </c:pt>
                <c:pt idx="129">
                  <c:v>2853.3195456129188</c:v>
                </c:pt>
                <c:pt idx="130">
                  <c:v>2995.9855228935648</c:v>
                </c:pt>
                <c:pt idx="131">
                  <c:v>3145.7847990382434</c:v>
                </c:pt>
                <c:pt idx="132">
                  <c:v>3303.0740389901557</c:v>
                </c:pt>
                <c:pt idx="133">
                  <c:v>3468.2277409396638</c:v>
                </c:pt>
                <c:pt idx="134">
                  <c:v>3641.6391279866471</c:v>
                </c:pt>
                <c:pt idx="135">
                  <c:v>3823.7210843859798</c:v>
                </c:pt>
                <c:pt idx="136">
                  <c:v>4014.9071386052788</c:v>
                </c:pt>
                <c:pt idx="137">
                  <c:v>4215.6524955355426</c:v>
                </c:pt>
                <c:pt idx="138">
                  <c:v>4426.4351203123197</c:v>
                </c:pt>
                <c:pt idx="139">
                  <c:v>4647.756876327936</c:v>
                </c:pt>
                <c:pt idx="140">
                  <c:v>4880.1447201443334</c:v>
                </c:pt>
                <c:pt idx="141">
                  <c:v>5124.1519561515506</c:v>
                </c:pt>
                <c:pt idx="142">
                  <c:v>5380.3595539591288</c:v>
                </c:pt>
                <c:pt idx="143">
                  <c:v>5649.3775316570855</c:v>
                </c:pt>
                <c:pt idx="144">
                  <c:v>5931.8464082399396</c:v>
                </c:pt>
                <c:pt idx="145">
                  <c:v>6228.4387286519368</c:v>
                </c:pt>
                <c:pt idx="146">
                  <c:v>6539.860665084534</c:v>
                </c:pt>
                <c:pt idx="147">
                  <c:v>6866.8536983387612</c:v>
                </c:pt>
                <c:pt idx="148">
                  <c:v>7210.1963832556994</c:v>
                </c:pt>
                <c:pt idx="149">
                  <c:v>7570.7062024184843</c:v>
                </c:pt>
                <c:pt idx="150">
                  <c:v>7949.2415125394091</c:v>
                </c:pt>
                <c:pt idx="151">
                  <c:v>8346.7035881663796</c:v>
                </c:pt>
                <c:pt idx="152">
                  <c:v>8764.0387675746988</c:v>
                </c:pt>
                <c:pt idx="153">
                  <c:v>9202.2407059534344</c:v>
                </c:pt>
                <c:pt idx="154">
                  <c:v>9662.3527412511066</c:v>
                </c:pt>
                <c:pt idx="155">
                  <c:v>10145.470378313663</c:v>
                </c:pt>
                <c:pt idx="156">
                  <c:v>10652.743897229346</c:v>
                </c:pt>
                <c:pt idx="157">
                  <c:v>11185.381092090813</c:v>
                </c:pt>
                <c:pt idx="158">
                  <c:v>11744.650146695354</c:v>
                </c:pt>
                <c:pt idx="159">
                  <c:v>12331.882654030122</c:v>
                </c:pt>
                <c:pt idx="160">
                  <c:v>12948.476786731628</c:v>
                </c:pt>
                <c:pt idx="161">
                  <c:v>13595.900626068209</c:v>
                </c:pt>
                <c:pt idx="162">
                  <c:v>14275.69565737162</c:v>
                </c:pt>
                <c:pt idx="163">
                  <c:v>14989.480440240201</c:v>
                </c:pt>
                <c:pt idx="164">
                  <c:v>15738.954462252212</c:v>
                </c:pt>
                <c:pt idx="165">
                  <c:v>16525.902185364823</c:v>
                </c:pt>
                <c:pt idx="166">
                  <c:v>17352.197294633064</c:v>
                </c:pt>
                <c:pt idx="167">
                  <c:v>18219.807159364718</c:v>
                </c:pt>
                <c:pt idx="168">
                  <c:v>19130.797517332954</c:v>
                </c:pt>
                <c:pt idx="169">
                  <c:v>20087.337393199603</c:v>
                </c:pt>
                <c:pt idx="170">
                  <c:v>21091.704262859585</c:v>
                </c:pt>
                <c:pt idx="171">
                  <c:v>22146.289476002567</c:v>
                </c:pt>
                <c:pt idx="172">
                  <c:v>23253.603949802695</c:v>
                </c:pt>
                <c:pt idx="173">
                  <c:v>24416.28414729283</c:v>
                </c:pt>
                <c:pt idx="174">
                  <c:v>25637.098354657472</c:v>
                </c:pt>
                <c:pt idx="175">
                  <c:v>26918.953272390347</c:v>
                </c:pt>
                <c:pt idx="176">
                  <c:v>28264.900936009864</c:v>
                </c:pt>
                <c:pt idx="177">
                  <c:v>29678.145982810358</c:v>
                </c:pt>
                <c:pt idx="178">
                  <c:v>31162.053281950877</c:v>
                </c:pt>
                <c:pt idx="179">
                  <c:v>32720.155946048424</c:v>
                </c:pt>
                <c:pt idx="180">
                  <c:v>34356.163743350844</c:v>
                </c:pt>
                <c:pt idx="181">
                  <c:v>36073.97193051839</c:v>
                </c:pt>
                <c:pt idx="182">
                  <c:v>37877.670527044313</c:v>
                </c:pt>
                <c:pt idx="183">
                  <c:v>39771.554053396532</c:v>
                </c:pt>
                <c:pt idx="184">
                  <c:v>41760.131756066359</c:v>
                </c:pt>
                <c:pt idx="185">
                  <c:v>43848.138343869679</c:v>
                </c:pt>
                <c:pt idx="186">
                  <c:v>46040.545261063162</c:v>
                </c:pt>
                <c:pt idx="187">
                  <c:v>48342.572524116324</c:v>
                </c:pt>
                <c:pt idx="188">
                  <c:v>50759.701150322144</c:v>
                </c:pt>
                <c:pt idx="189">
                  <c:v>53297.686207838255</c:v>
                </c:pt>
                <c:pt idx="190">
                  <c:v>55962.570518230168</c:v>
                </c:pt>
                <c:pt idx="191">
                  <c:v>58760.699044141678</c:v>
                </c:pt>
                <c:pt idx="192">
                  <c:v>61698.733996348768</c:v>
                </c:pt>
                <c:pt idx="193">
                  <c:v>64783.670696166213</c:v>
                </c:pt>
                <c:pt idx="194">
                  <c:v>68022.854230974524</c:v>
                </c:pt>
                <c:pt idx="195">
                  <c:v>71423.996942523256</c:v>
                </c:pt>
                <c:pt idx="196">
                  <c:v>74995.196789649417</c:v>
                </c:pt>
                <c:pt idx="197">
                  <c:v>78744.956629131892</c:v>
                </c:pt>
                <c:pt idx="198">
                  <c:v>82682.204460588488</c:v>
                </c:pt>
                <c:pt idx="199">
                  <c:v>86816.314683617922</c:v>
                </c:pt>
                <c:pt idx="200">
                  <c:v>91157.13041779882</c:v>
                </c:pt>
                <c:pt idx="201">
                  <c:v>95714.986938688759</c:v>
                </c:pt>
                <c:pt idx="202">
                  <c:v>100500.73628562321</c:v>
                </c:pt>
                <c:pt idx="203">
                  <c:v>105525.77309990437</c:v>
                </c:pt>
                <c:pt idx="204">
                  <c:v>110802.06175489959</c:v>
                </c:pt>
                <c:pt idx="205">
                  <c:v>116342.16484264458</c:v>
                </c:pt>
                <c:pt idx="206">
                  <c:v>122159.27308477681</c:v>
                </c:pt>
                <c:pt idx="207">
                  <c:v>128267.23673901566</c:v>
                </c:pt>
                <c:pt idx="208">
                  <c:v>134680.59857596643</c:v>
                </c:pt>
                <c:pt idx="209">
                  <c:v>141414.62850476475</c:v>
                </c:pt>
                <c:pt idx="210">
                  <c:v>148485.359930003</c:v>
                </c:pt>
                <c:pt idx="211">
                  <c:v>155909.62792650316</c:v>
                </c:pt>
                <c:pt idx="212">
                  <c:v>163705.10932282833</c:v>
                </c:pt>
                <c:pt idx="213">
                  <c:v>171890.36478896975</c:v>
                </c:pt>
                <c:pt idx="214">
                  <c:v>180484.88302841823</c:v>
                </c:pt>
                <c:pt idx="215">
                  <c:v>189509.12717983915</c:v>
                </c:pt>
                <c:pt idx="216">
                  <c:v>198984.58353883112</c:v>
                </c:pt>
                <c:pt idx="217">
                  <c:v>208933.81271577268</c:v>
                </c:pt>
                <c:pt idx="218">
                  <c:v>219380.50335156132</c:v>
                </c:pt>
                <c:pt idx="219">
                  <c:v>230349.52851913939</c:v>
                </c:pt>
                <c:pt idx="220">
                  <c:v>241867.00494509639</c:v>
                </c:pt>
                <c:pt idx="221">
                  <c:v>253960.35519235121</c:v>
                </c:pt>
                <c:pt idx="222">
                  <c:v>266658.37295196881</c:v>
                </c:pt>
                <c:pt idx="223">
                  <c:v>279991.29159956728</c:v>
                </c:pt>
                <c:pt idx="224">
                  <c:v>293990.85617954563</c:v>
                </c:pt>
                <c:pt idx="225">
                  <c:v>308690.39898852294</c:v>
                </c:pt>
                <c:pt idx="226">
                  <c:v>324124.91893794911</c:v>
                </c:pt>
                <c:pt idx="227">
                  <c:v>340331.1648848466</c:v>
                </c:pt>
                <c:pt idx="228">
                  <c:v>357347.72312908893</c:v>
                </c:pt>
                <c:pt idx="229">
                  <c:v>375215.10928554338</c:v>
                </c:pt>
                <c:pt idx="230">
                  <c:v>393975.86474982055</c:v>
                </c:pt>
                <c:pt idx="231">
                  <c:v>413674.6579873116</c:v>
                </c:pt>
                <c:pt idx="232">
                  <c:v>434358.3908866772</c:v>
                </c:pt>
                <c:pt idx="233">
                  <c:v>456076.31043101108</c:v>
                </c:pt>
                <c:pt idx="234">
                  <c:v>478880.12595256168</c:v>
                </c:pt>
                <c:pt idx="235">
                  <c:v>502824.13225018978</c:v>
                </c:pt>
                <c:pt idx="236">
                  <c:v>527965.33886269934</c:v>
                </c:pt>
                <c:pt idx="237">
                  <c:v>554363.60580583429</c:v>
                </c:pt>
                <c:pt idx="238">
                  <c:v>582081.78609612607</c:v>
                </c:pt>
                <c:pt idx="239">
                  <c:v>611185.87540093239</c:v>
                </c:pt>
              </c:numCache>
            </c:numRef>
          </c:xVal>
          <c:yVal>
            <c:numRef>
              <c:f>Coordenograma!$AI$3:$AI$242</c:f>
              <c:numCache>
                <c:formatCode>General</c:formatCode>
                <c:ptCount val="240"/>
                <c:pt idx="0">
                  <c:v>-11.158370519726791</c:v>
                </c:pt>
                <c:pt idx="1">
                  <c:v>-11.317647514536066</c:v>
                </c:pt>
                <c:pt idx="2">
                  <c:v>-11.489856649045874</c:v>
                </c:pt>
                <c:pt idx="3">
                  <c:v>-11.676408079753163</c:v>
                </c:pt>
                <c:pt idx="4">
                  <c:v>-11.878919828577763</c:v>
                </c:pt>
                <c:pt idx="5">
                  <c:v>-12.099257615034208</c:v>
                </c:pt>
                <c:pt idx="6">
                  <c:v>-12.339584222868083</c:v>
                </c:pt>
                <c:pt idx="7">
                  <c:v>-12.602421174448052</c:v>
                </c:pt>
                <c:pt idx="8">
                  <c:v>-12.890726448042646</c:v>
                </c:pt>
                <c:pt idx="9">
                  <c:v>-13.207993327239189</c:v>
                </c:pt>
                <c:pt idx="10">
                  <c:v>-13.558377404394916</c:v>
                </c:pt>
                <c:pt idx="11">
                  <c:v>-13.946861559438881</c:v>
                </c:pt>
                <c:pt idx="12">
                  <c:v>-14.379472856181172</c:v>
                </c:pt>
                <c:pt idx="13">
                  <c:v>-14.863571471942095</c:v>
                </c:pt>
                <c:pt idx="14">
                  <c:v>-15.408241205612338</c:v>
                </c:pt>
                <c:pt idx="15">
                  <c:v>-16.024825820532843</c:v>
                </c:pt>
                <c:pt idx="16">
                  <c:v>-16.727678977582801</c:v>
                </c:pt>
                <c:pt idx="17">
                  <c:v>-17.535234047792986</c:v>
                </c:pt>
                <c:pt idx="18">
                  <c:v>-18.471565169001252</c:v>
                </c:pt>
                <c:pt idx="19">
                  <c:v>-19.568724523109033</c:v>
                </c:pt>
                <c:pt idx="20">
                  <c:v>-20.870346818062409</c:v>
                </c:pt>
                <c:pt idx="21">
                  <c:v>-22.437402145609422</c:v>
                </c:pt>
                <c:pt idx="22">
                  <c:v>-24.357755891687582</c:v>
                </c:pt>
                <c:pt idx="23">
                  <c:v>-26.762839349687816</c:v>
                </c:pt>
                <c:pt idx="24">
                  <c:v>-29.858474680240846</c:v>
                </c:pt>
                <c:pt idx="25">
                  <c:v>-33.986186217177213</c:v>
                </c:pt>
                <c:pt idx="26">
                  <c:v>-39.757117602627943</c:v>
                </c:pt>
                <c:pt idx="27">
                  <c:v>-48.38353269575056</c:v>
                </c:pt>
                <c:pt idx="28">
                  <c:v>-62.658910032014042</c:v>
                </c:pt>
                <c:pt idx="29">
                  <c:v>-90.783504074229185</c:v>
                </c:pt>
                <c:pt idx="30">
                  <c:v>-171.70914627483802</c:v>
                </c:pt>
                <c:pt idx="31">
                  <c:v>-2682.2927008740498</c:v>
                </c:pt>
                <c:pt idx="32">
                  <c:v>186.89073183168117</c:v>
                </c:pt>
                <c:pt idx="33">
                  <c:v>88.02481836695712</c:v>
                </c:pt>
                <c:pt idx="34">
                  <c:v>56.591076933412317</c:v>
                </c:pt>
                <c:pt idx="35">
                  <c:v>41.158465730595694</c:v>
                </c:pt>
                <c:pt idx="36">
                  <c:v>31.996589098489771</c:v>
                </c:pt>
                <c:pt idx="37">
                  <c:v>25.934837986479632</c:v>
                </c:pt>
                <c:pt idx="38">
                  <c:v>21.631790126503105</c:v>
                </c:pt>
                <c:pt idx="39">
                  <c:v>18.422364556109653</c:v>
                </c:pt>
                <c:pt idx="40">
                  <c:v>15.93927338197383</c:v>
                </c:pt>
                <c:pt idx="41">
                  <c:v>13.963126323671224</c:v>
                </c:pt>
                <c:pt idx="42">
                  <c:v>12.354794793043959</c:v>
                </c:pt>
                <c:pt idx="43">
                  <c:v>11.021782800564019</c:v>
                </c:pt>
                <c:pt idx="44">
                  <c:v>9.9001989639743009</c:v>
                </c:pt>
                <c:pt idx="45">
                  <c:v>8.94449175749061</c:v>
                </c:pt>
                <c:pt idx="46">
                  <c:v>8.1213089879508811</c:v>
                </c:pt>
                <c:pt idx="47">
                  <c:v>7.4056696014942549</c:v>
                </c:pt>
                <c:pt idx="48">
                  <c:v>6.7784919372545547</c:v>
                </c:pt>
                <c:pt idx="49">
                  <c:v>6.2249489604455857</c:v>
                </c:pt>
                <c:pt idx="50">
                  <c:v>5.7333447256565737</c:v>
                </c:pt>
                <c:pt idx="51">
                  <c:v>5.2943290297339534</c:v>
                </c:pt>
                <c:pt idx="52">
                  <c:v>4.9003371653775503</c:v>
                </c:pt>
                <c:pt idx="53">
                  <c:v>4.5451829347545649</c:v>
                </c:pt>
                <c:pt idx="54">
                  <c:v>4.2237581431162772</c:v>
                </c:pt>
                <c:pt idx="55">
                  <c:v>3.9318074291599738</c:v>
                </c:pt>
                <c:pt idx="56">
                  <c:v>3.6657572813577231</c:v>
                </c:pt>
                <c:pt idx="57">
                  <c:v>3.4225846141292546</c:v>
                </c:pt>
                <c:pt idx="58">
                  <c:v>3.1997146221255264</c:v>
                </c:pt>
                <c:pt idx="59">
                  <c:v>2.9949405755367882</c:v>
                </c:pt>
                <c:pt idx="60">
                  <c:v>2.8063602480256269</c:v>
                </c:pt>
                <c:pt idx="61">
                  <c:v>2.6323250876114441</c:v>
                </c:pt>
                <c:pt idx="62">
                  <c:v>2.4713992467835371</c:v>
                </c:pt>
                <c:pt idx="63">
                  <c:v>2.3223263105568934</c:v>
                </c:pt>
                <c:pt idx="64">
                  <c:v>2.1840020861949943</c:v>
                </c:pt>
                <c:pt idx="65">
                  <c:v>2.0554522040881862</c:v>
                </c:pt>
                <c:pt idx="66">
                  <c:v>1.9358135656548328</c:v>
                </c:pt>
                <c:pt idx="67">
                  <c:v>1.8243188887838941</c:v>
                </c:pt>
                <c:pt idx="68">
                  <c:v>1.720283763682436</c:v>
                </c:pt>
                <c:pt idx="69">
                  <c:v>1.623095755818925</c:v>
                </c:pt>
                <c:pt idx="70">
                  <c:v>1.5322051878561871</c:v>
                </c:pt>
                <c:pt idx="71">
                  <c:v>1.4471173062146014</c:v>
                </c:pt>
                <c:pt idx="72">
                  <c:v>1.3673855954382272</c:v>
                </c:pt>
                <c:pt idx="73">
                  <c:v>1.2926060487208348</c:v>
                </c:pt>
                <c:pt idx="74">
                  <c:v>1.2224122386613039</c:v>
                </c:pt>
                <c:pt idx="75">
                  <c:v>1.1564710607144422</c:v>
                </c:pt>
                <c:pt idx="76">
                  <c:v>1.0944790445121659</c:v>
                </c:pt>
                <c:pt idx="77">
                  <c:v>1.036159146489378</c:v>
                </c:pt>
                <c:pt idx="78">
                  <c:v>0.98125795200682442</c:v>
                </c:pt>
                <c:pt idx="79">
                  <c:v>0.92954322715017579</c:v>
                </c:pt>
                <c:pt idx="80">
                  <c:v>0.88080177016683836</c:v>
                </c:pt>
                <c:pt idx="81">
                  <c:v>0.83483752052105187</c:v>
                </c:pt>
                <c:pt idx="82">
                  <c:v>0.79146989014987845</c:v>
                </c:pt>
                <c:pt idx="83">
                  <c:v>0.75053228696053864</c:v>
                </c:pt>
                <c:pt idx="84">
                  <c:v>0.71187080513939061</c:v>
                </c:pt>
                <c:pt idx="85">
                  <c:v>0.67534306061670069</c:v>
                </c:pt>
                <c:pt idx="86">
                  <c:v>0.64081715318687804</c:v>
                </c:pt>
                <c:pt idx="87">
                  <c:v>0.60817073943152855</c:v>
                </c:pt>
                <c:pt idx="88">
                  <c:v>0.57729020282178201</c:v>
                </c:pt>
                <c:pt idx="89">
                  <c:v>0.54806990925904964</c:v>
                </c:pt>
                <c:pt idx="90">
                  <c:v>0.52041153790850569</c:v>
                </c:pt>
                <c:pt idx="91">
                  <c:v>0.49422347853509607</c:v>
                </c:pt>
                <c:pt idx="92">
                  <c:v>0.46942028770710215</c:v>
                </c:pt>
                <c:pt idx="93">
                  <c:v>0.44592219721957277</c:v>
                </c:pt>
                <c:pt idx="94">
                  <c:v>0.42365466893594395</c:v>
                </c:pt>
                <c:pt idx="95">
                  <c:v>0.40254799097301525</c:v>
                </c:pt>
                <c:pt idx="96">
                  <c:v>0.38253691078048691</c:v>
                </c:pt>
                <c:pt idx="97">
                  <c:v>0.36356030120676341</c:v>
                </c:pt>
                <c:pt idx="98">
                  <c:v>0.34556085611049614</c:v>
                </c:pt>
                <c:pt idx="99">
                  <c:v>0.32848481248306444</c:v>
                </c:pt>
                <c:pt idx="100">
                  <c:v>0.3122816963998844</c:v>
                </c:pt>
                <c:pt idx="101">
                  <c:v>0.29690409042567933</c:v>
                </c:pt>
                <c:pt idx="102">
                  <c:v>0.28230742036704848</c:v>
                </c:pt>
                <c:pt idx="103">
                  <c:v>0.26844975950026012</c:v>
                </c:pt>
                <c:pt idx="104">
                  <c:v>0.2552916486077908</c:v>
                </c:pt>
                <c:pt idx="105">
                  <c:v>0.24279593033764327</c:v>
                </c:pt>
                <c:pt idx="106">
                  <c:v>0.23092759655826844</c:v>
                </c:pt>
                <c:pt idx="107">
                  <c:v>0.21965364752184063</c:v>
                </c:pt>
                <c:pt idx="108">
                  <c:v>0.20894296177215196</c:v>
                </c:pt>
                <c:pt idx="109">
                  <c:v>0.19876617584260742</c:v>
                </c:pt>
                <c:pt idx="110">
                  <c:v>0.18909557288653001</c:v>
                </c:pt>
                <c:pt idx="111">
                  <c:v>0.17990497946779099</c:v>
                </c:pt>
                <c:pt idx="112">
                  <c:v>0.17116966981601545</c:v>
                </c:pt>
                <c:pt idx="113">
                  <c:v>0.16286627691844632</c:v>
                </c:pt>
                <c:pt idx="114">
                  <c:v>0.15497270988100101</c:v>
                </c:pt>
                <c:pt idx="115">
                  <c:v>0.14746807704499798</c:v>
                </c:pt>
                <c:pt idx="116">
                  <c:v>0.1403326143942413</c:v>
                </c:pt>
                <c:pt idx="117">
                  <c:v>0.13354761883029428</c:v>
                </c:pt>
                <c:pt idx="118">
                  <c:v>0.12709538593243461</c:v>
                </c:pt>
                <c:pt idx="119">
                  <c:v>0.12095915185347393</c:v>
                </c:pt>
                <c:pt idx="120">
                  <c:v>0.11512303903379494</c:v>
                </c:pt>
                <c:pt idx="121">
                  <c:v>0.10957200544399683</c:v>
                </c:pt>
                <c:pt idx="122">
                  <c:v>0.10429179709179738</c:v>
                </c:pt>
                <c:pt idx="123">
                  <c:v>9.9268903551616855E-2</c:v>
                </c:pt>
                <c:pt idx="124">
                  <c:v>9.4490516295833424E-2</c:v>
                </c:pt>
                <c:pt idx="125">
                  <c:v>8.9944489625291446E-2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B5-471A-9DF1-ECE3B614E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  <c:extLst/>
      </c:scatterChart>
      <c:valAx>
        <c:axId val="205394110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corrente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935"/>
        <c:crosses val="autoZero"/>
        <c:crossBetween val="midCat"/>
      </c:valAx>
      <c:valAx>
        <c:axId val="20539419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103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6"/>
          <c:order val="0"/>
          <c:tx>
            <c:strRef>
              <c:f>'Coordenograma Manual'!$F$2</c:f>
              <c:strCache>
                <c:ptCount val="1"/>
                <c:pt idx="0">
                  <c:v>ni</c:v>
                </c:pt>
              </c:strCache>
            </c:strRef>
          </c:tx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Manual'!$F$3:$F$242</c:f>
              <c:numCache>
                <c:formatCode>General</c:formatCode>
                <c:ptCount val="240"/>
                <c:pt idx="0">
                  <c:v>170.45719044972174</c:v>
                </c:pt>
                <c:pt idx="1">
                  <c:v>85.203402673668506</c:v>
                </c:pt>
                <c:pt idx="2">
                  <c:v>56.785476725579542</c:v>
                </c:pt>
                <c:pt idx="3">
                  <c:v>42.57651623447213</c:v>
                </c:pt>
                <c:pt idx="4">
                  <c:v>34.051141926158117</c:v>
                </c:pt>
                <c:pt idx="5">
                  <c:v>28.367560709239534</c:v>
                </c:pt>
                <c:pt idx="6">
                  <c:v>24.307861258832734</c:v>
                </c:pt>
                <c:pt idx="7">
                  <c:v>21.263087912495557</c:v>
                </c:pt>
                <c:pt idx="8">
                  <c:v>18.894931968869752</c:v>
                </c:pt>
                <c:pt idx="9">
                  <c:v>17.000408207142421</c:v>
                </c:pt>
                <c:pt idx="10">
                  <c:v>15.450344214068046</c:v>
                </c:pt>
                <c:pt idx="11">
                  <c:v>14.158625047481678</c:v>
                </c:pt>
                <c:pt idx="12">
                  <c:v>13.065632670501914</c:v>
                </c:pt>
                <c:pt idx="13">
                  <c:v>12.128782771068973</c:v>
                </c:pt>
                <c:pt idx="14">
                  <c:v>11.316846853673114</c:v>
                </c:pt>
                <c:pt idx="15">
                  <c:v>10.606403546681845</c:v>
                </c:pt>
                <c:pt idx="16">
                  <c:v>9.979542389434517</c:v>
                </c:pt>
                <c:pt idx="17">
                  <c:v>9.4223330236402045</c:v>
                </c:pt>
                <c:pt idx="18">
                  <c:v>8.9237777980160757</c:v>
                </c:pt>
                <c:pt idx="19">
                  <c:v>8.4750785915360076</c:v>
                </c:pt>
                <c:pt idx="20">
                  <c:v>8.0691131157501363</c:v>
                </c:pt>
                <c:pt idx="21">
                  <c:v>7.7000540437450065</c:v>
                </c:pt>
                <c:pt idx="22">
                  <c:v>7.3630874967659752</c:v>
                </c:pt>
                <c:pt idx="23">
                  <c:v>7.0542019091840649</c:v>
                </c:pt>
                <c:pt idx="24">
                  <c:v>6.770027565870981</c:v>
                </c:pt>
                <c:pt idx="25">
                  <c:v>6.5077131694105317</c:v>
                </c:pt>
                <c:pt idx="26">
                  <c:v>6.2648298368182784</c:v>
                </c:pt>
                <c:pt idx="27">
                  <c:v>6.0392956683935592</c:v>
                </c:pt>
                <c:pt idx="28">
                  <c:v>5.8293159230148417</c:v>
                </c:pt>
                <c:pt idx="29">
                  <c:v>5.6333351583769415</c:v>
                </c:pt>
                <c:pt idx="30">
                  <c:v>5.4499986344074154</c:v>
                </c:pt>
                <c:pt idx="31">
                  <c:v>5.2781209535429801</c:v>
                </c:pt>
                <c:pt idx="32">
                  <c:v>5.1166604027734106</c:v>
                </c:pt>
                <c:pt idx="33">
                  <c:v>4.9646978235602859</c:v>
                </c:pt>
                <c:pt idx="34">
                  <c:v>4.8214191040552627</c:v>
                </c:pt>
                <c:pt idx="35">
                  <c:v>4.6861005892819296</c:v>
                </c:pt>
                <c:pt idx="36">
                  <c:v>4.5580968572344078</c:v>
                </c:pt>
                <c:pt idx="37">
                  <c:v>4.436830425065212</c:v>
                </c:pt>
                <c:pt idx="38">
                  <c:v>4.3217830389369407</c:v>
                </c:pt>
                <c:pt idx="39">
                  <c:v>4.2124882703958084</c:v>
                </c:pt>
                <c:pt idx="40">
                  <c:v>4.1085251962030975</c:v>
                </c:pt>
                <c:pt idx="41">
                  <c:v>4.009512981047501</c:v>
                </c:pt>
                <c:pt idx="42">
                  <c:v>3.9151062161583083</c:v>
                </c:pt>
                <c:pt idx="43">
                  <c:v>3.8249908935621906</c:v>
                </c:pt>
                <c:pt idx="44">
                  <c:v>3.738880917105567</c:v>
                </c:pt>
                <c:pt idx="45">
                  <c:v>3.6565150685612897</c:v>
                </c:pt>
                <c:pt idx="46">
                  <c:v>3.5776543610406728</c:v>
                </c:pt>
                <c:pt idx="47">
                  <c:v>3.502079723229051</c:v>
                </c:pt>
                <c:pt idx="48">
                  <c:v>3.4295899671843895</c:v>
                </c:pt>
                <c:pt idx="49">
                  <c:v>3.3599999999999968</c:v>
                </c:pt>
                <c:pt idx="50">
                  <c:v>3.2931392458598978</c:v>
                </c:pt>
                <c:pt idx="51">
                  <c:v>3.228850250164681</c:v>
                </c:pt>
                <c:pt idx="52">
                  <c:v>3.1669874416809844</c:v>
                </c:pt>
                <c:pt idx="53">
                  <c:v>3.107416032229672</c:v>
                </c:pt>
                <c:pt idx="54">
                  <c:v>3.0500110364083373</c:v>
                </c:pt>
                <c:pt idx="55">
                  <c:v>2.9946563963432604</c:v>
                </c:pt>
                <c:pt idx="56">
                  <c:v>2.9412441985729072</c:v>
                </c:pt>
                <c:pt idx="57">
                  <c:v>2.8896739719434135</c:v>
                </c:pt>
                <c:pt idx="58">
                  <c:v>2.8398520569045935</c:v>
                </c:pt>
                <c:pt idx="59">
                  <c:v>2.7916910378762125</c:v>
                </c:pt>
                <c:pt idx="60">
                  <c:v>2.7451092314472478</c:v>
                </c:pt>
                <c:pt idx="61">
                  <c:v>2.7000302241041663</c:v>
                </c:pt>
                <c:pt idx="62">
                  <c:v>2.6563824539850329</c:v>
                </c:pt>
                <c:pt idx="63">
                  <c:v>2.6140988318443297</c:v>
                </c:pt>
                <c:pt idx="64">
                  <c:v>2.5731163970054056</c:v>
                </c:pt>
                <c:pt idx="65">
                  <c:v>2.533376004590278</c:v>
                </c:pt>
                <c:pt idx="66">
                  <c:v>2.4948220407583528</c:v>
                </c:pt>
                <c:pt idx="67">
                  <c:v>2.4574021630714844</c:v>
                </c:pt>
                <c:pt idx="68">
                  <c:v>2.4210670634357192</c:v>
                </c:pt>
                <c:pt idx="69">
                  <c:v>2.385770251362485</c:v>
                </c:pt>
                <c:pt idx="70">
                  <c:v>2.351467855545629</c:v>
                </c:pt>
                <c:pt idx="71">
                  <c:v>2.3181184419738039</c:v>
                </c:pt>
                <c:pt idx="72">
                  <c:v>2.2856828469924095</c:v>
                </c:pt>
                <c:pt idx="73">
                  <c:v>2.2541240239011651</c:v>
                </c:pt>
                <c:pt idx="74">
                  <c:v>2.2234069018237737</c:v>
                </c:pt>
                <c:pt idx="75">
                  <c:v>2.193498255719545</c:v>
                </c:pt>
                <c:pt idx="76">
                  <c:v>2.1643665865239079</c:v>
                </c:pt>
                <c:pt idx="77">
                  <c:v>2.1359820105089189</c:v>
                </c:pt>
                <c:pt idx="78">
                  <c:v>2.1083161570467945</c:v>
                </c:pt>
                <c:pt idx="79">
                  <c:v>2.0813420740411113</c:v>
                </c:pt>
                <c:pt idx="80">
                  <c:v>2.0550341403631842</c:v>
                </c:pt>
                <c:pt idx="81">
                  <c:v>2.0293679846954542</c:v>
                </c:pt>
                <c:pt idx="82">
                  <c:v>2.0043204102416925</c:v>
                </c:pt>
                <c:pt idx="83">
                  <c:v>1.9798693248149999</c:v>
                </c:pt>
                <c:pt idx="84">
                  <c:v>1.9559936758608094</c:v>
                </c:pt>
                <c:pt idx="85">
                  <c:v>1.9326733900131057</c:v>
                </c:pt>
                <c:pt idx="86">
                  <c:v>1.9098893168192657</c:v>
                </c:pt>
                <c:pt idx="87">
                  <c:v>1.8876231763017752</c:v>
                </c:pt>
                <c:pt idx="88">
                  <c:v>1.8658575100551216</c:v>
                </c:pt>
                <c:pt idx="89">
                  <c:v>1.8445756356029364</c:v>
                </c:pt>
                <c:pt idx="90">
                  <c:v>1.8237616037644993</c:v>
                </c:pt>
                <c:pt idx="91">
                  <c:v>1.8034001588017166</c:v>
                </c:pt>
                <c:pt idx="92">
                  <c:v>1.7834767011372747</c:v>
                </c:pt>
                <c:pt idx="93">
                  <c:v>1.7639772524524555</c:v>
                </c:pt>
                <c:pt idx="94">
                  <c:v>1.7448884229893282</c:v>
                </c:pt>
                <c:pt idx="95">
                  <c:v>1.7261973808965327</c:v>
                </c:pt>
                <c:pt idx="96">
                  <c:v>1.7078918234712102</c:v>
                </c:pt>
                <c:pt idx="97">
                  <c:v>1.6899599501616331</c:v>
                </c:pt>
                <c:pt idx="98">
                  <c:v>1.6723904372060332</c:v>
                </c:pt>
                <c:pt idx="99">
                  <c:v>1.655172413793105</c:v>
                </c:pt>
                <c:pt idx="100">
                  <c:v>1.6382954396387179</c:v>
                </c:pt>
                <c:pt idx="101">
                  <c:v>1.621749483881652</c:v>
                </c:pt>
                <c:pt idx="102">
                  <c:v>1.6055249052086704</c:v>
                </c:pt>
                <c:pt idx="103">
                  <c:v>1.5896124331262875</c:v>
                </c:pt>
                <c:pt idx="104">
                  <c:v>1.5740031503026559</c:v>
                </c:pt>
                <c:pt idx="105">
                  <c:v>1.5586884759090089</c:v>
                </c:pt>
                <c:pt idx="106">
                  <c:v>1.5436601498952318</c:v>
                </c:pt>
                <c:pt idx="107">
                  <c:v>1.5289102181389724</c:v>
                </c:pt>
                <c:pt idx="108">
                  <c:v>1.5144310184122765</c:v>
                </c:pt>
                <c:pt idx="109">
                  <c:v>1.5002151671136508</c:v>
                </c:pt>
                <c:pt idx="110">
                  <c:v>1.4862555467173288</c:v>
                </c:pt>
                <c:pt idx="111">
                  <c:v>1.472545293894892</c:v>
                </c:pt>
                <c:pt idx="112">
                  <c:v>1.4590777882675761</c:v>
                </c:pt>
                <c:pt idx="113">
                  <c:v>1.4458466417506262</c:v>
                </c:pt>
                <c:pt idx="114">
                  <c:v>1.4328456884535188</c:v>
                </c:pt>
                <c:pt idx="115">
                  <c:v>1.4200689751026327</c:v>
                </c:pt>
                <c:pt idx="116">
                  <c:v>1.4075107519550838</c:v>
                </c:pt>
                <c:pt idx="117">
                  <c:v>1.3951654641745042</c:v>
                </c:pt>
                <c:pt idx="118">
                  <c:v>1.3830277436417147</c:v>
                </c:pt>
                <c:pt idx="119">
                  <c:v>1.3710924011748358</c:v>
                </c:pt>
                <c:pt idx="120">
                  <c:v>1.3593544191351814</c:v>
                </c:pt>
                <c:pt idx="121">
                  <c:v>1.3478089443968102</c:v>
                </c:pt>
                <c:pt idx="122">
                  <c:v>1.3364512816590037</c:v>
                </c:pt>
                <c:pt idx="123">
                  <c:v>1.3252768870823572</c:v>
                </c:pt>
                <c:pt idx="124">
                  <c:v>1.3142813622303111</c:v>
                </c:pt>
                <c:pt idx="125">
                  <c:v>1.3034604482992147</c:v>
                </c:pt>
                <c:pt idx="126">
                  <c:v>1.292810020620961</c:v>
                </c:pt>
                <c:pt idx="127">
                  <c:v>1.2823260834233143</c:v>
                </c:pt>
                <c:pt idx="128">
                  <c:v>1.2720047648339439</c:v>
                </c:pt>
                <c:pt idx="129">
                  <c:v>1.2618423121150522</c:v>
                </c:pt>
                <c:pt idx="130">
                  <c:v>1.2518350871162451</c:v>
                </c:pt>
                <c:pt idx="131">
                  <c:v>1.2419795619341085</c:v>
                </c:pt>
                <c:pt idx="132">
                  <c:v>1.2322723147675791</c:v>
                </c:pt>
                <c:pt idx="133">
                  <c:v>1.2227100259589099</c:v>
                </c:pt>
                <c:pt idx="134">
                  <c:v>1.2132894742105715</c:v>
                </c:pt>
                <c:pt idx="135">
                  <c:v>1.204007532969076</c:v>
                </c:pt>
                <c:pt idx="136">
                  <c:v>1.1948611669671632</c:v>
                </c:pt>
                <c:pt idx="137">
                  <c:v>1.1858474289163292</c:v>
                </c:pt>
                <c:pt idx="138">
                  <c:v>1.1769634563421241</c:v>
                </c:pt>
                <c:pt idx="139">
                  <c:v>1.1682064685550806</c:v>
                </c:pt>
                <c:pt idx="140">
                  <c:v>1.1595737637505248</c:v>
                </c:pt>
                <c:pt idx="141">
                  <c:v>1.1510627162309599</c:v>
                </c:pt>
                <c:pt idx="142">
                  <c:v>1.1426707737449679</c:v>
                </c:pt>
                <c:pt idx="143">
                  <c:v>1.1343954549369901</c:v>
                </c:pt>
                <c:pt idx="144">
                  <c:v>1.1262343469026648</c:v>
                </c:pt>
                <c:pt idx="145">
                  <c:v>1.1181851028445799</c:v>
                </c:pt>
                <c:pt idx="146">
                  <c:v>1.1102454398237602</c:v>
                </c:pt>
                <c:pt idx="147">
                  <c:v>1.1024131366022791</c:v>
                </c:pt>
                <c:pt idx="148">
                  <c:v>1.0946860315727507</c:v>
                </c:pt>
                <c:pt idx="149">
                  <c:v>1.0870620207706494</c:v>
                </c:pt>
                <c:pt idx="150">
                  <c:v>1.0795390559656035</c:v>
                </c:pt>
                <c:pt idx="151">
                  <c:v>1.0721151428280391</c:v>
                </c:pt>
                <c:pt idx="152">
                  <c:v>1.0647883391677089</c:v>
                </c:pt>
                <c:pt idx="153">
                  <c:v>1.0575567532408634</c:v>
                </c:pt>
                <c:pt idx="154">
                  <c:v>1.0504185421229446</c:v>
                </c:pt>
                <c:pt idx="155">
                  <c:v>1.0433719101438603</c:v>
                </c:pt>
                <c:pt idx="156">
                  <c:v>1.0364151073830743</c:v>
                </c:pt>
                <c:pt idx="157">
                  <c:v>1.0295464282218303</c:v>
                </c:pt>
                <c:pt idx="158">
                  <c:v>1.0227642099500149</c:v>
                </c:pt>
                <c:pt idx="159">
                  <c:v>1.016066831425269</c:v>
                </c:pt>
                <c:pt idx="160">
                  <c:v>1.0094527117820484</c:v>
                </c:pt>
                <c:pt idx="161">
                  <c:v>1.0029203091885273</c:v>
                </c:pt>
                <c:pt idx="162">
                  <c:v>0.9964681196492412</c:v>
                </c:pt>
                <c:pt idx="163">
                  <c:v>0.99009467585153499</c:v>
                </c:pt>
                <c:pt idx="164">
                  <c:v>0.98379854605396377</c:v>
                </c:pt>
                <c:pt idx="165">
                  <c:v>0.97757833301487329</c:v>
                </c:pt>
                <c:pt idx="166">
                  <c:v>0.97143267295947544</c:v>
                </c:pt>
                <c:pt idx="167">
                  <c:v>0.96536023458380038</c:v>
                </c:pt>
                <c:pt idx="168">
                  <c:v>0.95935971809403142</c:v>
                </c:pt>
                <c:pt idx="169">
                  <c:v>0.95342985427972837</c:v>
                </c:pt>
                <c:pt idx="170">
                  <c:v>0.94756940361958075</c:v>
                </c:pt>
                <c:pt idx="171">
                  <c:v>0.94177715541835438</c:v>
                </c:pt>
                <c:pt idx="172">
                  <c:v>0.93605192697376083</c:v>
                </c:pt>
                <c:pt idx="173">
                  <c:v>0.93039256277206717</c:v>
                </c:pt>
                <c:pt idx="174">
                  <c:v>0.92479793371128183</c:v>
                </c:pt>
                <c:pt idx="175">
                  <c:v>0.91926693635081169</c:v>
                </c:pt>
                <c:pt idx="176">
                  <c:v>0.91379849218657616</c:v>
                </c:pt>
                <c:pt idx="177">
                  <c:v>0.90839154695053459</c:v>
                </c:pt>
                <c:pt idx="178">
                  <c:v>0.90304506993370637</c:v>
                </c:pt>
                <c:pt idx="179">
                  <c:v>0.89775805333175085</c:v>
                </c:pt>
                <c:pt idx="180">
                  <c:v>0.89252951161224192</c:v>
                </c:pt>
                <c:pt idx="181">
                  <c:v>0.887358480902803</c:v>
                </c:pt>
                <c:pt idx="182">
                  <c:v>0.882244018399304</c:v>
                </c:pt>
                <c:pt idx="183">
                  <c:v>0.87718520179334947</c:v>
                </c:pt>
                <c:pt idx="184">
                  <c:v>0.87218112871834608</c:v>
                </c:pt>
                <c:pt idx="185">
                  <c:v>0.86723091621343251</c:v>
                </c:pt>
                <c:pt idx="186">
                  <c:v>0.86233370020460132</c:v>
                </c:pt>
                <c:pt idx="187">
                  <c:v>0.85748863500239836</c:v>
                </c:pt>
                <c:pt idx="188">
                  <c:v>0.85269489281555366</c:v>
                </c:pt>
                <c:pt idx="189">
                  <c:v>0.84795166327998051</c:v>
                </c:pt>
                <c:pt idx="190">
                  <c:v>0.84325815300256157</c:v>
                </c:pt>
                <c:pt idx="191">
                  <c:v>0.8386135851192027</c:v>
                </c:pt>
                <c:pt idx="192">
                  <c:v>0.83401719886661185</c:v>
                </c:pt>
                <c:pt idx="193">
                  <c:v>0.82946824916733741</c:v>
                </c:pt>
                <c:pt idx="194">
                  <c:v>0.824966006227563</c:v>
                </c:pt>
                <c:pt idx="195">
                  <c:v>0.82050975514722302</c:v>
                </c:pt>
                <c:pt idx="196">
                  <c:v>0.81609879554198028</c:v>
                </c:pt>
                <c:pt idx="197">
                  <c:v>0.8117324411766782</c:v>
                </c:pt>
                <c:pt idx="198">
                  <c:v>0.80741001960982506</c:v>
                </c:pt>
                <c:pt idx="199">
                  <c:v>0.80313087184875631</c:v>
                </c:pt>
                <c:pt idx="200">
                  <c:v>0.79889435201508519</c:v>
                </c:pt>
                <c:pt idx="201">
                  <c:v>0.79469982702009456</c:v>
                </c:pt>
                <c:pt idx="202">
                  <c:v>0.79054667624971442</c:v>
                </c:pt>
                <c:pt idx="203">
                  <c:v>0.7864342912587805</c:v>
                </c:pt>
                <c:pt idx="204">
                  <c:v>0.78236207547422032</c:v>
                </c:pt>
                <c:pt idx="205">
                  <c:v>0.77832944390690395</c:v>
                </c:pt>
                <c:pt idx="206">
                  <c:v>0.77433582287183644</c:v>
                </c:pt>
                <c:pt idx="207">
                  <c:v>0.77038064971642151</c:v>
                </c:pt>
                <c:pt idx="208">
                  <c:v>0.76646337255653252</c:v>
                </c:pt>
                <c:pt idx="209">
                  <c:v>0.76258345002011407</c:v>
                </c:pt>
                <c:pt idx="210">
                  <c:v>0.75874035099809078</c:v>
                </c:pt>
                <c:pt idx="211">
                  <c:v>0.7549335544023047</c:v>
                </c:pt>
                <c:pt idx="212">
                  <c:v>0.75116254893029122</c:v>
                </c:pt>
                <c:pt idx="213">
                  <c:v>0.74742683283663547</c:v>
                </c:pt>
                <c:pt idx="214">
                  <c:v>0.74372591371071839</c:v>
                </c:pt>
                <c:pt idx="215">
                  <c:v>0.74005930826063471</c:v>
                </c:pt>
                <c:pt idx="216">
                  <c:v>0.73642654210307967</c:v>
                </c:pt>
                <c:pt idx="217">
                  <c:v>0.7328271495590295</c:v>
                </c:pt>
                <c:pt idx="218">
                  <c:v>0.72926067345500634</c:v>
                </c:pt>
                <c:pt idx="219">
                  <c:v>0.72572666492977711</c:v>
                </c:pt>
                <c:pt idx="220">
                  <c:v>0.72222468324629008</c:v>
                </c:pt>
                <c:pt idx="221">
                  <c:v>0.71875429560869875</c:v>
                </c:pt>
                <c:pt idx="222">
                  <c:v>0.71531507698430685</c:v>
                </c:pt>
                <c:pt idx="223">
                  <c:v>0.71190660993028554</c:v>
                </c:pt>
                <c:pt idx="224">
                  <c:v>0.70852848442500882</c:v>
                </c:pt>
                <c:pt idx="225">
                  <c:v>0.70518029770386592</c:v>
                </c:pt>
                <c:pt idx="226">
                  <c:v>0.70186165409941859</c:v>
                </c:pt>
                <c:pt idx="227">
                  <c:v>0.69857216488576013</c:v>
                </c:pt>
                <c:pt idx="228">
                  <c:v>0.69531144812694901</c:v>
                </c:pt>
                <c:pt idx="229">
                  <c:v>0.69207912852941056</c:v>
                </c:pt>
                <c:pt idx="230">
                  <c:v>0.68887483729815369</c:v>
                </c:pt>
                <c:pt idx="231">
                  <c:v>0.68569821199671821</c:v>
                </c:pt>
                <c:pt idx="232">
                  <c:v>0.68254889641072836</c:v>
                </c:pt>
                <c:pt idx="233">
                  <c:v>0.67942654041493822</c:v>
                </c:pt>
                <c:pt idx="234">
                  <c:v>0.67633079984367894</c:v>
                </c:pt>
                <c:pt idx="235">
                  <c:v>0.67326133636459373</c:v>
                </c:pt>
                <c:pt idx="236">
                  <c:v>0.67021781735557473</c:v>
                </c:pt>
                <c:pt idx="237">
                  <c:v>0.66719991578479909</c:v>
                </c:pt>
                <c:pt idx="238">
                  <c:v>0.66420731009377598</c:v>
                </c:pt>
                <c:pt idx="239">
                  <c:v>0.66123968408332001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49DF-4991-9378-C4CCAEBFE91E}"/>
            </c:ext>
          </c:extLst>
        </c:ser>
        <c:ser>
          <c:idx val="7"/>
          <c:order val="1"/>
          <c:tx>
            <c:strRef>
              <c:f>'Coordenograma Manual'!$G$2</c:f>
              <c:strCache>
                <c:ptCount val="1"/>
                <c:pt idx="0">
                  <c:v>ei</c:v>
                </c:pt>
              </c:strCache>
            </c:strRef>
          </c:tx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Manual'!$G$3:$G$242</c:f>
              <c:numCache>
                <c:formatCode>General</c:formatCode>
                <c:ptCount val="240"/>
                <c:pt idx="0">
                  <c:v>945.81280788177412</c:v>
                </c:pt>
                <c:pt idx="1">
                  <c:v>458.93192677071858</c:v>
                </c:pt>
                <c:pt idx="2">
                  <c:v>296.82720086434034</c:v>
                </c:pt>
                <c:pt idx="3">
                  <c:v>215.91626654829901</c:v>
                </c:pt>
                <c:pt idx="4">
                  <c:v>167.48257268190639</c:v>
                </c:pt>
                <c:pt idx="5">
                  <c:v>135.2872041080889</c:v>
                </c:pt>
                <c:pt idx="6">
                  <c:v>112.37057086206953</c:v>
                </c:pt>
                <c:pt idx="7">
                  <c:v>95.252830589737101</c:v>
                </c:pt>
                <c:pt idx="8">
                  <c:v>82.000696120890169</c:v>
                </c:pt>
                <c:pt idx="9">
                  <c:v>71.454158585969466</c:v>
                </c:pt>
                <c:pt idx="10">
                  <c:v>62.874998000092937</c:v>
                </c:pt>
                <c:pt idx="11">
                  <c:v>55.771038622022125</c:v>
                </c:pt>
                <c:pt idx="12">
                  <c:v>49.801517283041875</c:v>
                </c:pt>
                <c:pt idx="13">
                  <c:v>44.723008197667156</c:v>
                </c:pt>
                <c:pt idx="14">
                  <c:v>40.356977894884913</c:v>
                </c:pt>
                <c:pt idx="15">
                  <c:v>36.569507089134348</c:v>
                </c:pt>
                <c:pt idx="16">
                  <c:v>33.258169571656722</c:v>
                </c:pt>
                <c:pt idx="17">
                  <c:v>30.343284833581528</c:v>
                </c:pt>
                <c:pt idx="18">
                  <c:v>27.761933043047581</c:v>
                </c:pt>
                <c:pt idx="19">
                  <c:v>25.463765549688684</c:v>
                </c:pt>
                <c:pt idx="20">
                  <c:v>23.408012404705179</c:v>
                </c:pt>
                <c:pt idx="21">
                  <c:v>21.561306025377181</c:v>
                </c:pt>
                <c:pt idx="22">
                  <c:v>19.896072609798154</c:v>
                </c:pt>
                <c:pt idx="23">
                  <c:v>18.389325705698127</c:v>
                </c:pt>
                <c:pt idx="24">
                  <c:v>17.021749328016938</c:v>
                </c:pt>
                <c:pt idx="25">
                  <c:v>15.776992667724336</c:v>
                </c:pt>
                <c:pt idx="26">
                  <c:v>14.641121532952193</c:v>
                </c:pt>
                <c:pt idx="27">
                  <c:v>13.602187337541952</c:v>
                </c:pt>
                <c:pt idx="28">
                  <c:v>12.649885261800042</c:v>
                </c:pt>
                <c:pt idx="29">
                  <c:v>11.775280777044278</c:v>
                </c:pt>
                <c:pt idx="30">
                  <c:v>10.970589095510451</c:v>
                </c:pt>
                <c:pt idx="31">
                  <c:v>10.228995966871354</c:v>
                </c:pt>
                <c:pt idx="32">
                  <c:v>9.5445110496671486</c:v>
                </c:pt>
                <c:pt idx="33">
                  <c:v>8.9118471499540952</c:v>
                </c:pt>
                <c:pt idx="34">
                  <c:v>8.3263201527449624</c:v>
                </c:pt>
                <c:pt idx="35">
                  <c:v>7.783765621765717</c:v>
                </c:pt>
                <c:pt idx="36">
                  <c:v>7.2804689132879892</c:v>
                </c:pt>
                <c:pt idx="37">
                  <c:v>6.8131063139239068</c:v>
                </c:pt>
                <c:pt idx="38">
                  <c:v>6.3786952231371039</c:v>
                </c:pt>
                <c:pt idx="39">
                  <c:v>5.9745517971451658</c:v>
                </c:pt>
                <c:pt idx="40">
                  <c:v>5.5982547798998192</c:v>
                </c:pt>
                <c:pt idx="41">
                  <c:v>5.2476144896242989</c:v>
                </c:pt>
                <c:pt idx="42">
                  <c:v>4.9206461213614654</c:v>
                </c:pt>
                <c:pt idx="43">
                  <c:v>4.6155466786912482</c:v>
                </c:pt>
                <c:pt idx="44">
                  <c:v>4.3306749699375748</c:v>
                </c:pt>
                <c:pt idx="45">
                  <c:v>4.0645342024431619</c:v>
                </c:pt>
                <c:pt idx="46">
                  <c:v>3.8157567879307419</c:v>
                </c:pt>
                <c:pt idx="47">
                  <c:v>3.5830910365118469</c:v>
                </c:pt>
                <c:pt idx="48">
                  <c:v>3.3653894695893749</c:v>
                </c:pt>
                <c:pt idx="49">
                  <c:v>3.161598525099178</c:v>
                </c:pt>
                <c:pt idx="50">
                  <c:v>2.970749464108875</c:v>
                </c:pt>
                <c:pt idx="51">
                  <c:v>2.7919503172053535</c:v>
                </c:pt>
                <c:pt idx="52">
                  <c:v>2.6243787335183804</c:v>
                </c:pt>
                <c:pt idx="53">
                  <c:v>2.467275615571666</c:v>
                </c:pt>
                <c:pt idx="54">
                  <c:v>2.319939440165113</c:v>
                </c:pt>
                <c:pt idx="55">
                  <c:v>2.1817211797677047</c:v>
                </c:pt>
                <c:pt idx="56">
                  <c:v>2.0520197509198517</c:v>
                </c:pt>
                <c:pt idx="57">
                  <c:v>1.9302779262959615</c:v>
                </c:pt>
                <c:pt idx="58">
                  <c:v>1.8159786556792739</c:v>
                </c:pt>
                <c:pt idx="59">
                  <c:v>1.7086417484099663</c:v>
                </c:pt>
                <c:pt idx="60">
                  <c:v>1.6078208760963675</c:v>
                </c:pt>
                <c:pt idx="61">
                  <c:v>1.5131008597018616</c:v>
                </c:pt>
                <c:pt idx="62">
                  <c:v>1.424095209680883</c:v>
                </c:pt>
                <c:pt idx="63">
                  <c:v>1.3404438917553061</c:v>
                </c:pt>
                <c:pt idx="64">
                  <c:v>1.261811294296584</c:v>
                </c:pt>
                <c:pt idx="65">
                  <c:v>1.1878843761916873</c:v>
                </c:pt>
                <c:pt idx="66">
                  <c:v>1.1183709765912127</c:v>
                </c:pt>
                <c:pt idx="67">
                  <c:v>1.0529982701237366</c:v>
                </c:pt>
                <c:pt idx="68">
                  <c:v>0.99151135306020921</c:v>
                </c:pt>
                <c:pt idx="69">
                  <c:v>0.93367194756683969</c:v>
                </c:pt>
                <c:pt idx="70">
                  <c:v>0.87925721262914203</c:v>
                </c:pt>
                <c:pt idx="71">
                  <c:v>0.8280586514928796</c:v>
                </c:pt>
                <c:pt idx="72">
                  <c:v>0.77988110657447673</c:v>
                </c:pt>
                <c:pt idx="73">
                  <c:v>0.73454183376524229</c:v>
                </c:pt>
                <c:pt idx="74">
                  <c:v>0.69186964890854008</c:v>
                </c:pt>
                <c:pt idx="75">
                  <c:v>0.65170413998232501</c:v>
                </c:pt>
                <c:pt idx="76">
                  <c:v>0.61389493918444893</c:v>
                </c:pt>
                <c:pt idx="77">
                  <c:v>0.57830104970623897</c:v>
                </c:pt>
                <c:pt idx="78">
                  <c:v>0.5447902225008292</c:v>
                </c:pt>
                <c:pt idx="79">
                  <c:v>0.51323837881500611</c:v>
                </c:pt>
                <c:pt idx="80">
                  <c:v>0.48352907466423894</c:v>
                </c:pt>
                <c:pt idx="81">
                  <c:v>0.45555300379635155</c:v>
                </c:pt>
                <c:pt idx="82">
                  <c:v>0.42920753601548928</c:v>
                </c:pt>
                <c:pt idx="83">
                  <c:v>0.40439628802932209</c:v>
                </c:pt>
                <c:pt idx="84">
                  <c:v>0.38102872424298456</c:v>
                </c:pt>
                <c:pt idx="85">
                  <c:v>0.35901978515665567</c:v>
                </c:pt>
                <c:pt idx="86">
                  <c:v>0.33828954123307153</c:v>
                </c:pt>
                <c:pt idx="87">
                  <c:v>0.31876287028939559</c:v>
                </c:pt>
                <c:pt idx="88">
                  <c:v>0.30036915663713787</c:v>
                </c:pt>
                <c:pt idx="89">
                  <c:v>0.28304201034632803</c:v>
                </c:pt>
                <c:pt idx="90">
                  <c:v>0.26671900514776087</c:v>
                </c:pt>
                <c:pt idx="91">
                  <c:v>0.25134143361146605</c:v>
                </c:pt>
                <c:pt idx="92">
                  <c:v>0.23685407835205127</c:v>
                </c:pt>
                <c:pt idx="93">
                  <c:v>0.22320499811347858</c:v>
                </c:pt>
                <c:pt idx="94">
                  <c:v>0.21034532767829273</c:v>
                </c:pt>
                <c:pt idx="95">
                  <c:v>0.1982290906302939</c:v>
                </c:pt>
                <c:pt idx="96">
                  <c:v>0.18681302407602379</c:v>
                </c:pt>
                <c:pt idx="97">
                  <c:v>0.17605641449998635</c:v>
                </c:pt>
                <c:pt idx="98">
                  <c:v>0.16592094399193286</c:v>
                </c:pt>
                <c:pt idx="99">
                  <c:v>0.15637054614242391</c:v>
                </c:pt>
                <c:pt idx="100">
                  <c:v>0.14737127095578242</c:v>
                </c:pt>
                <c:pt idx="101">
                  <c:v>0.13889115817795061</c:v>
                </c:pt>
                <c:pt idx="102">
                  <c:v>0.1309001184811002</c:v>
                </c:pt>
                <c:pt idx="103">
                  <c:v>0.1233698219874991</c:v>
                </c:pt>
                <c:pt idx="104">
                  <c:v>0.11627359365246112</c:v>
                </c:pt>
                <c:pt idx="105">
                  <c:v>0.10958631506049842</c:v>
                </c:pt>
                <c:pt idx="106">
                  <c:v>0.10328433222034986</c:v>
                </c:pt>
                <c:pt idx="107">
                  <c:v>9.7345368973606558E-2</c:v>
                </c:pt>
                <c:pt idx="108">
                  <c:v>9.1748445658435138E-2</c:v>
                </c:pt>
                <c:pt idx="109">
                  <c:v>8.6473802694602378E-2</c:v>
                </c:pt>
                <c:pt idx="110">
                  <c:v>8.1502828778818273E-2</c:v>
                </c:pt>
                <c:pt idx="111">
                  <c:v>7.681799340049901E-2</c:v>
                </c:pt>
                <c:pt idx="112">
                  <c:v>7.240278340755589E-2</c:v>
                </c:pt>
                <c:pt idx="113">
                  <c:v>6.824164336987415E-2</c:v>
                </c:pt>
                <c:pt idx="114">
                  <c:v>6.431991950487756E-2</c:v>
                </c:pt>
                <c:pt idx="115">
                  <c:v>6.062380694508978E-2</c:v>
                </c:pt>
                <c:pt idx="116">
                  <c:v>5.7140300142001818E-2</c:v>
                </c:pt>
                <c:pt idx="117">
                  <c:v>5.3857146213925837E-2</c:v>
                </c:pt>
                <c:pt idx="118">
                  <c:v>5.0762801057942182E-2</c:v>
                </c:pt>
                <c:pt idx="119">
                  <c:v>4.784638805760047E-2</c:v>
                </c:pt>
                <c:pt idx="120">
                  <c:v>4.5097659228790547E-2</c:v>
                </c:pt>
                <c:pt idx="121">
                  <c:v>4.2506958656209286E-2</c:v>
                </c:pt>
                <c:pt idx="122">
                  <c:v>4.0065188082178821E-2</c:v>
                </c:pt>
                <c:pt idx="123">
                  <c:v>3.776377451826668E-2</c:v>
                </c:pt>
                <c:pt idx="124">
                  <c:v>3.5594639758270166E-2</c:v>
                </c:pt>
                <c:pt idx="125">
                  <c:v>3.3550171678695083E-2</c:v>
                </c:pt>
                <c:pt idx="126">
                  <c:v>3.1623197219927346E-2</c:v>
                </c:pt>
                <c:pt idx="127">
                  <c:v>2.980695694789702E-2</c:v>
                </c:pt>
                <c:pt idx="128">
                  <c:v>2.809508110220409E-2</c:v>
                </c:pt>
                <c:pt idx="129">
                  <c:v>2.6481567042443876E-2</c:v>
                </c:pt>
                <c:pt idx="130">
                  <c:v>2.496075800986549E-2</c:v>
                </c:pt>
                <c:pt idx="131">
                  <c:v>2.3527323126545856E-2</c:v>
                </c:pt>
                <c:pt idx="132">
                  <c:v>2.2176238558987611E-2</c:v>
                </c:pt>
                <c:pt idx="133">
                  <c:v>2.0902769777475527E-2</c:v>
                </c:pt>
                <c:pt idx="134">
                  <c:v>1.9702454846671689E-2</c:v>
                </c:pt>
                <c:pt idx="135">
                  <c:v>1.8571088686814619E-2</c:v>
                </c:pt>
                <c:pt idx="136">
                  <c:v>1.7504708248529528E-2</c:v>
                </c:pt>
                <c:pt idx="137">
                  <c:v>1.6499578547670819E-2</c:v>
                </c:pt>
                <c:pt idx="138">
                  <c:v>1.5552179509821126E-2</c:v>
                </c:pt>
                <c:pt idx="139">
                  <c:v>1.4659193577075038E-2</c:v>
                </c:pt>
                <c:pt idx="140">
                  <c:v>1.3817494032555364E-2</c:v>
                </c:pt>
                <c:pt idx="141">
                  <c:v>1.3024134000755947E-2</c:v>
                </c:pt>
                <c:pt idx="142">
                  <c:v>1.2276336084289498E-2</c:v>
                </c:pt>
                <c:pt idx="143">
                  <c:v>1.1571482599951872E-2</c:v>
                </c:pt>
                <c:pt idx="144">
                  <c:v>1.0907106379205585E-2</c:v>
                </c:pt>
                <c:pt idx="145">
                  <c:v>1.0280882100243598E-2</c:v>
                </c:pt>
                <c:pt idx="146">
                  <c:v>9.6906181207288052E-3</c:v>
                </c:pt>
                <c:pt idx="147">
                  <c:v>9.1342487821220314E-3</c:v>
                </c:pt>
                <c:pt idx="148">
                  <c:v>8.6098271582199931E-3</c:v>
                </c:pt>
                <c:pt idx="149">
                  <c:v>8.1155182221304464E-3</c:v>
                </c:pt>
                <c:pt idx="150">
                  <c:v>7.6495924074219176E-3</c:v>
                </c:pt>
                <c:pt idx="151">
                  <c:v>7.2104195406051761E-3</c:v>
                </c:pt>
                <c:pt idx="152">
                  <c:v>6.7964631234390211E-3</c:v>
                </c:pt>
                <c:pt idx="153">
                  <c:v>6.4062749448089169E-3</c:v>
                </c:pt>
                <c:pt idx="154">
                  <c:v>6.0384900031085435E-3</c:v>
                </c:pt>
                <c:pt idx="155">
                  <c:v>5.6918217211659027E-3</c:v>
                </c:pt>
                <c:pt idx="156">
                  <c:v>5.3650574368014538E-3</c:v>
                </c:pt>
                <c:pt idx="157">
                  <c:v>5.0570541530899609E-3</c:v>
                </c:pt>
                <c:pt idx="158">
                  <c:v>4.7667345333238815E-3</c:v>
                </c:pt>
                <c:pt idx="159">
                  <c:v>4.4930831265478297E-3</c:v>
                </c:pt>
                <c:pt idx="160">
                  <c:v>4.2351428103541084E-3</c:v>
                </c:pt>
                <c:pt idx="161">
                  <c:v>3.9920114384016745E-3</c:v>
                </c:pt>
                <c:pt idx="162">
                  <c:v>3.7628386808479493E-3</c:v>
                </c:pt>
                <c:pt idx="163">
                  <c:v>3.5468230465674133E-3</c:v>
                </c:pt>
                <c:pt idx="164">
                  <c:v>3.3432090766754132E-3</c:v>
                </c:pt>
                <c:pt idx="165">
                  <c:v>3.151284699482487E-3</c:v>
                </c:pt>
                <c:pt idx="166">
                  <c:v>2.9703787375758833E-3</c:v>
                </c:pt>
                <c:pt idx="167">
                  <c:v>2.7998585582631424E-3</c:v>
                </c:pt>
                <c:pt idx="168">
                  <c:v>2.639127859119344E-3</c:v>
                </c:pt>
                <c:pt idx="169">
                  <c:v>2.4876245808569033E-3</c:v>
                </c:pt>
                <c:pt idx="170">
                  <c:v>2.3448189401863544E-3</c:v>
                </c:pt>
                <c:pt idx="171">
                  <c:v>2.2102115757599143E-3</c:v>
                </c:pt>
                <c:pt idx="172">
                  <c:v>2.083331800688482E-3</c:v>
                </c:pt>
                <c:pt idx="173">
                  <c:v>1.9637359554983535E-3</c:v>
                </c:pt>
                <c:pt idx="174">
                  <c:v>1.8510058557478369E-3</c:v>
                </c:pt>
                <c:pt idx="175">
                  <c:v>1.7447473288573162E-3</c:v>
                </c:pt>
                <c:pt idx="176">
                  <c:v>1.6445888350203513E-3</c:v>
                </c:pt>
                <c:pt idx="177">
                  <c:v>1.5501801673592846E-3</c:v>
                </c:pt>
                <c:pt idx="178">
                  <c:v>1.4611912267675717E-3</c:v>
                </c:pt>
                <c:pt idx="179">
                  <c:v>1.3773108671436545E-3</c:v>
                </c:pt>
                <c:pt idx="180">
                  <c:v>1.2982458069686598E-3</c:v>
                </c:pt>
                <c:pt idx="181">
                  <c:v>1.2237196034133131E-3</c:v>
                </c:pt>
                <c:pt idx="182">
                  <c:v>1.1534716853791381E-3</c:v>
                </c:pt>
                <c:pt idx="183">
                  <c:v>1.087256442085983E-3</c:v>
                </c:pt>
                <c:pt idx="184">
                  <c:v>1.0248423640129495E-3</c:v>
                </c:pt>
                <c:pt idx="185">
                  <c:v>9.6601123318355571E-4</c:v>
                </c:pt>
                <c:pt idx="186">
                  <c:v>9.1055735995915991E-4</c:v>
                </c:pt>
                <c:pt idx="187">
                  <c:v>8.5828686366781889E-4</c:v>
                </c:pt>
                <c:pt idx="188">
                  <c:v>8.0901699454955412E-4</c:v>
                </c:pt>
                <c:pt idx="189">
                  <c:v>7.6257549464388448E-4</c:v>
                </c:pt>
                <c:pt idx="190">
                  <c:v>7.1879999538204404E-4</c:v>
                </c:pt>
                <c:pt idx="191">
                  <c:v>6.7753744977499218E-4</c:v>
                </c:pt>
                <c:pt idx="192">
                  <c:v>6.3864359720958608E-4</c:v>
                </c:pt>
                <c:pt idx="193">
                  <c:v>6.0198245897957682E-4</c:v>
                </c:pt>
                <c:pt idx="194">
                  <c:v>5.6742586278579451E-4</c:v>
                </c:pt>
                <c:pt idx="195">
                  <c:v>5.3485299454138723E-4</c:v>
                </c:pt>
                <c:pt idx="196">
                  <c:v>5.0414997591364597E-4</c:v>
                </c:pt>
                <c:pt idx="197">
                  <c:v>4.7520946612409151E-4</c:v>
                </c:pt>
                <c:pt idx="198">
                  <c:v>4.4793028661347354E-4</c:v>
                </c:pt>
                <c:pt idx="199">
                  <c:v>4.2221706725840605E-4</c:v>
                </c:pt>
                <c:pt idx="200">
                  <c:v>3.979799129018301E-4</c:v>
                </c:pt>
                <c:pt idx="201">
                  <c:v>3.7513408903062587E-4</c:v>
                </c:pt>
                <c:pt idx="202">
                  <c:v>3.535997255007347E-4</c:v>
                </c:pt>
                <c:pt idx="203">
                  <c:v>3.3330153727332851E-4</c:v>
                </c:pt>
                <c:pt idx="204">
                  <c:v>3.1416856118511604E-4</c:v>
                </c:pt>
                <c:pt idx="205">
                  <c:v>2.9613390783199818E-4</c:v>
                </c:pt>
                <c:pt idx="206">
                  <c:v>2.7913452769818252E-4</c:v>
                </c:pt>
                <c:pt idx="207">
                  <c:v>2.6311099071272295E-4</c:v>
                </c:pt>
                <c:pt idx="208">
                  <c:v>2.4800727846244116E-4</c:v>
                </c:pt>
                <c:pt idx="209">
                  <c:v>2.337705883344762E-4</c:v>
                </c:pt>
                <c:pt idx="210">
                  <c:v>2.203511489034518E-4</c:v>
                </c:pt>
                <c:pt idx="211">
                  <c:v>2.0770204591759602E-4</c:v>
                </c:pt>
                <c:pt idx="212">
                  <c:v>1.9577905827523176E-4</c:v>
                </c:pt>
                <c:pt idx="213">
                  <c:v>1.8454050341800893E-4</c:v>
                </c:pt>
                <c:pt idx="214">
                  <c:v>1.7394709160019445E-4</c:v>
                </c:pt>
                <c:pt idx="215">
                  <c:v>1.6396178852438596E-4</c:v>
                </c:pt>
                <c:pt idx="216">
                  <c:v>1.5454968586328427E-4</c:v>
                </c:pt>
                <c:pt idx="217">
                  <c:v>1.4567787921474431E-4</c:v>
                </c:pt>
                <c:pt idx="218">
                  <c:v>1.3731535306332673E-4</c:v>
                </c:pt>
                <c:pt idx="219">
                  <c:v>1.2943287234607828E-4</c:v>
                </c:pt>
                <c:pt idx="220">
                  <c:v>1.2200288024337056E-4</c:v>
                </c:pt>
                <c:pt idx="221">
                  <c:v>1.149994018373979E-4</c:v>
                </c:pt>
                <c:pt idx="222">
                  <c:v>1.0839795330145856E-4</c:v>
                </c:pt>
                <c:pt idx="223">
                  <c:v>1.0217545630248659E-4</c:v>
                </c:pt>
                <c:pt idx="224">
                  <c:v>9.6310157317533909E-5</c:v>
                </c:pt>
                <c:pt idx="225">
                  <c:v>9.0781551582087564E-5</c:v>
                </c:pt>
                <c:pt idx="226">
                  <c:v>8.5570311404306254E-5</c:v>
                </c:pt>
                <c:pt idx="227">
                  <c:v>8.0658218594526553E-5</c:v>
                </c:pt>
                <c:pt idx="228">
                  <c:v>7.6028100773782803E-5</c:v>
                </c:pt>
                <c:pt idx="229">
                  <c:v>7.1663771338647368E-5</c:v>
                </c:pt>
                <c:pt idx="230">
                  <c:v>6.7549972872484829E-5</c:v>
                </c:pt>
                <c:pt idx="231">
                  <c:v>6.3672323805265298E-5</c:v>
                </c:pt>
                <c:pt idx="232">
                  <c:v>6.0017268135441379E-5</c:v>
                </c:pt>
                <c:pt idx="233">
                  <c:v>5.6572028038100202E-5</c:v>
                </c:pt>
                <c:pt idx="234">
                  <c:v>5.3324559193695167E-5</c:v>
                </c:pt>
                <c:pt idx="235">
                  <c:v>5.0263508681174531E-5</c:v>
                </c:pt>
                <c:pt idx="236">
                  <c:v>4.7378175288290318E-5</c:v>
                </c:pt>
                <c:pt idx="237">
                  <c:v>4.4658472100323825E-5</c:v>
                </c:pt>
                <c:pt idx="238">
                  <c:v>4.2094891236429506E-5</c:v>
                </c:pt>
                <c:pt idx="239">
                  <c:v>3.9678470610308754E-5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49DF-4991-9378-C4CCAEBFE91E}"/>
            </c:ext>
          </c:extLst>
        </c:ser>
        <c:ser>
          <c:idx val="8"/>
          <c:order val="2"/>
          <c:tx>
            <c:strRef>
              <c:f>'Coordenograma Manual'!$H$2</c:f>
              <c:strCache>
                <c:ptCount val="1"/>
                <c:pt idx="0">
                  <c:v>il</c:v>
                </c:pt>
              </c:strCache>
            </c:strRef>
          </c:tx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Manual'!$H$3:$H$242</c:f>
              <c:numCache>
                <c:formatCode>General</c:formatCode>
                <c:ptCount val="240"/>
                <c:pt idx="0">
                  <c:v>2879.9999999999973</c:v>
                </c:pt>
                <c:pt idx="1">
                  <c:v>1418.7192118226612</c:v>
                </c:pt>
                <c:pt idx="2">
                  <c:v>931.76744637484217</c:v>
                </c:pt>
                <c:pt idx="3">
                  <c:v>688.39789015607664</c:v>
                </c:pt>
                <c:pt idx="4">
                  <c:v>542.46116563365865</c:v>
                </c:pt>
                <c:pt idx="5">
                  <c:v>445.24080129651003</c:v>
                </c:pt>
                <c:pt idx="6">
                  <c:v>375.85829881230336</c:v>
                </c:pt>
                <c:pt idx="7">
                  <c:v>323.87439982244877</c:v>
                </c:pt>
                <c:pt idx="8">
                  <c:v>283.48950821213765</c:v>
                </c:pt>
                <c:pt idx="9">
                  <c:v>251.22385902285941</c:v>
                </c:pt>
                <c:pt idx="10">
                  <c:v>224.8630497803301</c:v>
                </c:pt>
                <c:pt idx="11">
                  <c:v>202.93080616213334</c:v>
                </c:pt>
                <c:pt idx="12">
                  <c:v>184.40508659134449</c:v>
                </c:pt>
                <c:pt idx="13">
                  <c:v>168.55585629310414</c:v>
                </c:pt>
                <c:pt idx="14">
                  <c:v>154.84775173138939</c:v>
                </c:pt>
                <c:pt idx="15">
                  <c:v>142.87924588460552</c:v>
                </c:pt>
                <c:pt idx="16">
                  <c:v>132.34328460279295</c:v>
                </c:pt>
                <c:pt idx="17">
                  <c:v>123.00104418133513</c:v>
                </c:pt>
                <c:pt idx="18">
                  <c:v>114.66397601872907</c:v>
                </c:pt>
                <c:pt idx="19">
                  <c:v>107.18123787895414</c:v>
                </c:pt>
                <c:pt idx="20">
                  <c:v>100.43071622353021</c:v>
                </c:pt>
                <c:pt idx="21">
                  <c:v>94.312497000139388</c:v>
                </c:pt>
                <c:pt idx="22">
                  <c:v>88.744039705336974</c:v>
                </c:pt>
                <c:pt idx="23">
                  <c:v>83.656557933033156</c:v>
                </c:pt>
                <c:pt idx="24">
                  <c:v>78.992268592687935</c:v>
                </c:pt>
                <c:pt idx="25">
                  <c:v>74.702275924562812</c:v>
                </c:pt>
                <c:pt idx="26">
                  <c:v>70.744925734973108</c:v>
                </c:pt>
                <c:pt idx="27">
                  <c:v>67.084512296500719</c:v>
                </c:pt>
                <c:pt idx="28">
                  <c:v>63.690252787101699</c:v>
                </c:pt>
                <c:pt idx="29">
                  <c:v>60.535466842327359</c:v>
                </c:pt>
                <c:pt idx="30">
                  <c:v>57.596914904755138</c:v>
                </c:pt>
                <c:pt idx="31">
                  <c:v>54.854260633701521</c:v>
                </c:pt>
                <c:pt idx="32">
                  <c:v>52.289631059361547</c:v>
                </c:pt>
                <c:pt idx="33">
                  <c:v>49.887254357485105</c:v>
                </c:pt>
                <c:pt idx="34">
                  <c:v>47.633159720446493</c:v>
                </c:pt>
                <c:pt idx="35">
                  <c:v>45.51492725037231</c:v>
                </c:pt>
                <c:pt idx="36">
                  <c:v>43.521478410660194</c:v>
                </c:pt>
                <c:pt idx="37">
                  <c:v>41.642899564571387</c:v>
                </c:pt>
                <c:pt idx="38">
                  <c:v>39.870292662157922</c:v>
                </c:pt>
                <c:pt idx="39">
                  <c:v>38.195648324533053</c:v>
                </c:pt>
                <c:pt idx="40">
                  <c:v>36.611737501516032</c:v>
                </c:pt>
                <c:pt idx="41">
                  <c:v>35.112018607057784</c:v>
                </c:pt>
                <c:pt idx="42">
                  <c:v>33.690557612777916</c:v>
                </c:pt>
                <c:pt idx="43">
                  <c:v>32.341959038065774</c:v>
                </c:pt>
                <c:pt idx="44">
                  <c:v>31.061306141695624</c:v>
                </c:pt>
                <c:pt idx="45">
                  <c:v>29.844108914697237</c:v>
                </c:pt>
                <c:pt idx="46">
                  <c:v>28.686258712565749</c:v>
                </c:pt>
                <c:pt idx="47">
                  <c:v>27.583988558547198</c:v>
                </c:pt>
                <c:pt idx="48">
                  <c:v>26.533838307820478</c:v>
                </c:pt>
                <c:pt idx="49">
                  <c:v>25.532623992025414</c:v>
                </c:pt>
                <c:pt idx="50">
                  <c:v>24.577410770339981</c:v>
                </c:pt>
                <c:pt idx="51">
                  <c:v>23.665489001586497</c:v>
                </c:pt>
                <c:pt idx="52">
                  <c:v>22.79435302513301</c:v>
                </c:pt>
                <c:pt idx="53">
                  <c:v>21.96168229942829</c:v>
                </c:pt>
                <c:pt idx="54">
                  <c:v>21.165324598087242</c:v>
                </c:pt>
                <c:pt idx="55">
                  <c:v>20.403281006312923</c:v>
                </c:pt>
                <c:pt idx="56">
                  <c:v>19.673692496542103</c:v>
                </c:pt>
                <c:pt idx="57">
                  <c:v>18.974827892700059</c:v>
                </c:pt>
                <c:pt idx="58">
                  <c:v>18.30507305829682</c:v>
                </c:pt>
                <c:pt idx="59">
                  <c:v>17.662921165566413</c:v>
                </c:pt>
                <c:pt idx="60">
                  <c:v>17.046963921579071</c:v>
                </c:pt>
                <c:pt idx="61">
                  <c:v>16.455883643265665</c:v>
                </c:pt>
                <c:pt idx="62">
                  <c:v>15.888446087016208</c:v>
                </c:pt>
                <c:pt idx="63">
                  <c:v>15.343493950307025</c:v>
                </c:pt>
                <c:pt idx="64">
                  <c:v>14.819940972971125</c:v>
                </c:pt>
                <c:pt idx="65">
                  <c:v>14.316766574500718</c:v>
                </c:pt>
                <c:pt idx="66">
                  <c:v>13.833010971366811</c:v>
                </c:pt>
                <c:pt idx="67">
                  <c:v>13.367770724931136</c:v>
                </c:pt>
                <c:pt idx="68">
                  <c:v>12.92019467625674</c:v>
                </c:pt>
                <c:pt idx="69">
                  <c:v>12.489480229117435</c:v>
                </c:pt>
                <c:pt idx="70">
                  <c:v>12.074869946867462</c:v>
                </c:pt>
                <c:pt idx="71">
                  <c:v>11.67564843264857</c:v>
                </c:pt>
                <c:pt idx="72">
                  <c:v>11.291139465757043</c:v>
                </c:pt>
                <c:pt idx="73">
                  <c:v>10.92070336993198</c:v>
                </c:pt>
                <c:pt idx="74">
                  <c:v>10.563734591911793</c:v>
                </c:pt>
                <c:pt idx="75">
                  <c:v>10.219659470885857</c:v>
                </c:pt>
                <c:pt idx="76">
                  <c:v>9.8879341814812545</c:v>
                </c:pt>
                <c:pt idx="77">
                  <c:v>9.5680428347056523</c:v>
                </c:pt>
                <c:pt idx="78">
                  <c:v>9.2594957228453101</c:v>
                </c:pt>
                <c:pt idx="79">
                  <c:v>8.9618276957177425</c:v>
                </c:pt>
                <c:pt idx="80">
                  <c:v>8.6745966569235105</c:v>
                </c:pt>
                <c:pt idx="81">
                  <c:v>8.397382169849724</c:v>
                </c:pt>
                <c:pt idx="82">
                  <c:v>8.1297841641660966</c:v>
                </c:pt>
                <c:pt idx="83">
                  <c:v>7.8714217344364421</c:v>
                </c:pt>
                <c:pt idx="84">
                  <c:v>7.6219320232573784</c:v>
                </c:pt>
                <c:pt idx="85">
                  <c:v>7.3809691820421959</c:v>
                </c:pt>
                <c:pt idx="86">
                  <c:v>7.148203403201026</c:v>
                </c:pt>
                <c:pt idx="87">
                  <c:v>6.923320018036871</c:v>
                </c:pt>
                <c:pt idx="88">
                  <c:v>6.7060186551879042</c:v>
                </c:pt>
                <c:pt idx="89">
                  <c:v>6.49601245490636</c:v>
                </c:pt>
                <c:pt idx="90">
                  <c:v>6.2930273348786008</c:v>
                </c:pt>
                <c:pt idx="91">
                  <c:v>6.0968013036647388</c:v>
                </c:pt>
                <c:pt idx="92">
                  <c:v>5.9070838181738639</c:v>
                </c:pt>
                <c:pt idx="93">
                  <c:v>5.7236351818961086</c:v>
                </c:pt>
                <c:pt idx="94">
                  <c:v>5.5462259808892345</c:v>
                </c:pt>
                <c:pt idx="95">
                  <c:v>5.3746365547677684</c:v>
                </c:pt>
                <c:pt idx="96">
                  <c:v>5.2086565001699476</c:v>
                </c:pt>
                <c:pt idx="97">
                  <c:v>5.0480842043840601</c:v>
                </c:pt>
                <c:pt idx="98">
                  <c:v>4.8927264070032797</c:v>
                </c:pt>
                <c:pt idx="99">
                  <c:v>4.7423977876487671</c:v>
                </c:pt>
                <c:pt idx="100">
                  <c:v>4.5969205779562943</c:v>
                </c:pt>
                <c:pt idx="101">
                  <c:v>4.4561241961633131</c:v>
                </c:pt>
                <c:pt idx="102">
                  <c:v>4.3198449027627666</c:v>
                </c:pt>
                <c:pt idx="103">
                  <c:v>4.187925475808032</c:v>
                </c:pt>
                <c:pt idx="104">
                  <c:v>4.0602149045614429</c:v>
                </c:pt>
                <c:pt idx="105">
                  <c:v>3.9365681002775719</c:v>
                </c:pt>
                <c:pt idx="106">
                  <c:v>3.8168456230030374</c:v>
                </c:pt>
                <c:pt idx="107">
                  <c:v>3.7009134233575005</c:v>
                </c:pt>
                <c:pt idx="108">
                  <c:v>3.5886425983366323</c:v>
                </c:pt>
                <c:pt idx="109">
                  <c:v>3.4799091602476722</c:v>
                </c:pt>
                <c:pt idx="110">
                  <c:v>3.3745938179524297</c:v>
                </c:pt>
                <c:pt idx="111">
                  <c:v>3.2725817696515596</c:v>
                </c:pt>
                <c:pt idx="112">
                  <c:v>3.1737625064982877</c:v>
                </c:pt>
                <c:pt idx="113">
                  <c:v>3.0780296263797782</c:v>
                </c:pt>
                <c:pt idx="114">
                  <c:v>2.9852806572504336</c:v>
                </c:pt>
                <c:pt idx="115">
                  <c:v>2.8954168894439438</c:v>
                </c:pt>
                <c:pt idx="116">
                  <c:v>2.8083432164301341</c:v>
                </c:pt>
                <c:pt idx="117">
                  <c:v>2.7239679835189108</c:v>
                </c:pt>
                <c:pt idx="118">
                  <c:v>2.6422028440470999</c:v>
                </c:pt>
                <c:pt idx="119">
                  <c:v>2.56296262261495</c:v>
                </c:pt>
                <c:pt idx="120">
                  <c:v>2.4861651849677506</c:v>
                </c:pt>
                <c:pt idx="121">
                  <c:v>2.4117313141445518</c:v>
                </c:pt>
                <c:pt idx="122">
                  <c:v>2.3395845925405845</c:v>
                </c:pt>
                <c:pt idx="123">
                  <c:v>2.2696512895527929</c:v>
                </c:pt>
                <c:pt idx="124">
                  <c:v>2.2018602544990578</c:v>
                </c:pt>
                <c:pt idx="125">
                  <c:v>2.1361428145213246</c:v>
                </c:pt>
                <c:pt idx="126">
                  <c:v>2.0724326772011303</c:v>
                </c:pt>
                <c:pt idx="127">
                  <c:v>2.0106658376329603</c:v>
                </c:pt>
                <c:pt idx="128">
                  <c:v>1.9507804897166701</c:v>
                </c:pt>
                <c:pt idx="129">
                  <c:v>1.8927169414448775</c:v>
                </c:pt>
                <c:pt idx="130">
                  <c:v>1.836417533974894</c:v>
                </c:pt>
                <c:pt idx="131">
                  <c:v>1.7818265642875319</c:v>
                </c:pt>
                <c:pt idx="132">
                  <c:v>1.7288902112469509</c:v>
                </c:pt>
                <c:pt idx="133">
                  <c:v>1.6775564648868195</c:v>
                </c:pt>
                <c:pt idx="134">
                  <c:v>1.6277750587583733</c:v>
                </c:pt>
                <c:pt idx="135">
                  <c:v>1.5794974051856057</c:v>
                </c:pt>
                <c:pt idx="136">
                  <c:v>1.5326765332818355</c:v>
                </c:pt>
                <c:pt idx="137">
                  <c:v>1.4872670295903143</c:v>
                </c:pt>
                <c:pt idx="138">
                  <c:v>1.4432249812194098</c:v>
                </c:pt>
                <c:pt idx="139">
                  <c:v>1.40050792135026</c:v>
                </c:pt>
                <c:pt idx="140">
                  <c:v>1.3590747770017026</c:v>
                </c:pt>
                <c:pt idx="141">
                  <c:v>1.3188858189437134</c:v>
                </c:pt>
                <c:pt idx="142">
                  <c:v>1.2799026136566594</c:v>
                </c:pt>
                <c:pt idx="143">
                  <c:v>1.2420879772393199</c:v>
                </c:pt>
                <c:pt idx="144">
                  <c:v>1.2054059311739607</c:v>
                </c:pt>
                <c:pt idx="145">
                  <c:v>1.1698216598617153</c:v>
                </c:pt>
                <c:pt idx="146">
                  <c:v>1.1353014698462249</c:v>
                </c:pt>
                <c:pt idx="147">
                  <c:v>1.1018127506478632</c:v>
                </c:pt>
                <c:pt idx="148">
                  <c:v>1.0693239371350249</c:v>
                </c:pt>
                <c:pt idx="149">
                  <c:v>1.0378044733628098</c:v>
                </c:pt>
                <c:pt idx="150">
                  <c:v>1.0072247778131056</c:v>
                </c:pt>
                <c:pt idx="151">
                  <c:v>0.97755620997348736</c:v>
                </c:pt>
                <c:pt idx="152">
                  <c:v>0.94877103819559494</c:v>
                </c:pt>
                <c:pt idx="153">
                  <c:v>0.92084240877667334</c:v>
                </c:pt>
                <c:pt idx="154">
                  <c:v>0.89374431621084449</c:v>
                </c:pt>
                <c:pt idx="155">
                  <c:v>0.86745157455935862</c:v>
                </c:pt>
                <c:pt idx="156">
                  <c:v>0.84193978989162865</c:v>
                </c:pt>
                <c:pt idx="157">
                  <c:v>0.81718533375124369</c:v>
                </c:pt>
                <c:pt idx="158">
                  <c:v>0.79316531760342379</c:v>
                </c:pt>
                <c:pt idx="159">
                  <c:v>0.76985756822250939</c:v>
                </c:pt>
                <c:pt idx="160">
                  <c:v>0.7472406039801005</c:v>
                </c:pt>
                <c:pt idx="161">
                  <c:v>0.72529361199635856</c:v>
                </c:pt>
                <c:pt idx="162">
                  <c:v>0.70399642611879054</c:v>
                </c:pt>
                <c:pt idx="163">
                  <c:v>0.68332950569452755</c:v>
                </c:pt>
                <c:pt idx="164">
                  <c:v>0.66327391510372535</c:v>
                </c:pt>
                <c:pt idx="165">
                  <c:v>0.64381130402323417</c:v>
                </c:pt>
                <c:pt idx="166">
                  <c:v>0.62492388839111845</c:v>
                </c:pt>
                <c:pt idx="167">
                  <c:v>0.60659443204398322</c:v>
                </c:pt>
                <c:pt idx="168">
                  <c:v>0.58880622900033963</c:v>
                </c:pt>
                <c:pt idx="169">
                  <c:v>0.57154308636447693</c:v>
                </c:pt>
                <c:pt idx="170">
                  <c:v>0.55478930782646185</c:v>
                </c:pt>
                <c:pt idx="171">
                  <c:v>0.5385296777349835</c:v>
                </c:pt>
                <c:pt idx="172">
                  <c:v>0.5227494457208105</c:v>
                </c:pt>
                <c:pt idx="173">
                  <c:v>0.5074343118496073</c:v>
                </c:pt>
                <c:pt idx="174">
                  <c:v>0.49257041228380333</c:v>
                </c:pt>
                <c:pt idx="175">
                  <c:v>0.47814430543409342</c:v>
                </c:pt>
                <c:pt idx="176">
                  <c:v>0.46414295858199695</c:v>
                </c:pt>
                <c:pt idx="177">
                  <c:v>0.45055373495570678</c:v>
                </c:pt>
                <c:pt idx="178">
                  <c:v>0.43736438124222299</c:v>
                </c:pt>
                <c:pt idx="179">
                  <c:v>0.42456301551949199</c:v>
                </c:pt>
                <c:pt idx="180">
                  <c:v>0.41213811559296465</c:v>
                </c:pt>
                <c:pt idx="181">
                  <c:v>0.40007850772164116</c:v>
                </c:pt>
                <c:pt idx="182">
                  <c:v>0.38837335571930004</c:v>
                </c:pt>
                <c:pt idx="183">
                  <c:v>0.3770121504171991</c:v>
                </c:pt>
                <c:pt idx="184">
                  <c:v>0.36598469947510948</c:v>
                </c:pt>
                <c:pt idx="185">
                  <c:v>0.3552811175280769</c:v>
                </c:pt>
                <c:pt idx="186">
                  <c:v>0.34489181665682761</c:v>
                </c:pt>
                <c:pt idx="187">
                  <c:v>0.33480749717021779</c:v>
                </c:pt>
                <c:pt idx="188">
                  <c:v>0.32501913868860249</c:v>
                </c:pt>
                <c:pt idx="189">
                  <c:v>0.31551799151743914</c:v>
                </c:pt>
                <c:pt idx="190">
                  <c:v>0.30629556830087096</c:v>
                </c:pt>
                <c:pt idx="191">
                  <c:v>0.29734363594544083</c:v>
                </c:pt>
                <c:pt idx="192">
                  <c:v>0.28865420780447343</c:v>
                </c:pt>
                <c:pt idx="193">
                  <c:v>0.28021953611403555</c:v>
                </c:pt>
                <c:pt idx="194">
                  <c:v>0.27203210467173788</c:v>
                </c:pt>
                <c:pt idx="195">
                  <c:v>0.26408462174997938</c:v>
                </c:pt>
                <c:pt idx="196">
                  <c:v>0.25637001323556075</c:v>
                </c:pt>
                <c:pt idx="197">
                  <c:v>0.24888141598789917</c:v>
                </c:pt>
                <c:pt idx="198">
                  <c:v>0.24161217140837696</c:v>
                </c:pt>
                <c:pt idx="199">
                  <c:v>0.23455581921363569</c:v>
                </c:pt>
                <c:pt idx="200">
                  <c:v>0.22770609140589979</c:v>
                </c:pt>
                <c:pt idx="201">
                  <c:v>0.22105690643367354</c:v>
                </c:pt>
                <c:pt idx="202">
                  <c:v>0.21460236353640205</c:v>
                </c:pt>
                <c:pt idx="203">
                  <c:v>0.20833673726692589</c:v>
                </c:pt>
                <c:pt idx="204">
                  <c:v>0.20225447218578538</c:v>
                </c:pt>
                <c:pt idx="205">
                  <c:v>0.19635017772165023</c:v>
                </c:pt>
                <c:pt idx="206">
                  <c:v>0.19061862319235834</c:v>
                </c:pt>
                <c:pt idx="207">
                  <c:v>0.18505473298124858</c:v>
                </c:pt>
                <c:pt idx="208">
                  <c:v>0.17965358186366473</c:v>
                </c:pt>
                <c:pt idx="209">
                  <c:v>0.17441039047869156</c:v>
                </c:pt>
                <c:pt idx="210">
                  <c:v>0.16932052094136266</c:v>
                </c:pt>
                <c:pt idx="211">
                  <c:v>0.16437947259074748</c:v>
                </c:pt>
                <c:pt idx="212">
                  <c:v>0.15958287786948966</c:v>
                </c:pt>
                <c:pt idx="213">
                  <c:v>0.15492649833052469</c:v>
                </c:pt>
                <c:pt idx="214">
                  <c:v>0.15040622076685564</c:v>
                </c:pt>
                <c:pt idx="215">
                  <c:v>0.14601805346040972</c:v>
                </c:pt>
                <c:pt idx="216">
                  <c:v>0.14175812254613793</c:v>
                </c:pt>
                <c:pt idx="217">
                  <c:v>0.13762266848765259</c:v>
                </c:pt>
                <c:pt idx="218">
                  <c:v>0.13360804266082696</c:v>
                </c:pt>
                <c:pt idx="219">
                  <c:v>0.12971070404190346</c:v>
                </c:pt>
                <c:pt idx="220">
                  <c:v>0.12592721599677623</c:v>
                </c:pt>
                <c:pt idx="221">
                  <c:v>0.12225424316822732</c:v>
                </c:pt>
                <c:pt idx="222">
                  <c:v>0.1186885484580064</c:v>
                </c:pt>
                <c:pt idx="223">
                  <c:v>0.11522699010074845</c:v>
                </c:pt>
                <c:pt idx="224">
                  <c:v>0.11186651882682648</c:v>
                </c:pt>
                <c:pt idx="225">
                  <c:v>0.10860417511133376</c:v>
                </c:pt>
                <c:pt idx="226">
                  <c:v>0.10543708650648433</c:v>
                </c:pt>
                <c:pt idx="227">
                  <c:v>0.10236246505481117</c:v>
                </c:pt>
                <c:pt idx="228">
                  <c:v>9.9377604780629569E-2</c:v>
                </c:pt>
                <c:pt idx="229">
                  <c:v>9.6479879257316298E-2</c:v>
                </c:pt>
                <c:pt idx="230">
                  <c:v>9.3666739248037298E-2</c:v>
                </c:pt>
                <c:pt idx="231">
                  <c:v>9.0935710417634624E-2</c:v>
                </c:pt>
                <c:pt idx="232">
                  <c:v>8.8284391113458413E-2</c:v>
                </c:pt>
                <c:pt idx="233">
                  <c:v>8.5710450213002665E-2</c:v>
                </c:pt>
                <c:pt idx="234">
                  <c:v>8.3211625036273898E-2</c:v>
                </c:pt>
                <c:pt idx="235">
                  <c:v>8.0785719320888766E-2</c:v>
                </c:pt>
                <c:pt idx="236">
                  <c:v>7.8430601257962571E-2</c:v>
                </c:pt>
                <c:pt idx="237">
                  <c:v>7.6144201586913235E-2</c:v>
                </c:pt>
                <c:pt idx="238">
                  <c:v>7.3924511747365626E-2</c:v>
                </c:pt>
                <c:pt idx="239">
                  <c:v>7.1769582086400663E-2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9DF-4991-9378-C4CCAEBFE91E}"/>
            </c:ext>
          </c:extLst>
        </c:ser>
        <c:ser>
          <c:idx val="9"/>
          <c:order val="3"/>
          <c:tx>
            <c:strRef>
              <c:f>'Coordenograma Manual'!$I$2</c:f>
              <c:strCache>
                <c:ptCount val="1"/>
                <c:pt idx="0">
                  <c:v>mi</c:v>
                </c:pt>
              </c:strCache>
            </c:strRef>
          </c:tx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Manual'!$I$3:$I$242</c:f>
              <c:numCache>
                <c:formatCode>General</c:formatCode>
                <c:ptCount val="240"/>
                <c:pt idx="0">
                  <c:v>323.99999999999972</c:v>
                </c:pt>
                <c:pt idx="1">
                  <c:v>159.60591133004939</c:v>
                </c:pt>
                <c:pt idx="2">
                  <c:v>104.82383771716975</c:v>
                </c:pt>
                <c:pt idx="3">
                  <c:v>77.444762642558629</c:v>
                </c:pt>
                <c:pt idx="4">
                  <c:v>61.026881133786596</c:v>
                </c:pt>
                <c:pt idx="5">
                  <c:v>50.089590145857386</c:v>
                </c:pt>
                <c:pt idx="6">
                  <c:v>42.284058616384129</c:v>
                </c:pt>
                <c:pt idx="7">
                  <c:v>36.435869980025487</c:v>
                </c:pt>
                <c:pt idx="8">
                  <c:v>31.892569673865484</c:v>
                </c:pt>
                <c:pt idx="9">
                  <c:v>28.262684140071684</c:v>
                </c:pt>
                <c:pt idx="10">
                  <c:v>25.297093100287132</c:v>
                </c:pt>
                <c:pt idx="11">
                  <c:v>22.829715693240001</c:v>
                </c:pt>
                <c:pt idx="12">
                  <c:v>20.745572241526254</c:v>
                </c:pt>
                <c:pt idx="13">
                  <c:v>18.962533832974216</c:v>
                </c:pt>
                <c:pt idx="14">
                  <c:v>17.420372069781308</c:v>
                </c:pt>
                <c:pt idx="15">
                  <c:v>16.073915162018121</c:v>
                </c:pt>
                <c:pt idx="16">
                  <c:v>14.888619517814208</c:v>
                </c:pt>
                <c:pt idx="17">
                  <c:v>13.837617470400204</c:v>
                </c:pt>
                <c:pt idx="18">
                  <c:v>12.89969730210702</c:v>
                </c:pt>
                <c:pt idx="19">
                  <c:v>12.057889261382341</c:v>
                </c:pt>
                <c:pt idx="20">
                  <c:v>11.298455575147148</c:v>
                </c:pt>
                <c:pt idx="21">
                  <c:v>10.610155912515681</c:v>
                </c:pt>
                <c:pt idx="22">
                  <c:v>9.9837044668504102</c:v>
                </c:pt>
                <c:pt idx="23">
                  <c:v>9.4113627674662297</c:v>
                </c:pt>
                <c:pt idx="24">
                  <c:v>8.8866302166773927</c:v>
                </c:pt>
                <c:pt idx="25">
                  <c:v>8.4040060415133162</c:v>
                </c:pt>
                <c:pt idx="26">
                  <c:v>7.958804145184474</c:v>
                </c:pt>
                <c:pt idx="27">
                  <c:v>7.5470076333563298</c:v>
                </c:pt>
                <c:pt idx="28">
                  <c:v>7.1651534385489413</c:v>
                </c:pt>
                <c:pt idx="29">
                  <c:v>6.8102400197618271</c:v>
                </c:pt>
                <c:pt idx="30">
                  <c:v>6.4796529267849525</c:v>
                </c:pt>
                <c:pt idx="31">
                  <c:v>6.1711043212914216</c:v>
                </c:pt>
                <c:pt idx="32">
                  <c:v>5.8825834941781734</c:v>
                </c:pt>
                <c:pt idx="33">
                  <c:v>5.6123161152170749</c:v>
                </c:pt>
                <c:pt idx="34">
                  <c:v>5.3587304685502311</c:v>
                </c:pt>
                <c:pt idx="35">
                  <c:v>5.1204293156668843</c:v>
                </c:pt>
                <c:pt idx="36">
                  <c:v>4.8961663211992716</c:v>
                </c:pt>
                <c:pt idx="37">
                  <c:v>4.6848262010142809</c:v>
                </c:pt>
                <c:pt idx="38">
                  <c:v>4.4854079244927663</c:v>
                </c:pt>
                <c:pt idx="39">
                  <c:v>4.2970104365099679</c:v>
                </c:pt>
                <c:pt idx="40">
                  <c:v>4.1188204689205534</c:v>
                </c:pt>
                <c:pt idx="41">
                  <c:v>3.9501020932940007</c:v>
                </c:pt>
                <c:pt idx="42">
                  <c:v>3.790187731437515</c:v>
                </c:pt>
                <c:pt idx="43">
                  <c:v>3.6384703917823997</c:v>
                </c:pt>
                <c:pt idx="44">
                  <c:v>3.4943969409407578</c:v>
                </c:pt>
                <c:pt idx="45">
                  <c:v>3.357462252903439</c:v>
                </c:pt>
                <c:pt idx="46">
                  <c:v>3.2272041051636471</c:v>
                </c:pt>
                <c:pt idx="47">
                  <c:v>3.1031987128365599</c:v>
                </c:pt>
                <c:pt idx="48">
                  <c:v>2.9850568096298038</c:v>
                </c:pt>
                <c:pt idx="49">
                  <c:v>2.8724201991028591</c:v>
                </c:pt>
                <c:pt idx="50">
                  <c:v>2.7649587116632484</c:v>
                </c:pt>
                <c:pt idx="51">
                  <c:v>2.6623675126784812</c:v>
                </c:pt>
                <c:pt idx="52">
                  <c:v>2.5643647153274634</c:v>
                </c:pt>
                <c:pt idx="53">
                  <c:v>2.4706892586856823</c:v>
                </c:pt>
                <c:pt idx="54">
                  <c:v>2.3810990172848148</c:v>
                </c:pt>
                <c:pt idx="55">
                  <c:v>2.2953691132102039</c:v>
                </c:pt>
                <c:pt idx="56">
                  <c:v>2.2132904058609864</c:v>
                </c:pt>
                <c:pt idx="57">
                  <c:v>2.1346681379287569</c:v>
                </c:pt>
                <c:pt idx="58">
                  <c:v>2.0593207190583924</c:v>
                </c:pt>
                <c:pt idx="59">
                  <c:v>1.9870786311262214</c:v>
                </c:pt>
                <c:pt idx="60">
                  <c:v>1.9177834411776455</c:v>
                </c:pt>
                <c:pt idx="61">
                  <c:v>1.8512869098673872</c:v>
                </c:pt>
                <c:pt idx="62">
                  <c:v>1.7874501847893234</c:v>
                </c:pt>
                <c:pt idx="63">
                  <c:v>1.7261430694095405</c:v>
                </c:pt>
                <c:pt idx="64">
                  <c:v>1.6672433594592515</c:v>
                </c:pt>
                <c:pt idx="65">
                  <c:v>1.6106362396313307</c:v>
                </c:pt>
                <c:pt idx="66">
                  <c:v>1.5562137342787661</c:v>
                </c:pt>
                <c:pt idx="67">
                  <c:v>1.5038742065547528</c:v>
                </c:pt>
                <c:pt idx="68">
                  <c:v>1.4535219010788833</c:v>
                </c:pt>
                <c:pt idx="69">
                  <c:v>1.4050665257757113</c:v>
                </c:pt>
                <c:pt idx="70">
                  <c:v>1.3584228690225897</c:v>
                </c:pt>
                <c:pt idx="71">
                  <c:v>1.3135104486729641</c:v>
                </c:pt>
                <c:pt idx="72">
                  <c:v>1.2702531898976674</c:v>
                </c:pt>
                <c:pt idx="73">
                  <c:v>1.2285791291173478</c:v>
                </c:pt>
                <c:pt idx="74">
                  <c:v>1.1884201415900768</c:v>
                </c:pt>
                <c:pt idx="75">
                  <c:v>1.1497116904746589</c:v>
                </c:pt>
                <c:pt idx="76">
                  <c:v>1.1123925954166414</c:v>
                </c:pt>
                <c:pt idx="77">
                  <c:v>1.076404818904386</c:v>
                </c:pt>
                <c:pt idx="78">
                  <c:v>1.0416932688200973</c:v>
                </c:pt>
                <c:pt idx="79">
                  <c:v>1.008205615768246</c:v>
                </c:pt>
                <c:pt idx="80">
                  <c:v>0.9758921239038949</c:v>
                </c:pt>
                <c:pt idx="81">
                  <c:v>0.94470549410809379</c:v>
                </c:pt>
                <c:pt idx="82">
                  <c:v>0.91460071846868585</c:v>
                </c:pt>
                <c:pt idx="83">
                  <c:v>0.8855349451240998</c:v>
                </c:pt>
                <c:pt idx="84">
                  <c:v>0.85746735261645513</c:v>
                </c:pt>
                <c:pt idx="85">
                  <c:v>0.830359032979747</c:v>
                </c:pt>
                <c:pt idx="86">
                  <c:v>0.80417288286011546</c:v>
                </c:pt>
                <c:pt idx="87">
                  <c:v>0.77887350202914796</c:v>
                </c:pt>
                <c:pt idx="88">
                  <c:v>0.75442709870863922</c:v>
                </c:pt>
                <c:pt idx="89">
                  <c:v>0.73080140117696557</c:v>
                </c:pt>
                <c:pt idx="90">
                  <c:v>0.70796557517384251</c:v>
                </c:pt>
                <c:pt idx="91">
                  <c:v>0.6858901466622831</c:v>
                </c:pt>
                <c:pt idx="92">
                  <c:v>0.66454692954455963</c:v>
                </c:pt>
                <c:pt idx="93">
                  <c:v>0.64390895796331216</c:v>
                </c:pt>
                <c:pt idx="94">
                  <c:v>0.62395042285003888</c:v>
                </c:pt>
                <c:pt idx="95">
                  <c:v>0.60464661241137396</c:v>
                </c:pt>
                <c:pt idx="96">
                  <c:v>0.58597385626911902</c:v>
                </c:pt>
                <c:pt idx="97">
                  <c:v>0.56790947299320682</c:v>
                </c:pt>
                <c:pt idx="98">
                  <c:v>0.55043172078786895</c:v>
                </c:pt>
                <c:pt idx="99">
                  <c:v>0.53351975111048622</c:v>
                </c:pt>
                <c:pt idx="100">
                  <c:v>0.51715356502008314</c:v>
                </c:pt>
                <c:pt idx="101">
                  <c:v>0.5013139720683728</c:v>
                </c:pt>
                <c:pt idx="102">
                  <c:v>0.48598255156081122</c:v>
                </c:pt>
                <c:pt idx="103">
                  <c:v>0.4711416160284036</c:v>
                </c:pt>
                <c:pt idx="104">
                  <c:v>0.45677417676316234</c:v>
                </c:pt>
                <c:pt idx="105">
                  <c:v>0.44286391128122687</c:v>
                </c:pt>
                <c:pt idx="106">
                  <c:v>0.42939513258784168</c:v>
                </c:pt>
                <c:pt idx="107">
                  <c:v>0.41635276012771888</c:v>
                </c:pt>
                <c:pt idx="108">
                  <c:v>0.4037222923128711</c:v>
                </c:pt>
                <c:pt idx="109">
                  <c:v>0.3914897805278631</c:v>
                </c:pt>
                <c:pt idx="110">
                  <c:v>0.3796418045196483</c:v>
                </c:pt>
                <c:pt idx="111">
                  <c:v>0.36816544908580046</c:v>
                </c:pt>
                <c:pt idx="112">
                  <c:v>0.35704828198105737</c:v>
                </c:pt>
                <c:pt idx="113">
                  <c:v>0.34627833296772503</c:v>
                </c:pt>
                <c:pt idx="114">
                  <c:v>0.33584407394067373</c:v>
                </c:pt>
                <c:pt idx="115">
                  <c:v>0.32573440006244364</c:v>
                </c:pt>
                <c:pt idx="116">
                  <c:v>0.31593861184839012</c:v>
                </c:pt>
                <c:pt idx="117">
                  <c:v>0.30644639814587743</c:v>
                </c:pt>
                <c:pt idx="118">
                  <c:v>0.29724781995529875</c:v>
                </c:pt>
                <c:pt idx="119">
                  <c:v>0.28833329504418181</c:v>
                </c:pt>
                <c:pt idx="120">
                  <c:v>0.27969358330887195</c:v>
                </c:pt>
                <c:pt idx="121">
                  <c:v>0.27131977284126207</c:v>
                </c:pt>
                <c:pt idx="122">
                  <c:v>0.26320326666081578</c:v>
                </c:pt>
                <c:pt idx="123">
                  <c:v>0.25533577007468922</c:v>
                </c:pt>
                <c:pt idx="124">
                  <c:v>0.247709278631144</c:v>
                </c:pt>
                <c:pt idx="125">
                  <c:v>0.24031606663364904</c:v>
                </c:pt>
                <c:pt idx="126">
                  <c:v>0.23314867618512719</c:v>
                </c:pt>
                <c:pt idx="127">
                  <c:v>0.22619990673370802</c:v>
                </c:pt>
                <c:pt idx="128">
                  <c:v>0.21946280509312541</c:v>
                </c:pt>
                <c:pt idx="129">
                  <c:v>0.2129306559125487</c:v>
                </c:pt>
                <c:pt idx="130">
                  <c:v>0.20659697257217557</c:v>
                </c:pt>
                <c:pt idx="131">
                  <c:v>0.20045548848234734</c:v>
                </c:pt>
                <c:pt idx="132">
                  <c:v>0.19450014876528199</c:v>
                </c:pt>
                <c:pt idx="133">
                  <c:v>0.18872510229976722</c:v>
                </c:pt>
                <c:pt idx="134">
                  <c:v>0.18312469411031701</c:v>
                </c:pt>
                <c:pt idx="135">
                  <c:v>0.17769345808338061</c:v>
                </c:pt>
                <c:pt idx="136">
                  <c:v>0.17242610999420649</c:v>
                </c:pt>
                <c:pt idx="137">
                  <c:v>0.16731754082891037</c:v>
                </c:pt>
                <c:pt idx="138">
                  <c:v>0.16236281038718356</c:v>
                </c:pt>
                <c:pt idx="139">
                  <c:v>0.15755714115190425</c:v>
                </c:pt>
                <c:pt idx="140">
                  <c:v>0.15289591241269154</c:v>
                </c:pt>
                <c:pt idx="141">
                  <c:v>0.14837465463116775</c:v>
                </c:pt>
                <c:pt idx="142">
                  <c:v>0.14398904403637416</c:v>
                </c:pt>
                <c:pt idx="143">
                  <c:v>0.13973489743942349</c:v>
                </c:pt>
                <c:pt idx="144">
                  <c:v>0.13560816725707056</c:v>
                </c:pt>
                <c:pt idx="145">
                  <c:v>0.13160493673444298</c:v>
                </c:pt>
                <c:pt idx="146">
                  <c:v>0.12772141535770032</c:v>
                </c:pt>
                <c:pt idx="147">
                  <c:v>0.12395393444788462</c:v>
                </c:pt>
                <c:pt idx="148">
                  <c:v>0.12029894292769031</c:v>
                </c:pt>
                <c:pt idx="149">
                  <c:v>0.1167530032533161</c:v>
                </c:pt>
                <c:pt idx="150">
                  <c:v>0.11331278750397437</c:v>
                </c:pt>
                <c:pt idx="151">
                  <c:v>0.10997507362201735</c:v>
                </c:pt>
                <c:pt idx="152">
                  <c:v>0.10673674179700443</c:v>
                </c:pt>
                <c:pt idx="153">
                  <c:v>0.10359477098737575</c:v>
                </c:pt>
                <c:pt idx="154">
                  <c:v>0.10054623557372001</c:v>
                </c:pt>
                <c:pt idx="155">
                  <c:v>9.7588302137927838E-2</c:v>
                </c:pt>
                <c:pt idx="156">
                  <c:v>9.471822636280823E-2</c:v>
                </c:pt>
                <c:pt idx="157">
                  <c:v>9.1933350047014931E-2</c:v>
                </c:pt>
                <c:pt idx="158">
                  <c:v>8.9231098230385178E-2</c:v>
                </c:pt>
                <c:pt idx="159">
                  <c:v>8.6608976425032319E-2</c:v>
                </c:pt>
                <c:pt idx="160">
                  <c:v>8.4064567947761293E-2</c:v>
                </c:pt>
                <c:pt idx="161">
                  <c:v>8.1595531349590342E-2</c:v>
                </c:pt>
                <c:pt idx="162">
                  <c:v>7.9199597938363939E-2</c:v>
                </c:pt>
                <c:pt idx="163">
                  <c:v>7.6874569390634348E-2</c:v>
                </c:pt>
                <c:pt idx="164">
                  <c:v>7.4618315449169095E-2</c:v>
                </c:pt>
                <c:pt idx="165">
                  <c:v>7.2428771702613845E-2</c:v>
                </c:pt>
                <c:pt idx="166">
                  <c:v>7.0303937444000833E-2</c:v>
                </c:pt>
                <c:pt idx="167">
                  <c:v>6.8241873604948114E-2</c:v>
                </c:pt>
                <c:pt idx="168">
                  <c:v>6.6240700762538199E-2</c:v>
                </c:pt>
                <c:pt idx="169">
                  <c:v>6.4298597216003658E-2</c:v>
                </c:pt>
                <c:pt idx="170">
                  <c:v>6.2413797130476949E-2</c:v>
                </c:pt>
                <c:pt idx="171">
                  <c:v>6.0584588745185644E-2</c:v>
                </c:pt>
                <c:pt idx="172">
                  <c:v>5.8809312643591183E-2</c:v>
                </c:pt>
                <c:pt idx="173">
                  <c:v>5.7086360083080823E-2</c:v>
                </c:pt>
                <c:pt idx="174">
                  <c:v>5.5414171381927876E-2</c:v>
                </c:pt>
                <c:pt idx="175">
                  <c:v>5.3791234361335517E-2</c:v>
                </c:pt>
                <c:pt idx="176">
                  <c:v>5.2216082840474659E-2</c:v>
                </c:pt>
                <c:pt idx="177">
                  <c:v>5.0687295182517016E-2</c:v>
                </c:pt>
                <c:pt idx="178">
                  <c:v>4.9203492889750088E-2</c:v>
                </c:pt>
                <c:pt idx="179">
                  <c:v>4.7763339245942851E-2</c:v>
                </c:pt>
                <c:pt idx="180">
                  <c:v>4.636553800420852E-2</c:v>
                </c:pt>
                <c:pt idx="181">
                  <c:v>4.5008832118684637E-2</c:v>
                </c:pt>
                <c:pt idx="182">
                  <c:v>4.3692002518421251E-2</c:v>
                </c:pt>
                <c:pt idx="183">
                  <c:v>4.2413866921934898E-2</c:v>
                </c:pt>
                <c:pt idx="184">
                  <c:v>4.1173278690949812E-2</c:v>
                </c:pt>
                <c:pt idx="185">
                  <c:v>3.9969125721908652E-2</c:v>
                </c:pt>
                <c:pt idx="186">
                  <c:v>3.8800329373893105E-2</c:v>
                </c:pt>
                <c:pt idx="187">
                  <c:v>3.7665843431649505E-2</c:v>
                </c:pt>
                <c:pt idx="188">
                  <c:v>3.656465310246778E-2</c:v>
                </c:pt>
                <c:pt idx="189">
                  <c:v>3.54957740457119E-2</c:v>
                </c:pt>
                <c:pt idx="190">
                  <c:v>3.4458251433847981E-2</c:v>
                </c:pt>
                <c:pt idx="191">
                  <c:v>3.3451159043862096E-2</c:v>
                </c:pt>
                <c:pt idx="192">
                  <c:v>3.247359837800326E-2</c:v>
                </c:pt>
                <c:pt idx="193">
                  <c:v>3.1524697812829003E-2</c:v>
                </c:pt>
                <c:pt idx="194">
                  <c:v>3.060361177557051E-2</c:v>
                </c:pt>
                <c:pt idx="195">
                  <c:v>2.9709519946872681E-2</c:v>
                </c:pt>
                <c:pt idx="196">
                  <c:v>2.8841626489000585E-2</c:v>
                </c:pt>
                <c:pt idx="197">
                  <c:v>2.7999159298638658E-2</c:v>
                </c:pt>
                <c:pt idx="198">
                  <c:v>2.7181369283442409E-2</c:v>
                </c:pt>
                <c:pt idx="199">
                  <c:v>2.6387529661534015E-2</c:v>
                </c:pt>
                <c:pt idx="200">
                  <c:v>2.5616935283163726E-2</c:v>
                </c:pt>
                <c:pt idx="201">
                  <c:v>2.4868901973788275E-2</c:v>
                </c:pt>
                <c:pt idx="202">
                  <c:v>2.4142765897845229E-2</c:v>
                </c:pt>
                <c:pt idx="203">
                  <c:v>2.3437882942529163E-2</c:v>
                </c:pt>
                <c:pt idx="204">
                  <c:v>2.2753628120900853E-2</c:v>
                </c:pt>
                <c:pt idx="205">
                  <c:v>2.2089394993685649E-2</c:v>
                </c:pt>
                <c:pt idx="206">
                  <c:v>2.1444595109140312E-2</c:v>
                </c:pt>
                <c:pt idx="207">
                  <c:v>2.081865746039047E-2</c:v>
                </c:pt>
                <c:pt idx="208">
                  <c:v>2.0211027959662283E-2</c:v>
                </c:pt>
                <c:pt idx="209">
                  <c:v>1.9621168928852798E-2</c:v>
                </c:pt>
                <c:pt idx="210">
                  <c:v>1.90485586059033E-2</c:v>
                </c:pt>
                <c:pt idx="211">
                  <c:v>1.8492690666459092E-2</c:v>
                </c:pt>
                <c:pt idx="212">
                  <c:v>1.7953073760317587E-2</c:v>
                </c:pt>
                <c:pt idx="213">
                  <c:v>1.7429231062184025E-2</c:v>
                </c:pt>
                <c:pt idx="214">
                  <c:v>1.6920699836271258E-2</c:v>
                </c:pt>
                <c:pt idx="215">
                  <c:v>1.6427031014296097E-2</c:v>
                </c:pt>
                <c:pt idx="216">
                  <c:v>1.5947788786440518E-2</c:v>
                </c:pt>
                <c:pt idx="217">
                  <c:v>1.5482550204860918E-2</c:v>
                </c:pt>
                <c:pt idx="218">
                  <c:v>1.5030904799343032E-2</c:v>
                </c:pt>
                <c:pt idx="219">
                  <c:v>1.4592454204714141E-2</c:v>
                </c:pt>
                <c:pt idx="220">
                  <c:v>1.4166811799637325E-2</c:v>
                </c:pt>
                <c:pt idx="221">
                  <c:v>1.3753602356425573E-2</c:v>
                </c:pt>
                <c:pt idx="222">
                  <c:v>1.3352461701525721E-2</c:v>
                </c:pt>
                <c:pt idx="223">
                  <c:v>1.2963036386334201E-2</c:v>
                </c:pt>
                <c:pt idx="224">
                  <c:v>1.2584983368017978E-2</c:v>
                </c:pt>
                <c:pt idx="225">
                  <c:v>1.2217969700025047E-2</c:v>
                </c:pt>
                <c:pt idx="226">
                  <c:v>1.1861672231979484E-2</c:v>
                </c:pt>
                <c:pt idx="227">
                  <c:v>1.1515777318666256E-2</c:v>
                </c:pt>
                <c:pt idx="228">
                  <c:v>1.1179980537820827E-2</c:v>
                </c:pt>
                <c:pt idx="229">
                  <c:v>1.0853986416448082E-2</c:v>
                </c:pt>
                <c:pt idx="230">
                  <c:v>1.0537508165404197E-2</c:v>
                </c:pt>
                <c:pt idx="231">
                  <c:v>1.0230267421983895E-2</c:v>
                </c:pt>
                <c:pt idx="232">
                  <c:v>9.9319940002640713E-3</c:v>
                </c:pt>
                <c:pt idx="233">
                  <c:v>9.6424256489628015E-3</c:v>
                </c:pt>
                <c:pt idx="234">
                  <c:v>9.3613078165808144E-3</c:v>
                </c:pt>
                <c:pt idx="235">
                  <c:v>9.0883934235999851E-3</c:v>
                </c:pt>
                <c:pt idx="236">
                  <c:v>8.8234426415207904E-3</c:v>
                </c:pt>
                <c:pt idx="237">
                  <c:v>8.5662226785277393E-3</c:v>
                </c:pt>
                <c:pt idx="238">
                  <c:v>8.3165075715786324E-3</c:v>
                </c:pt>
                <c:pt idx="239">
                  <c:v>8.0740779847200735E-3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49DF-4991-9378-C4CCAEBFE91E}"/>
            </c:ext>
          </c:extLst>
        </c:ser>
        <c:ser>
          <c:idx val="10"/>
          <c:order val="4"/>
          <c:tx>
            <c:strRef>
              <c:f>'Coordenograma Manual'!$J$2</c:f>
              <c:strCache>
                <c:ptCount val="1"/>
                <c:pt idx="0">
                  <c:v>it</c:v>
                </c:pt>
              </c:strCache>
            </c:strRef>
          </c:tx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Manual'!$J$3:$J$242</c:f>
              <c:numCache>
                <c:formatCode>General</c:formatCode>
                <c:ptCount val="240"/>
                <c:pt idx="0">
                  <c:v>1439.9999999999986</c:v>
                </c:pt>
                <c:pt idx="1">
                  <c:v>709.35960591133062</c:v>
                </c:pt>
                <c:pt idx="2">
                  <c:v>465.88372318742108</c:v>
                </c:pt>
                <c:pt idx="3">
                  <c:v>344.19894507803832</c:v>
                </c:pt>
                <c:pt idx="4">
                  <c:v>271.23058281682933</c:v>
                </c:pt>
                <c:pt idx="5">
                  <c:v>222.62040064825501</c:v>
                </c:pt>
                <c:pt idx="6">
                  <c:v>187.92914940615168</c:v>
                </c:pt>
                <c:pt idx="7">
                  <c:v>161.93719991122438</c:v>
                </c:pt>
                <c:pt idx="8">
                  <c:v>141.74475410606883</c:v>
                </c:pt>
                <c:pt idx="9">
                  <c:v>125.61192951142971</c:v>
                </c:pt>
                <c:pt idx="10">
                  <c:v>112.43152489016505</c:v>
                </c:pt>
                <c:pt idx="11">
                  <c:v>101.46540308106667</c:v>
                </c:pt>
                <c:pt idx="12">
                  <c:v>92.202543295672243</c:v>
                </c:pt>
                <c:pt idx="13">
                  <c:v>84.277928146552071</c:v>
                </c:pt>
                <c:pt idx="14">
                  <c:v>77.423875865694697</c:v>
                </c:pt>
                <c:pt idx="15">
                  <c:v>71.439622942302762</c:v>
                </c:pt>
                <c:pt idx="16">
                  <c:v>66.171642301396474</c:v>
                </c:pt>
                <c:pt idx="17">
                  <c:v>61.500522090667566</c:v>
                </c:pt>
                <c:pt idx="18">
                  <c:v>57.331988009364537</c:v>
                </c:pt>
                <c:pt idx="19">
                  <c:v>53.590618939477068</c:v>
                </c:pt>
                <c:pt idx="20">
                  <c:v>50.215358111765106</c:v>
                </c:pt>
                <c:pt idx="21">
                  <c:v>47.156248500069694</c:v>
                </c:pt>
                <c:pt idx="22">
                  <c:v>44.372019852668487</c:v>
                </c:pt>
                <c:pt idx="23">
                  <c:v>41.828278966516578</c:v>
                </c:pt>
                <c:pt idx="24">
                  <c:v>39.496134296343968</c:v>
                </c:pt>
                <c:pt idx="25">
                  <c:v>37.351137962281406</c:v>
                </c:pt>
                <c:pt idx="26">
                  <c:v>35.372462867486554</c:v>
                </c:pt>
                <c:pt idx="27">
                  <c:v>33.54225614825036</c:v>
                </c:pt>
                <c:pt idx="28">
                  <c:v>31.845126393550849</c:v>
                </c:pt>
                <c:pt idx="29">
                  <c:v>30.26773342116368</c:v>
                </c:pt>
                <c:pt idx="30">
                  <c:v>28.798457452377569</c:v>
                </c:pt>
                <c:pt idx="31">
                  <c:v>27.427130316850761</c:v>
                </c:pt>
                <c:pt idx="32">
                  <c:v>26.144815529680773</c:v>
                </c:pt>
                <c:pt idx="33">
                  <c:v>24.943627178742553</c:v>
                </c:pt>
                <c:pt idx="34">
                  <c:v>23.816579860223246</c:v>
                </c:pt>
                <c:pt idx="35">
                  <c:v>22.757463625186155</c:v>
                </c:pt>
                <c:pt idx="36">
                  <c:v>21.760739205330097</c:v>
                </c:pt>
                <c:pt idx="37">
                  <c:v>20.821449782285693</c:v>
                </c:pt>
                <c:pt idx="38">
                  <c:v>19.935146331078961</c:v>
                </c:pt>
                <c:pt idx="39">
                  <c:v>19.097824162266527</c:v>
                </c:pt>
                <c:pt idx="40">
                  <c:v>18.305868750758016</c:v>
                </c:pt>
                <c:pt idx="41">
                  <c:v>17.556009303528892</c:v>
                </c:pt>
                <c:pt idx="42">
                  <c:v>16.845278806388958</c:v>
                </c:pt>
                <c:pt idx="43">
                  <c:v>16.170979519032887</c:v>
                </c:pt>
                <c:pt idx="44">
                  <c:v>15.530653070847812</c:v>
                </c:pt>
                <c:pt idx="45">
                  <c:v>14.922054457348619</c:v>
                </c:pt>
                <c:pt idx="46">
                  <c:v>14.343129356282875</c:v>
                </c:pt>
                <c:pt idx="47">
                  <c:v>13.791994279273599</c:v>
                </c:pt>
                <c:pt idx="48">
                  <c:v>13.266919153910239</c:v>
                </c:pt>
                <c:pt idx="49">
                  <c:v>12.766311996012707</c:v>
                </c:pt>
                <c:pt idx="50">
                  <c:v>12.28870538516999</c:v>
                </c:pt>
                <c:pt idx="51">
                  <c:v>11.832744500793249</c:v>
                </c:pt>
                <c:pt idx="52">
                  <c:v>11.397176512566505</c:v>
                </c:pt>
                <c:pt idx="53">
                  <c:v>10.980841149714145</c:v>
                </c:pt>
                <c:pt idx="54">
                  <c:v>10.582662299043621</c:v>
                </c:pt>
                <c:pt idx="55">
                  <c:v>10.201640503156462</c:v>
                </c:pt>
                <c:pt idx="56">
                  <c:v>9.8368462482710513</c:v>
                </c:pt>
                <c:pt idx="57">
                  <c:v>9.4874139463500295</c:v>
                </c:pt>
                <c:pt idx="58">
                  <c:v>9.15253652914841</c:v>
                </c:pt>
                <c:pt idx="59">
                  <c:v>8.8314605827832064</c:v>
                </c:pt>
                <c:pt idx="60">
                  <c:v>8.5234819607895353</c:v>
                </c:pt>
                <c:pt idx="61">
                  <c:v>8.2279418216328324</c:v>
                </c:pt>
                <c:pt idx="62">
                  <c:v>7.9442230435081038</c:v>
                </c:pt>
                <c:pt idx="63">
                  <c:v>7.6717469751535123</c:v>
                </c:pt>
                <c:pt idx="64">
                  <c:v>7.4099704864855624</c:v>
                </c:pt>
                <c:pt idx="65">
                  <c:v>7.1583832872503592</c:v>
                </c:pt>
                <c:pt idx="66">
                  <c:v>6.9165054856834054</c:v>
                </c:pt>
                <c:pt idx="67">
                  <c:v>6.6838853624655679</c:v>
                </c:pt>
                <c:pt idx="68">
                  <c:v>6.4600973381283699</c:v>
                </c:pt>
                <c:pt idx="69">
                  <c:v>6.2447401145587174</c:v>
                </c:pt>
                <c:pt idx="70">
                  <c:v>6.0374349734337311</c:v>
                </c:pt>
                <c:pt idx="71">
                  <c:v>5.8378242163242851</c:v>
                </c:pt>
                <c:pt idx="72">
                  <c:v>5.6455697328785215</c:v>
                </c:pt>
                <c:pt idx="73">
                  <c:v>5.4603516849659899</c:v>
                </c:pt>
                <c:pt idx="74">
                  <c:v>5.2818672959558963</c:v>
                </c:pt>
                <c:pt idx="75">
                  <c:v>5.1098297354429283</c:v>
                </c:pt>
                <c:pt idx="76">
                  <c:v>4.9439670907406272</c:v>
                </c:pt>
                <c:pt idx="77">
                  <c:v>4.7840214173528262</c:v>
                </c:pt>
                <c:pt idx="78">
                  <c:v>4.629747861422655</c:v>
                </c:pt>
                <c:pt idx="79">
                  <c:v>4.4809138478588713</c:v>
                </c:pt>
                <c:pt idx="80">
                  <c:v>4.3372983284617552</c:v>
                </c:pt>
                <c:pt idx="81">
                  <c:v>4.198691084924862</c:v>
                </c:pt>
                <c:pt idx="82">
                  <c:v>4.0648920820830483</c:v>
                </c:pt>
                <c:pt idx="83">
                  <c:v>3.9357108672182211</c:v>
                </c:pt>
                <c:pt idx="84">
                  <c:v>3.8109660116286892</c:v>
                </c:pt>
                <c:pt idx="85">
                  <c:v>3.6904845910210979</c:v>
                </c:pt>
                <c:pt idx="86">
                  <c:v>3.574101701600513</c:v>
                </c:pt>
                <c:pt idx="87">
                  <c:v>3.4616600090184355</c:v>
                </c:pt>
                <c:pt idx="88">
                  <c:v>3.3530093275939521</c:v>
                </c:pt>
                <c:pt idx="89">
                  <c:v>3.24800622745318</c:v>
                </c:pt>
                <c:pt idx="90">
                  <c:v>3.1465136674393004</c:v>
                </c:pt>
                <c:pt idx="91">
                  <c:v>3.0484006518323694</c:v>
                </c:pt>
                <c:pt idx="92">
                  <c:v>2.9535419090869319</c:v>
                </c:pt>
                <c:pt idx="93">
                  <c:v>2.8618175909480543</c:v>
                </c:pt>
                <c:pt idx="94">
                  <c:v>2.7731129904446172</c:v>
                </c:pt>
                <c:pt idx="95">
                  <c:v>2.6873182773838842</c:v>
                </c:pt>
                <c:pt idx="96">
                  <c:v>2.6043282500849738</c:v>
                </c:pt>
                <c:pt idx="97">
                  <c:v>2.5240421021920301</c:v>
                </c:pt>
                <c:pt idx="98">
                  <c:v>2.4463632035016398</c:v>
                </c:pt>
                <c:pt idx="99">
                  <c:v>2.3711988938243835</c:v>
                </c:pt>
                <c:pt idx="100">
                  <c:v>2.2984602889781471</c:v>
                </c:pt>
                <c:pt idx="101">
                  <c:v>2.2280620980816566</c:v>
                </c:pt>
                <c:pt idx="102">
                  <c:v>2.1599224513813833</c:v>
                </c:pt>
                <c:pt idx="103">
                  <c:v>2.093962737904016</c:v>
                </c:pt>
                <c:pt idx="104">
                  <c:v>2.0301074522807214</c:v>
                </c:pt>
                <c:pt idx="105">
                  <c:v>1.9682840501387859</c:v>
                </c:pt>
                <c:pt idx="106">
                  <c:v>1.9084228115015187</c:v>
                </c:pt>
                <c:pt idx="107">
                  <c:v>1.8504567116787503</c:v>
                </c:pt>
                <c:pt idx="108">
                  <c:v>1.7943212991683162</c:v>
                </c:pt>
                <c:pt idx="109">
                  <c:v>1.7399545801238361</c:v>
                </c:pt>
                <c:pt idx="110">
                  <c:v>1.6872969089762149</c:v>
                </c:pt>
                <c:pt idx="111">
                  <c:v>1.6362908848257798</c:v>
                </c:pt>
                <c:pt idx="112">
                  <c:v>1.5868812532491439</c:v>
                </c:pt>
                <c:pt idx="113">
                  <c:v>1.5390148131898891</c:v>
                </c:pt>
                <c:pt idx="114">
                  <c:v>1.4926403286252168</c:v>
                </c:pt>
                <c:pt idx="115">
                  <c:v>1.4477084447219719</c:v>
                </c:pt>
                <c:pt idx="116">
                  <c:v>1.404171608215067</c:v>
                </c:pt>
                <c:pt idx="117">
                  <c:v>1.3619839917594554</c:v>
                </c:pt>
                <c:pt idx="118">
                  <c:v>1.32110142202355</c:v>
                </c:pt>
                <c:pt idx="119">
                  <c:v>1.281481311307475</c:v>
                </c:pt>
                <c:pt idx="120">
                  <c:v>1.2430825924838753</c:v>
                </c:pt>
                <c:pt idx="121">
                  <c:v>1.2058656570722759</c:v>
                </c:pt>
                <c:pt idx="122">
                  <c:v>1.1697922962702922</c:v>
                </c:pt>
                <c:pt idx="123">
                  <c:v>1.1348256447763965</c:v>
                </c:pt>
                <c:pt idx="124">
                  <c:v>1.1009301272495289</c:v>
                </c:pt>
                <c:pt idx="125">
                  <c:v>1.0680714072606623</c:v>
                </c:pt>
                <c:pt idx="126">
                  <c:v>1.0362163386005652</c:v>
                </c:pt>
                <c:pt idx="127">
                  <c:v>1.0053329188164801</c:v>
                </c:pt>
                <c:pt idx="128">
                  <c:v>0.97539024485833503</c:v>
                </c:pt>
                <c:pt idx="129">
                  <c:v>0.94635847072243873</c:v>
                </c:pt>
                <c:pt idx="130">
                  <c:v>0.91820876698744702</c:v>
                </c:pt>
                <c:pt idx="131">
                  <c:v>0.89091328214376597</c:v>
                </c:pt>
                <c:pt idx="132">
                  <c:v>0.86444510562347543</c:v>
                </c:pt>
                <c:pt idx="133">
                  <c:v>0.83877823244340977</c:v>
                </c:pt>
                <c:pt idx="134">
                  <c:v>0.81388752937918663</c:v>
                </c:pt>
                <c:pt idx="135">
                  <c:v>0.78974870259280283</c:v>
                </c:pt>
                <c:pt idx="136">
                  <c:v>0.76633826664091775</c:v>
                </c:pt>
                <c:pt idx="137">
                  <c:v>0.74363351479515716</c:v>
                </c:pt>
                <c:pt idx="138">
                  <c:v>0.72161249060970489</c:v>
                </c:pt>
                <c:pt idx="139">
                  <c:v>0.70025396067513002</c:v>
                </c:pt>
                <c:pt idx="140">
                  <c:v>0.67953738850085132</c:v>
                </c:pt>
                <c:pt idx="141">
                  <c:v>0.65944290947185669</c:v>
                </c:pt>
                <c:pt idx="142">
                  <c:v>0.63995130682832968</c:v>
                </c:pt>
                <c:pt idx="143">
                  <c:v>0.62104398861965993</c:v>
                </c:pt>
                <c:pt idx="144">
                  <c:v>0.60270296558698033</c:v>
                </c:pt>
                <c:pt idx="145">
                  <c:v>0.58491082993085763</c:v>
                </c:pt>
                <c:pt idx="146">
                  <c:v>0.56765073492311247</c:v>
                </c:pt>
                <c:pt idx="147">
                  <c:v>0.55090637532393161</c:v>
                </c:pt>
                <c:pt idx="148">
                  <c:v>0.53466196856751247</c:v>
                </c:pt>
                <c:pt idx="149">
                  <c:v>0.51890223668140489</c:v>
                </c:pt>
                <c:pt idx="150">
                  <c:v>0.5036123889065528</c:v>
                </c:pt>
                <c:pt idx="151">
                  <c:v>0.48877810498674368</c:v>
                </c:pt>
                <c:pt idx="152">
                  <c:v>0.47438551909779747</c:v>
                </c:pt>
                <c:pt idx="153">
                  <c:v>0.46042120438833667</c:v>
                </c:pt>
                <c:pt idx="154">
                  <c:v>0.44687215810542225</c:v>
                </c:pt>
                <c:pt idx="155">
                  <c:v>0.43372578727967931</c:v>
                </c:pt>
                <c:pt idx="156">
                  <c:v>0.42096989494581433</c:v>
                </c:pt>
                <c:pt idx="157">
                  <c:v>0.40859266687562185</c:v>
                </c:pt>
                <c:pt idx="158">
                  <c:v>0.3965826588017119</c:v>
                </c:pt>
                <c:pt idx="159">
                  <c:v>0.3849287841112547</c:v>
                </c:pt>
                <c:pt idx="160">
                  <c:v>0.37362030199005025</c:v>
                </c:pt>
                <c:pt idx="161">
                  <c:v>0.36264680599817928</c:v>
                </c:pt>
                <c:pt idx="162">
                  <c:v>0.35199821305939527</c:v>
                </c:pt>
                <c:pt idx="163">
                  <c:v>0.34166475284726378</c:v>
                </c:pt>
                <c:pt idx="164">
                  <c:v>0.33163695755186268</c:v>
                </c:pt>
                <c:pt idx="165">
                  <c:v>0.32190565201161708</c:v>
                </c:pt>
                <c:pt idx="166">
                  <c:v>0.31246194419555923</c:v>
                </c:pt>
                <c:pt idx="167">
                  <c:v>0.30329721602199161</c:v>
                </c:pt>
                <c:pt idx="168">
                  <c:v>0.29440311450016982</c:v>
                </c:pt>
                <c:pt idx="169">
                  <c:v>0.28577154318223846</c:v>
                </c:pt>
                <c:pt idx="170">
                  <c:v>0.27739465391323093</c:v>
                </c:pt>
                <c:pt idx="171">
                  <c:v>0.26926483886749175</c:v>
                </c:pt>
                <c:pt idx="172">
                  <c:v>0.26137472286040525</c:v>
                </c:pt>
                <c:pt idx="173">
                  <c:v>0.25371715592480365</c:v>
                </c:pt>
                <c:pt idx="174">
                  <c:v>0.24628520614190166</c:v>
                </c:pt>
                <c:pt idx="175">
                  <c:v>0.23907215271704671</c:v>
                </c:pt>
                <c:pt idx="176">
                  <c:v>0.23207147929099847</c:v>
                </c:pt>
                <c:pt idx="177">
                  <c:v>0.22527686747785339</c:v>
                </c:pt>
                <c:pt idx="178">
                  <c:v>0.21868219062111149</c:v>
                </c:pt>
                <c:pt idx="179">
                  <c:v>0.212281507759746</c:v>
                </c:pt>
                <c:pt idx="180">
                  <c:v>0.20606905779648232</c:v>
                </c:pt>
                <c:pt idx="181">
                  <c:v>0.20003925386082058</c:v>
                </c:pt>
                <c:pt idx="182">
                  <c:v>0.19418667785965002</c:v>
                </c:pt>
                <c:pt idx="183">
                  <c:v>0.18850607520859955</c:v>
                </c:pt>
                <c:pt idx="184">
                  <c:v>0.18299234973755474</c:v>
                </c:pt>
                <c:pt idx="185">
                  <c:v>0.17764055876403845</c:v>
                </c:pt>
                <c:pt idx="186">
                  <c:v>0.17244590832841381</c:v>
                </c:pt>
                <c:pt idx="187">
                  <c:v>0.1674037485851089</c:v>
                </c:pt>
                <c:pt idx="188">
                  <c:v>0.16250956934430125</c:v>
                </c:pt>
                <c:pt idx="189">
                  <c:v>0.15775899575871957</c:v>
                </c:pt>
                <c:pt idx="190">
                  <c:v>0.15314778415043548</c:v>
                </c:pt>
                <c:pt idx="191">
                  <c:v>0.14867181797272042</c:v>
                </c:pt>
                <c:pt idx="192">
                  <c:v>0.14432710390223671</c:v>
                </c:pt>
                <c:pt idx="193">
                  <c:v>0.14010976805701778</c:v>
                </c:pt>
                <c:pt idx="194">
                  <c:v>0.13601605233586894</c:v>
                </c:pt>
                <c:pt idx="195">
                  <c:v>0.13204231087498969</c:v>
                </c:pt>
                <c:pt idx="196">
                  <c:v>0.12818500661778037</c:v>
                </c:pt>
                <c:pt idx="197">
                  <c:v>0.12444070799394959</c:v>
                </c:pt>
                <c:pt idx="198">
                  <c:v>0.12080608570418848</c:v>
                </c:pt>
                <c:pt idx="199">
                  <c:v>0.11727790960681785</c:v>
                </c:pt>
                <c:pt idx="200">
                  <c:v>0.11385304570294989</c:v>
                </c:pt>
                <c:pt idx="201">
                  <c:v>0.11052845321683677</c:v>
                </c:pt>
                <c:pt idx="202">
                  <c:v>0.10730118176820103</c:v>
                </c:pt>
                <c:pt idx="203">
                  <c:v>0.10416836863346295</c:v>
                </c:pt>
                <c:pt idx="204">
                  <c:v>0.10112723609289269</c:v>
                </c:pt>
                <c:pt idx="205">
                  <c:v>9.8175088860825113E-2</c:v>
                </c:pt>
                <c:pt idx="206">
                  <c:v>9.5309311596179169E-2</c:v>
                </c:pt>
                <c:pt idx="207">
                  <c:v>9.2527366490624291E-2</c:v>
                </c:pt>
                <c:pt idx="208">
                  <c:v>8.9826790931832365E-2</c:v>
                </c:pt>
                <c:pt idx="209">
                  <c:v>8.7205195239345779E-2</c:v>
                </c:pt>
                <c:pt idx="210">
                  <c:v>8.4660260470681328E-2</c:v>
                </c:pt>
                <c:pt idx="211">
                  <c:v>8.2189736295373739E-2</c:v>
                </c:pt>
                <c:pt idx="212">
                  <c:v>7.9791438934744829E-2</c:v>
                </c:pt>
                <c:pt idx="213">
                  <c:v>7.7463249165262343E-2</c:v>
                </c:pt>
                <c:pt idx="214">
                  <c:v>7.5203110383427821E-2</c:v>
                </c:pt>
                <c:pt idx="215">
                  <c:v>7.300902673020486E-2</c:v>
                </c:pt>
                <c:pt idx="216">
                  <c:v>7.0879061273068963E-2</c:v>
                </c:pt>
                <c:pt idx="217">
                  <c:v>6.8811334243826294E-2</c:v>
                </c:pt>
                <c:pt idx="218">
                  <c:v>6.6804021330413479E-2</c:v>
                </c:pt>
                <c:pt idx="219">
                  <c:v>6.4855352020951731E-2</c:v>
                </c:pt>
                <c:pt idx="220">
                  <c:v>6.2963607998388113E-2</c:v>
                </c:pt>
                <c:pt idx="221">
                  <c:v>6.112712158411366E-2</c:v>
                </c:pt>
                <c:pt idx="222">
                  <c:v>5.9344274229003201E-2</c:v>
                </c:pt>
                <c:pt idx="223">
                  <c:v>5.7613495050374226E-2</c:v>
                </c:pt>
                <c:pt idx="224">
                  <c:v>5.593325941341324E-2</c:v>
                </c:pt>
                <c:pt idx="225">
                  <c:v>5.4302087555666879E-2</c:v>
                </c:pt>
                <c:pt idx="226">
                  <c:v>5.2718543253242163E-2</c:v>
                </c:pt>
                <c:pt idx="227">
                  <c:v>5.1181232527405585E-2</c:v>
                </c:pt>
                <c:pt idx="228">
                  <c:v>4.9688802390314785E-2</c:v>
                </c:pt>
                <c:pt idx="229">
                  <c:v>4.8239939628658149E-2</c:v>
                </c:pt>
                <c:pt idx="230">
                  <c:v>4.6833369624018649E-2</c:v>
                </c:pt>
                <c:pt idx="231">
                  <c:v>4.5467855208817312E-2</c:v>
                </c:pt>
                <c:pt idx="232">
                  <c:v>4.4142195556729207E-2</c:v>
                </c:pt>
                <c:pt idx="233">
                  <c:v>4.2855225106501332E-2</c:v>
                </c:pt>
                <c:pt idx="234">
                  <c:v>4.1605812518136949E-2</c:v>
                </c:pt>
                <c:pt idx="235">
                  <c:v>4.0392859660444383E-2</c:v>
                </c:pt>
                <c:pt idx="236">
                  <c:v>3.9215300628981285E-2</c:v>
                </c:pt>
                <c:pt idx="237">
                  <c:v>3.8072100793456617E-2</c:v>
                </c:pt>
                <c:pt idx="238">
                  <c:v>3.6962255873682813E-2</c:v>
                </c:pt>
                <c:pt idx="239">
                  <c:v>3.5884791043200331E-2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49DF-4991-9378-C4CCAEBFE91E}"/>
            </c:ext>
          </c:extLst>
        </c:ser>
        <c:ser>
          <c:idx val="11"/>
          <c:order val="5"/>
          <c:tx>
            <c:strRef>
              <c:f>'Coordenograma Manual'!$K$2</c:f>
              <c:strCache>
                <c:ptCount val="1"/>
                <c:pt idx="0">
                  <c:v>i2t</c:v>
                </c:pt>
              </c:strCache>
            </c:strRef>
          </c:tx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Manual'!$K$3:$K$242</c:f>
              <c:numCache>
                <c:formatCode>General</c:formatCode>
                <c:ptCount val="240"/>
                <c:pt idx="0">
                  <c:v>6384.2364532019747</c:v>
                </c:pt>
                <c:pt idx="1">
                  <c:v>3097.7905057023504</c:v>
                </c:pt>
                <c:pt idx="2">
                  <c:v>2003.5836058342977</c:v>
                </c:pt>
                <c:pt idx="3">
                  <c:v>1457.4347992010184</c:v>
                </c:pt>
                <c:pt idx="4">
                  <c:v>1130.507365602868</c:v>
                </c:pt>
                <c:pt idx="5">
                  <c:v>913.18862772959994</c:v>
                </c:pt>
                <c:pt idx="6">
                  <c:v>758.50135331896934</c:v>
                </c:pt>
                <c:pt idx="7">
                  <c:v>642.95660648072533</c:v>
                </c:pt>
                <c:pt idx="8">
                  <c:v>553.50469881600873</c:v>
                </c:pt>
                <c:pt idx="9">
                  <c:v>482.31557045529388</c:v>
                </c:pt>
                <c:pt idx="10">
                  <c:v>424.40623650062741</c:v>
                </c:pt>
                <c:pt idx="11">
                  <c:v>376.4545106986493</c:v>
                </c:pt>
                <c:pt idx="12">
                  <c:v>336.16024166053268</c:v>
                </c:pt>
                <c:pt idx="13">
                  <c:v>301.88030533425331</c:v>
                </c:pt>
                <c:pt idx="14">
                  <c:v>272.40960079047318</c:v>
                </c:pt>
                <c:pt idx="15">
                  <c:v>246.84417285165685</c:v>
                </c:pt>
                <c:pt idx="16">
                  <c:v>224.49264460868287</c:v>
                </c:pt>
                <c:pt idx="17">
                  <c:v>204.8171726266753</c:v>
                </c:pt>
                <c:pt idx="18">
                  <c:v>187.39304804057116</c:v>
                </c:pt>
                <c:pt idx="19">
                  <c:v>171.88041746039863</c:v>
                </c:pt>
                <c:pt idx="20">
                  <c:v>158.00408373175998</c:v>
                </c:pt>
                <c:pt idx="21">
                  <c:v>145.53881567129599</c:v>
                </c:pt>
                <c:pt idx="22">
                  <c:v>134.29849011613754</c:v>
                </c:pt>
                <c:pt idx="23">
                  <c:v>124.12794851346237</c:v>
                </c:pt>
                <c:pt idx="24">
                  <c:v>114.89680796411434</c:v>
                </c:pt>
                <c:pt idx="25">
                  <c:v>106.49470050713927</c:v>
                </c:pt>
                <c:pt idx="26">
                  <c:v>98.827570347427297</c:v>
                </c:pt>
                <c:pt idx="27">
                  <c:v>91.81476452840819</c:v>
                </c:pt>
                <c:pt idx="28">
                  <c:v>85.386725517150268</c:v>
                </c:pt>
                <c:pt idx="29">
                  <c:v>79.483145245048874</c:v>
                </c:pt>
                <c:pt idx="30">
                  <c:v>74.051476394695541</c:v>
                </c:pt>
                <c:pt idx="31">
                  <c:v>69.045722776381652</c:v>
                </c:pt>
                <c:pt idx="32">
                  <c:v>64.425449585253261</c:v>
                </c:pt>
                <c:pt idx="33">
                  <c:v>60.154968262190138</c:v>
                </c:pt>
                <c:pt idx="34">
                  <c:v>56.202661031028484</c:v>
                </c:pt>
                <c:pt idx="35">
                  <c:v>52.540417946918588</c:v>
                </c:pt>
                <c:pt idx="36">
                  <c:v>49.143165164693926</c:v>
                </c:pt>
                <c:pt idx="37">
                  <c:v>45.98846761898637</c:v>
                </c:pt>
                <c:pt idx="38">
                  <c:v>43.056192756175456</c:v>
                </c:pt>
                <c:pt idx="39">
                  <c:v>40.328224630729871</c:v>
                </c:pt>
                <c:pt idx="40">
                  <c:v>37.788219764323784</c:v>
                </c:pt>
                <c:pt idx="41">
                  <c:v>35.421397804964016</c:v>
                </c:pt>
                <c:pt idx="42">
                  <c:v>33.214361319189884</c:v>
                </c:pt>
                <c:pt idx="43">
                  <c:v>31.154940081165932</c:v>
                </c:pt>
                <c:pt idx="44">
                  <c:v>29.232056047078633</c:v>
                </c:pt>
                <c:pt idx="45">
                  <c:v>27.43560586649134</c:v>
                </c:pt>
                <c:pt idx="46">
                  <c:v>25.756358318532506</c:v>
                </c:pt>
                <c:pt idx="47">
                  <c:v>24.185864496454965</c:v>
                </c:pt>
                <c:pt idx="48">
                  <c:v>22.716378919728282</c:v>
                </c:pt>
                <c:pt idx="49">
                  <c:v>21.34079004441945</c:v>
                </c:pt>
                <c:pt idx="50">
                  <c:v>20.052558882734907</c:v>
                </c:pt>
                <c:pt idx="51">
                  <c:v>18.845664641136135</c:v>
                </c:pt>
                <c:pt idx="52">
                  <c:v>17.714556451249067</c:v>
                </c:pt>
                <c:pt idx="53">
                  <c:v>16.654110405108749</c:v>
                </c:pt>
                <c:pt idx="54">
                  <c:v>15.659591221114514</c:v>
                </c:pt>
                <c:pt idx="55">
                  <c:v>14.726617963432007</c:v>
                </c:pt>
                <c:pt idx="56">
                  <c:v>13.851133318709</c:v>
                </c:pt>
                <c:pt idx="57">
                  <c:v>13.029376002497742</c:v>
                </c:pt>
                <c:pt idx="58">
                  <c:v>12.257855925835099</c:v>
                </c:pt>
                <c:pt idx="59">
                  <c:v>11.533331801767272</c:v>
                </c:pt>
                <c:pt idx="60">
                  <c:v>10.852790913650479</c:v>
                </c:pt>
                <c:pt idx="61">
                  <c:v>10.213430802987565</c:v>
                </c:pt>
                <c:pt idx="62">
                  <c:v>9.6126426653459589</c:v>
                </c:pt>
                <c:pt idx="63">
                  <c:v>9.0479962693483156</c:v>
                </c:pt>
                <c:pt idx="64">
                  <c:v>8.5172262365019424</c:v>
                </c:pt>
                <c:pt idx="65">
                  <c:v>8.018219539293888</c:v>
                </c:pt>
                <c:pt idx="66">
                  <c:v>7.5490040919906845</c:v>
                </c:pt>
                <c:pt idx="67">
                  <c:v>7.107738323335222</c:v>
                </c:pt>
                <c:pt idx="68">
                  <c:v>6.6927016331564131</c:v>
                </c:pt>
                <c:pt idx="69">
                  <c:v>6.3022856460761689</c:v>
                </c:pt>
                <c:pt idx="70">
                  <c:v>5.9349861852467098</c:v>
                </c:pt>
                <c:pt idx="71">
                  <c:v>5.5893958975769378</c:v>
                </c:pt>
                <c:pt idx="72">
                  <c:v>5.2641974693777183</c:v>
                </c:pt>
                <c:pt idx="73">
                  <c:v>4.9581573779153851</c:v>
                </c:pt>
                <c:pt idx="74">
                  <c:v>4.6701201301326458</c:v>
                </c:pt>
                <c:pt idx="75">
                  <c:v>4.3990029448806931</c:v>
                </c:pt>
                <c:pt idx="76">
                  <c:v>4.14379083949503</c:v>
                </c:pt>
                <c:pt idx="77">
                  <c:v>3.9035320855171132</c:v>
                </c:pt>
                <c:pt idx="78">
                  <c:v>3.6773340018805976</c:v>
                </c:pt>
                <c:pt idx="79">
                  <c:v>3.4643590570012912</c:v>
                </c:pt>
                <c:pt idx="80">
                  <c:v>3.2638212539836129</c:v>
                </c:pt>
                <c:pt idx="81">
                  <c:v>3.0749827756253731</c:v>
                </c:pt>
                <c:pt idx="82">
                  <c:v>2.8971508681045526</c:v>
                </c:pt>
                <c:pt idx="83">
                  <c:v>2.729674944197924</c:v>
                </c:pt>
                <c:pt idx="84">
                  <c:v>2.5719438886401456</c:v>
                </c:pt>
                <c:pt idx="85">
                  <c:v>2.4233835498074261</c:v>
                </c:pt>
                <c:pt idx="86">
                  <c:v>2.2834544033232329</c:v>
                </c:pt>
                <c:pt idx="87">
                  <c:v>2.1516493744534202</c:v>
                </c:pt>
                <c:pt idx="88">
                  <c:v>2.0274918073006809</c:v>
                </c:pt>
                <c:pt idx="89">
                  <c:v>1.9105335698377139</c:v>
                </c:pt>
                <c:pt idx="90">
                  <c:v>1.8003532847473855</c:v>
                </c:pt>
                <c:pt idx="91">
                  <c:v>1.696554676877396</c:v>
                </c:pt>
                <c:pt idx="92">
                  <c:v>1.5987650288763462</c:v>
                </c:pt>
                <c:pt idx="93">
                  <c:v>1.5066337372659802</c:v>
                </c:pt>
                <c:pt idx="94">
                  <c:v>1.4198309618284759</c:v>
                </c:pt>
                <c:pt idx="95">
                  <c:v>1.338046361754484</c:v>
                </c:pt>
                <c:pt idx="96">
                  <c:v>1.2609879125131607</c:v>
                </c:pt>
                <c:pt idx="97">
                  <c:v>1.1883807978749079</c:v>
                </c:pt>
                <c:pt idx="98">
                  <c:v>1.1199663719455468</c:v>
                </c:pt>
                <c:pt idx="99">
                  <c:v>1.0555011864613615</c:v>
                </c:pt>
                <c:pt idx="100">
                  <c:v>0.99475607895153151</c:v>
                </c:pt>
                <c:pt idx="101">
                  <c:v>0.93751531770116669</c:v>
                </c:pt>
                <c:pt idx="102">
                  <c:v>0.88357579974742639</c:v>
                </c:pt>
                <c:pt idx="103">
                  <c:v>0.83274629841561887</c:v>
                </c:pt>
                <c:pt idx="104">
                  <c:v>0.78484675715411256</c:v>
                </c:pt>
                <c:pt idx="105">
                  <c:v>0.7397076266583642</c:v>
                </c:pt>
                <c:pt idx="106">
                  <c:v>0.69716924248736156</c:v>
                </c:pt>
                <c:pt idx="107">
                  <c:v>0.65708124057184425</c:v>
                </c:pt>
                <c:pt idx="108">
                  <c:v>0.61930200819443726</c:v>
                </c:pt>
                <c:pt idx="109">
                  <c:v>0.58369816818856612</c:v>
                </c:pt>
                <c:pt idx="110">
                  <c:v>0.55014409425702337</c:v>
                </c:pt>
                <c:pt idx="111">
                  <c:v>0.51852145545336836</c:v>
                </c:pt>
                <c:pt idx="112">
                  <c:v>0.48871878800100227</c:v>
                </c:pt>
                <c:pt idx="113">
                  <c:v>0.46063109274665054</c:v>
                </c:pt>
                <c:pt idx="114">
                  <c:v>0.43415945665792349</c:v>
                </c:pt>
                <c:pt idx="115">
                  <c:v>0.40921069687935596</c:v>
                </c:pt>
                <c:pt idx="116">
                  <c:v>0.38569702595851219</c:v>
                </c:pt>
                <c:pt idx="117">
                  <c:v>0.36353573694399938</c:v>
                </c:pt>
                <c:pt idx="118">
                  <c:v>0.34264890714110979</c:v>
                </c:pt>
                <c:pt idx="119">
                  <c:v>0.32296311938880318</c:v>
                </c:pt>
                <c:pt idx="120">
                  <c:v>0.30440919979433617</c:v>
                </c:pt>
                <c:pt idx="121">
                  <c:v>0.28692197092941268</c:v>
                </c:pt>
                <c:pt idx="122">
                  <c:v>0.27044001955470703</c:v>
                </c:pt>
                <c:pt idx="123">
                  <c:v>0.2549054779983001</c:v>
                </c:pt>
                <c:pt idx="124">
                  <c:v>0.24026381836832364</c:v>
                </c:pt>
                <c:pt idx="125">
                  <c:v>0.22646365883119182</c:v>
                </c:pt>
                <c:pt idx="126">
                  <c:v>0.21345658123450958</c:v>
                </c:pt>
                <c:pt idx="127">
                  <c:v>0.20119695939830487</c:v>
                </c:pt>
                <c:pt idx="128">
                  <c:v>0.18964179743987761</c:v>
                </c:pt>
                <c:pt idx="129">
                  <c:v>0.17875057753649615</c:v>
                </c:pt>
                <c:pt idx="130">
                  <c:v>0.16848511656659204</c:v>
                </c:pt>
                <c:pt idx="131">
                  <c:v>0.15880943110418455</c:v>
                </c:pt>
                <c:pt idx="132">
                  <c:v>0.14968961027316638</c:v>
                </c:pt>
                <c:pt idx="133">
                  <c:v>0.14109369599795982</c:v>
                </c:pt>
                <c:pt idx="134">
                  <c:v>0.13299157021503388</c:v>
                </c:pt>
                <c:pt idx="135">
                  <c:v>0.12535484863599866</c:v>
                </c:pt>
                <c:pt idx="136">
                  <c:v>0.11815678067757431</c:v>
                </c:pt>
                <c:pt idx="137">
                  <c:v>0.11137215519677802</c:v>
                </c:pt>
                <c:pt idx="138">
                  <c:v>0.10497721169129259</c:v>
                </c:pt>
                <c:pt idx="139">
                  <c:v>9.8949556645256495E-2</c:v>
                </c:pt>
                <c:pt idx="140">
                  <c:v>9.3268084719748706E-2</c:v>
                </c:pt>
                <c:pt idx="141">
                  <c:v>8.791290450510264E-2</c:v>
                </c:pt>
                <c:pt idx="142">
                  <c:v>8.2865268568954112E-2</c:v>
                </c:pt>
                <c:pt idx="143">
                  <c:v>7.8107507549675145E-2</c:v>
                </c:pt>
                <c:pt idx="144">
                  <c:v>7.3622968059637695E-2</c:v>
                </c:pt>
                <c:pt idx="145">
                  <c:v>6.9395954176644292E-2</c:v>
                </c:pt>
                <c:pt idx="146">
                  <c:v>6.5411672314919442E-2</c:v>
                </c:pt>
                <c:pt idx="147">
                  <c:v>6.1656179279323715E-2</c:v>
                </c:pt>
                <c:pt idx="148">
                  <c:v>5.8116333317984957E-2</c:v>
                </c:pt>
                <c:pt idx="149">
                  <c:v>5.4779747999380506E-2</c:v>
                </c:pt>
                <c:pt idx="150">
                  <c:v>5.1634748750097943E-2</c:v>
                </c:pt>
                <c:pt idx="151">
                  <c:v>4.8670331899084936E-2</c:v>
                </c:pt>
                <c:pt idx="152">
                  <c:v>4.5876126083213391E-2</c:v>
                </c:pt>
                <c:pt idx="153">
                  <c:v>4.3242355877460184E-2</c:v>
                </c:pt>
                <c:pt idx="154">
                  <c:v>4.0759807520982669E-2</c:v>
                </c:pt>
                <c:pt idx="155">
                  <c:v>3.8419796617869838E-2</c:v>
                </c:pt>
                <c:pt idx="156">
                  <c:v>3.6214137698409817E-2</c:v>
                </c:pt>
                <c:pt idx="157">
                  <c:v>3.4135115533357234E-2</c:v>
                </c:pt>
                <c:pt idx="158">
                  <c:v>3.2175458099936202E-2</c:v>
                </c:pt>
                <c:pt idx="159">
                  <c:v>3.0328311104197852E-2</c:v>
                </c:pt>
                <c:pt idx="160">
                  <c:v>2.8587213969890227E-2</c:v>
                </c:pt>
                <c:pt idx="161">
                  <c:v>2.6946077209211303E-2</c:v>
                </c:pt>
                <c:pt idx="162">
                  <c:v>2.5399161095723662E-2</c:v>
                </c:pt>
                <c:pt idx="163">
                  <c:v>2.394105556433004E-2</c:v>
                </c:pt>
                <c:pt idx="164">
                  <c:v>2.2566661267559036E-2</c:v>
                </c:pt>
                <c:pt idx="165">
                  <c:v>2.1271171721506787E-2</c:v>
                </c:pt>
                <c:pt idx="166">
                  <c:v>2.0050056478637213E-2</c:v>
                </c:pt>
                <c:pt idx="167">
                  <c:v>1.889904526827621E-2</c:v>
                </c:pt>
                <c:pt idx="168">
                  <c:v>1.7814113049055572E-2</c:v>
                </c:pt>
                <c:pt idx="169">
                  <c:v>1.6791465920784097E-2</c:v>
                </c:pt>
                <c:pt idx="170">
                  <c:v>1.5827527846257891E-2</c:v>
                </c:pt>
                <c:pt idx="171">
                  <c:v>1.4918928136379418E-2</c:v>
                </c:pt>
                <c:pt idx="172">
                  <c:v>1.4062489654647256E-2</c:v>
                </c:pt>
                <c:pt idx="173">
                  <c:v>1.3255217699613886E-2</c:v>
                </c:pt>
                <c:pt idx="174">
                  <c:v>1.24942895262979E-2</c:v>
                </c:pt>
                <c:pt idx="175">
                  <c:v>1.1777044469786885E-2</c:v>
                </c:pt>
                <c:pt idx="176">
                  <c:v>1.1100974636387369E-2</c:v>
                </c:pt>
                <c:pt idx="177">
                  <c:v>1.0463716129675173E-2</c:v>
                </c:pt>
                <c:pt idx="178">
                  <c:v>9.8630407806811083E-3</c:v>
                </c:pt>
                <c:pt idx="179">
                  <c:v>9.296848353219667E-3</c:v>
                </c:pt>
                <c:pt idx="180">
                  <c:v>8.7631591970384528E-3</c:v>
                </c:pt>
                <c:pt idx="181">
                  <c:v>8.2601073230398631E-3</c:v>
                </c:pt>
                <c:pt idx="182">
                  <c:v>7.7859338763091816E-3</c:v>
                </c:pt>
                <c:pt idx="183">
                  <c:v>7.3389809840803859E-3</c:v>
                </c:pt>
                <c:pt idx="184">
                  <c:v>6.9176859570874091E-3</c:v>
                </c:pt>
                <c:pt idx="185">
                  <c:v>6.520575823989001E-3</c:v>
                </c:pt>
                <c:pt idx="186">
                  <c:v>6.1462621797243287E-3</c:v>
                </c:pt>
                <c:pt idx="187">
                  <c:v>5.7934363297577774E-3</c:v>
                </c:pt>
                <c:pt idx="188">
                  <c:v>5.4608647132094899E-3</c:v>
                </c:pt>
                <c:pt idx="189">
                  <c:v>5.1473845888462206E-3</c:v>
                </c:pt>
                <c:pt idx="190">
                  <c:v>4.8518999688287974E-3</c:v>
                </c:pt>
                <c:pt idx="191">
                  <c:v>4.5733777859811968E-3</c:v>
                </c:pt>
                <c:pt idx="192">
                  <c:v>4.3108442811647055E-3</c:v>
                </c:pt>
                <c:pt idx="193">
                  <c:v>4.0633815981121436E-3</c:v>
                </c:pt>
                <c:pt idx="194">
                  <c:v>3.8301245738041126E-3</c:v>
                </c:pt>
                <c:pt idx="195">
                  <c:v>3.6102577131543637E-3</c:v>
                </c:pt>
                <c:pt idx="196">
                  <c:v>3.4030123374171107E-3</c:v>
                </c:pt>
                <c:pt idx="197">
                  <c:v>3.2076638963376173E-3</c:v>
                </c:pt>
                <c:pt idx="198">
                  <c:v>3.0235294346409461E-3</c:v>
                </c:pt>
                <c:pt idx="199">
                  <c:v>2.8499652039942411E-3</c:v>
                </c:pt>
                <c:pt idx="200">
                  <c:v>2.6863644120873535E-3</c:v>
                </c:pt>
                <c:pt idx="201">
                  <c:v>2.5321551009567247E-3</c:v>
                </c:pt>
                <c:pt idx="202">
                  <c:v>2.3867981471299596E-3</c:v>
                </c:pt>
                <c:pt idx="203">
                  <c:v>2.2497853765949673E-3</c:v>
                </c:pt>
                <c:pt idx="204">
                  <c:v>2.1206377879995331E-3</c:v>
                </c:pt>
                <c:pt idx="205">
                  <c:v>1.998903877865988E-3</c:v>
                </c:pt>
                <c:pt idx="206">
                  <c:v>1.8841580619627322E-3</c:v>
                </c:pt>
                <c:pt idx="207">
                  <c:v>1.77599918731088E-3</c:v>
                </c:pt>
                <c:pt idx="208">
                  <c:v>1.6740491296214778E-3</c:v>
                </c:pt>
                <c:pt idx="209">
                  <c:v>1.5779514712577145E-3</c:v>
                </c:pt>
                <c:pt idx="210">
                  <c:v>1.4873702550982997E-3</c:v>
                </c:pt>
                <c:pt idx="211">
                  <c:v>1.4019888099437729E-3</c:v>
                </c:pt>
                <c:pt idx="212">
                  <c:v>1.3215086433578142E-3</c:v>
                </c:pt>
                <c:pt idx="213">
                  <c:v>1.2456483980715601E-3</c:v>
                </c:pt>
                <c:pt idx="214">
                  <c:v>1.1741428683013126E-3</c:v>
                </c:pt>
                <c:pt idx="215">
                  <c:v>1.1067420725396052E-3</c:v>
                </c:pt>
                <c:pt idx="216">
                  <c:v>1.0432103795771689E-3</c:v>
                </c:pt>
                <c:pt idx="217">
                  <c:v>9.8332568469952425E-4</c:v>
                </c:pt>
                <c:pt idx="218">
                  <c:v>9.2687863317745536E-4</c:v>
                </c:pt>
                <c:pt idx="219">
                  <c:v>8.7367188833602845E-4</c:v>
                </c:pt>
                <c:pt idx="220">
                  <c:v>8.2351944164275133E-4</c:v>
                </c:pt>
                <c:pt idx="221">
                  <c:v>7.762459624024358E-4</c:v>
                </c:pt>
                <c:pt idx="222">
                  <c:v>7.3168618478484525E-4</c:v>
                </c:pt>
                <c:pt idx="223">
                  <c:v>6.8968433004178457E-4</c:v>
                </c:pt>
                <c:pt idx="224">
                  <c:v>6.5009356189335392E-4</c:v>
                </c:pt>
                <c:pt idx="225">
                  <c:v>6.1277547317909115E-4</c:v>
                </c:pt>
                <c:pt idx="226">
                  <c:v>5.7759960197906722E-4</c:v>
                </c:pt>
                <c:pt idx="227">
                  <c:v>5.4444297551305414E-4</c:v>
                </c:pt>
                <c:pt idx="228">
                  <c:v>5.1318968022303387E-4</c:v>
                </c:pt>
                <c:pt idx="229">
                  <c:v>4.837304565358698E-4</c:v>
                </c:pt>
                <c:pt idx="230">
                  <c:v>4.559623168892726E-4</c:v>
                </c:pt>
                <c:pt idx="231">
                  <c:v>4.2978818568554074E-4</c:v>
                </c:pt>
                <c:pt idx="232">
                  <c:v>4.0511655991422931E-4</c:v>
                </c:pt>
                <c:pt idx="233">
                  <c:v>3.8186118925717633E-4</c:v>
                </c:pt>
                <c:pt idx="234">
                  <c:v>3.5994077455744238E-4</c:v>
                </c:pt>
                <c:pt idx="235">
                  <c:v>3.3927868359792809E-4</c:v>
                </c:pt>
                <c:pt idx="236">
                  <c:v>3.198026831959596E-4</c:v>
                </c:pt>
                <c:pt idx="237">
                  <c:v>3.0144468667718581E-4</c:v>
                </c:pt>
                <c:pt idx="238">
                  <c:v>2.841405158458992E-4</c:v>
                </c:pt>
                <c:pt idx="239">
                  <c:v>2.6782967661958406E-4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49DF-4991-9378-C4CCAEBFE91E}"/>
            </c:ext>
          </c:extLst>
        </c:ser>
        <c:ser>
          <c:idx val="0"/>
          <c:order val="6"/>
          <c:tx>
            <c:strRef>
              <c:f>'Coordenograma Manual'!$F$2</c:f>
              <c:strCache>
                <c:ptCount val="1"/>
                <c:pt idx="0">
                  <c:v>ni</c:v>
                </c:pt>
              </c:strCache>
            </c:strRef>
          </c:tx>
          <c:spPr>
            <a:ln w="19050" cap="rnd">
              <a:solidFill>
                <a:schemeClr val="accent1">
                  <a:alpha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Manual'!$F$3:$F$242</c:f>
              <c:numCache>
                <c:formatCode>General</c:formatCode>
                <c:ptCount val="240"/>
                <c:pt idx="0">
                  <c:v>170.45719044972174</c:v>
                </c:pt>
                <c:pt idx="1">
                  <c:v>85.203402673668506</c:v>
                </c:pt>
                <c:pt idx="2">
                  <c:v>56.785476725579542</c:v>
                </c:pt>
                <c:pt idx="3">
                  <c:v>42.57651623447213</c:v>
                </c:pt>
                <c:pt idx="4">
                  <c:v>34.051141926158117</c:v>
                </c:pt>
                <c:pt idx="5">
                  <c:v>28.367560709239534</c:v>
                </c:pt>
                <c:pt idx="6">
                  <c:v>24.307861258832734</c:v>
                </c:pt>
                <c:pt idx="7">
                  <c:v>21.263087912495557</c:v>
                </c:pt>
                <c:pt idx="8">
                  <c:v>18.894931968869752</c:v>
                </c:pt>
                <c:pt idx="9">
                  <c:v>17.000408207142421</c:v>
                </c:pt>
                <c:pt idx="10">
                  <c:v>15.450344214068046</c:v>
                </c:pt>
                <c:pt idx="11">
                  <c:v>14.158625047481678</c:v>
                </c:pt>
                <c:pt idx="12">
                  <c:v>13.065632670501914</c:v>
                </c:pt>
                <c:pt idx="13">
                  <c:v>12.128782771068973</c:v>
                </c:pt>
                <c:pt idx="14">
                  <c:v>11.316846853673114</c:v>
                </c:pt>
                <c:pt idx="15">
                  <c:v>10.606403546681845</c:v>
                </c:pt>
                <c:pt idx="16">
                  <c:v>9.979542389434517</c:v>
                </c:pt>
                <c:pt idx="17">
                  <c:v>9.4223330236402045</c:v>
                </c:pt>
                <c:pt idx="18">
                  <c:v>8.9237777980160757</c:v>
                </c:pt>
                <c:pt idx="19">
                  <c:v>8.4750785915360076</c:v>
                </c:pt>
                <c:pt idx="20">
                  <c:v>8.0691131157501363</c:v>
                </c:pt>
                <c:pt idx="21">
                  <c:v>7.7000540437450065</c:v>
                </c:pt>
                <c:pt idx="22">
                  <c:v>7.3630874967659752</c:v>
                </c:pt>
                <c:pt idx="23">
                  <c:v>7.0542019091840649</c:v>
                </c:pt>
                <c:pt idx="24">
                  <c:v>6.770027565870981</c:v>
                </c:pt>
                <c:pt idx="25">
                  <c:v>6.5077131694105317</c:v>
                </c:pt>
                <c:pt idx="26">
                  <c:v>6.2648298368182784</c:v>
                </c:pt>
                <c:pt idx="27">
                  <c:v>6.0392956683935592</c:v>
                </c:pt>
                <c:pt idx="28">
                  <c:v>5.8293159230148417</c:v>
                </c:pt>
                <c:pt idx="29">
                  <c:v>5.6333351583769415</c:v>
                </c:pt>
                <c:pt idx="30">
                  <c:v>5.4499986344074154</c:v>
                </c:pt>
                <c:pt idx="31">
                  <c:v>5.2781209535429801</c:v>
                </c:pt>
                <c:pt idx="32">
                  <c:v>5.1166604027734106</c:v>
                </c:pt>
                <c:pt idx="33">
                  <c:v>4.9646978235602859</c:v>
                </c:pt>
                <c:pt idx="34">
                  <c:v>4.8214191040552627</c:v>
                </c:pt>
                <c:pt idx="35">
                  <c:v>4.6861005892819296</c:v>
                </c:pt>
                <c:pt idx="36">
                  <c:v>4.5580968572344078</c:v>
                </c:pt>
                <c:pt idx="37">
                  <c:v>4.436830425065212</c:v>
                </c:pt>
                <c:pt idx="38">
                  <c:v>4.3217830389369407</c:v>
                </c:pt>
                <c:pt idx="39">
                  <c:v>4.2124882703958084</c:v>
                </c:pt>
                <c:pt idx="40">
                  <c:v>4.1085251962030975</c:v>
                </c:pt>
                <c:pt idx="41">
                  <c:v>4.009512981047501</c:v>
                </c:pt>
                <c:pt idx="42">
                  <c:v>3.9151062161583083</c:v>
                </c:pt>
                <c:pt idx="43">
                  <c:v>3.8249908935621906</c:v>
                </c:pt>
                <c:pt idx="44">
                  <c:v>3.738880917105567</c:v>
                </c:pt>
                <c:pt idx="45">
                  <c:v>3.6565150685612897</c:v>
                </c:pt>
                <c:pt idx="46">
                  <c:v>3.5776543610406728</c:v>
                </c:pt>
                <c:pt idx="47">
                  <c:v>3.502079723229051</c:v>
                </c:pt>
                <c:pt idx="48">
                  <c:v>3.4295899671843895</c:v>
                </c:pt>
                <c:pt idx="49">
                  <c:v>3.3599999999999968</c:v>
                </c:pt>
                <c:pt idx="50">
                  <c:v>3.2931392458598978</c:v>
                </c:pt>
                <c:pt idx="51">
                  <c:v>3.228850250164681</c:v>
                </c:pt>
                <c:pt idx="52">
                  <c:v>3.1669874416809844</c:v>
                </c:pt>
                <c:pt idx="53">
                  <c:v>3.107416032229672</c:v>
                </c:pt>
                <c:pt idx="54">
                  <c:v>3.0500110364083373</c:v>
                </c:pt>
                <c:pt idx="55">
                  <c:v>2.9946563963432604</c:v>
                </c:pt>
                <c:pt idx="56">
                  <c:v>2.9412441985729072</c:v>
                </c:pt>
                <c:pt idx="57">
                  <c:v>2.8896739719434135</c:v>
                </c:pt>
                <c:pt idx="58">
                  <c:v>2.8398520569045935</c:v>
                </c:pt>
                <c:pt idx="59">
                  <c:v>2.7916910378762125</c:v>
                </c:pt>
                <c:pt idx="60">
                  <c:v>2.7451092314472478</c:v>
                </c:pt>
                <c:pt idx="61">
                  <c:v>2.7000302241041663</c:v>
                </c:pt>
                <c:pt idx="62">
                  <c:v>2.6563824539850329</c:v>
                </c:pt>
                <c:pt idx="63">
                  <c:v>2.6140988318443297</c:v>
                </c:pt>
                <c:pt idx="64">
                  <c:v>2.5731163970054056</c:v>
                </c:pt>
                <c:pt idx="65">
                  <c:v>2.533376004590278</c:v>
                </c:pt>
                <c:pt idx="66">
                  <c:v>2.4948220407583528</c:v>
                </c:pt>
                <c:pt idx="67">
                  <c:v>2.4574021630714844</c:v>
                </c:pt>
                <c:pt idx="68">
                  <c:v>2.4210670634357192</c:v>
                </c:pt>
                <c:pt idx="69">
                  <c:v>2.385770251362485</c:v>
                </c:pt>
                <c:pt idx="70">
                  <c:v>2.351467855545629</c:v>
                </c:pt>
                <c:pt idx="71">
                  <c:v>2.3181184419738039</c:v>
                </c:pt>
                <c:pt idx="72">
                  <c:v>2.2856828469924095</c:v>
                </c:pt>
                <c:pt idx="73">
                  <c:v>2.2541240239011651</c:v>
                </c:pt>
                <c:pt idx="74">
                  <c:v>2.2234069018237737</c:v>
                </c:pt>
                <c:pt idx="75">
                  <c:v>2.193498255719545</c:v>
                </c:pt>
                <c:pt idx="76">
                  <c:v>2.1643665865239079</c:v>
                </c:pt>
                <c:pt idx="77">
                  <c:v>2.1359820105089189</c:v>
                </c:pt>
                <c:pt idx="78">
                  <c:v>2.1083161570467945</c:v>
                </c:pt>
                <c:pt idx="79">
                  <c:v>2.0813420740411113</c:v>
                </c:pt>
                <c:pt idx="80">
                  <c:v>2.0550341403631842</c:v>
                </c:pt>
                <c:pt idx="81">
                  <c:v>2.0293679846954542</c:v>
                </c:pt>
                <c:pt idx="82">
                  <c:v>2.0043204102416925</c:v>
                </c:pt>
                <c:pt idx="83">
                  <c:v>1.9798693248149999</c:v>
                </c:pt>
                <c:pt idx="84">
                  <c:v>1.9559936758608094</c:v>
                </c:pt>
                <c:pt idx="85">
                  <c:v>1.9326733900131057</c:v>
                </c:pt>
                <c:pt idx="86">
                  <c:v>1.9098893168192657</c:v>
                </c:pt>
                <c:pt idx="87">
                  <c:v>1.8876231763017752</c:v>
                </c:pt>
                <c:pt idx="88">
                  <c:v>1.8658575100551216</c:v>
                </c:pt>
                <c:pt idx="89">
                  <c:v>1.8445756356029364</c:v>
                </c:pt>
                <c:pt idx="90">
                  <c:v>1.8237616037644993</c:v>
                </c:pt>
                <c:pt idx="91">
                  <c:v>1.8034001588017166</c:v>
                </c:pt>
                <c:pt idx="92">
                  <c:v>1.7834767011372747</c:v>
                </c:pt>
                <c:pt idx="93">
                  <c:v>1.7639772524524555</c:v>
                </c:pt>
                <c:pt idx="94">
                  <c:v>1.7448884229893282</c:v>
                </c:pt>
                <c:pt idx="95">
                  <c:v>1.7261973808965327</c:v>
                </c:pt>
                <c:pt idx="96">
                  <c:v>1.7078918234712102</c:v>
                </c:pt>
                <c:pt idx="97">
                  <c:v>1.6899599501616331</c:v>
                </c:pt>
                <c:pt idx="98">
                  <c:v>1.6723904372060332</c:v>
                </c:pt>
                <c:pt idx="99">
                  <c:v>1.655172413793105</c:v>
                </c:pt>
                <c:pt idx="100">
                  <c:v>1.6382954396387179</c:v>
                </c:pt>
                <c:pt idx="101">
                  <c:v>1.621749483881652</c:v>
                </c:pt>
                <c:pt idx="102">
                  <c:v>1.6055249052086704</c:v>
                </c:pt>
                <c:pt idx="103">
                  <c:v>1.5896124331262875</c:v>
                </c:pt>
                <c:pt idx="104">
                  <c:v>1.5740031503026559</c:v>
                </c:pt>
                <c:pt idx="105">
                  <c:v>1.5586884759090089</c:v>
                </c:pt>
                <c:pt idx="106">
                  <c:v>1.5436601498952318</c:v>
                </c:pt>
                <c:pt idx="107">
                  <c:v>1.5289102181389724</c:v>
                </c:pt>
                <c:pt idx="108">
                  <c:v>1.5144310184122765</c:v>
                </c:pt>
                <c:pt idx="109">
                  <c:v>1.5002151671136508</c:v>
                </c:pt>
                <c:pt idx="110">
                  <c:v>1.4862555467173288</c:v>
                </c:pt>
                <c:pt idx="111">
                  <c:v>1.472545293894892</c:v>
                </c:pt>
                <c:pt idx="112">
                  <c:v>1.4590777882675761</c:v>
                </c:pt>
                <c:pt idx="113">
                  <c:v>1.4458466417506262</c:v>
                </c:pt>
                <c:pt idx="114">
                  <c:v>1.4328456884535188</c:v>
                </c:pt>
                <c:pt idx="115">
                  <c:v>1.4200689751026327</c:v>
                </c:pt>
                <c:pt idx="116">
                  <c:v>1.4075107519550838</c:v>
                </c:pt>
                <c:pt idx="117">
                  <c:v>1.3951654641745042</c:v>
                </c:pt>
                <c:pt idx="118">
                  <c:v>1.3830277436417147</c:v>
                </c:pt>
                <c:pt idx="119">
                  <c:v>1.3710924011748358</c:v>
                </c:pt>
                <c:pt idx="120">
                  <c:v>1.3593544191351814</c:v>
                </c:pt>
                <c:pt idx="121">
                  <c:v>1.3478089443968102</c:v>
                </c:pt>
                <c:pt idx="122">
                  <c:v>1.3364512816590037</c:v>
                </c:pt>
                <c:pt idx="123">
                  <c:v>1.3252768870823572</c:v>
                </c:pt>
                <c:pt idx="124">
                  <c:v>1.3142813622303111</c:v>
                </c:pt>
                <c:pt idx="125">
                  <c:v>1.3034604482992147</c:v>
                </c:pt>
                <c:pt idx="126">
                  <c:v>1.292810020620961</c:v>
                </c:pt>
                <c:pt idx="127">
                  <c:v>1.2823260834233143</c:v>
                </c:pt>
                <c:pt idx="128">
                  <c:v>1.2720047648339439</c:v>
                </c:pt>
                <c:pt idx="129">
                  <c:v>1.2618423121150522</c:v>
                </c:pt>
                <c:pt idx="130">
                  <c:v>1.2518350871162451</c:v>
                </c:pt>
                <c:pt idx="131">
                  <c:v>1.2419795619341085</c:v>
                </c:pt>
                <c:pt idx="132">
                  <c:v>1.2322723147675791</c:v>
                </c:pt>
                <c:pt idx="133">
                  <c:v>1.2227100259589099</c:v>
                </c:pt>
                <c:pt idx="134">
                  <c:v>1.2132894742105715</c:v>
                </c:pt>
                <c:pt idx="135">
                  <c:v>1.204007532969076</c:v>
                </c:pt>
                <c:pt idx="136">
                  <c:v>1.1948611669671632</c:v>
                </c:pt>
                <c:pt idx="137">
                  <c:v>1.1858474289163292</c:v>
                </c:pt>
                <c:pt idx="138">
                  <c:v>1.1769634563421241</c:v>
                </c:pt>
                <c:pt idx="139">
                  <c:v>1.1682064685550806</c:v>
                </c:pt>
                <c:pt idx="140">
                  <c:v>1.1595737637505248</c:v>
                </c:pt>
                <c:pt idx="141">
                  <c:v>1.1510627162309599</c:v>
                </c:pt>
                <c:pt idx="142">
                  <c:v>1.1426707737449679</c:v>
                </c:pt>
                <c:pt idx="143">
                  <c:v>1.1343954549369901</c:v>
                </c:pt>
                <c:pt idx="144">
                  <c:v>1.1262343469026648</c:v>
                </c:pt>
                <c:pt idx="145">
                  <c:v>1.1181851028445799</c:v>
                </c:pt>
                <c:pt idx="146">
                  <c:v>1.1102454398237602</c:v>
                </c:pt>
                <c:pt idx="147">
                  <c:v>1.1024131366022791</c:v>
                </c:pt>
                <c:pt idx="148">
                  <c:v>1.0946860315727507</c:v>
                </c:pt>
                <c:pt idx="149">
                  <c:v>1.0870620207706494</c:v>
                </c:pt>
                <c:pt idx="150">
                  <c:v>1.0795390559656035</c:v>
                </c:pt>
                <c:pt idx="151">
                  <c:v>1.0721151428280391</c:v>
                </c:pt>
                <c:pt idx="152">
                  <c:v>1.0647883391677089</c:v>
                </c:pt>
                <c:pt idx="153">
                  <c:v>1.0575567532408634</c:v>
                </c:pt>
                <c:pt idx="154">
                  <c:v>1.0504185421229446</c:v>
                </c:pt>
                <c:pt idx="155">
                  <c:v>1.0433719101438603</c:v>
                </c:pt>
                <c:pt idx="156">
                  <c:v>1.0364151073830743</c:v>
                </c:pt>
                <c:pt idx="157">
                  <c:v>1.0295464282218303</c:v>
                </c:pt>
                <c:pt idx="158">
                  <c:v>1.0227642099500149</c:v>
                </c:pt>
                <c:pt idx="159">
                  <c:v>1.016066831425269</c:v>
                </c:pt>
                <c:pt idx="160">
                  <c:v>1.0094527117820484</c:v>
                </c:pt>
                <c:pt idx="161">
                  <c:v>1.0029203091885273</c:v>
                </c:pt>
                <c:pt idx="162">
                  <c:v>0.9964681196492412</c:v>
                </c:pt>
                <c:pt idx="163">
                  <c:v>0.99009467585153499</c:v>
                </c:pt>
                <c:pt idx="164">
                  <c:v>0.98379854605396377</c:v>
                </c:pt>
                <c:pt idx="165">
                  <c:v>0.97757833301487329</c:v>
                </c:pt>
                <c:pt idx="166">
                  <c:v>0.97143267295947544</c:v>
                </c:pt>
                <c:pt idx="167">
                  <c:v>0.96536023458380038</c:v>
                </c:pt>
                <c:pt idx="168">
                  <c:v>0.95935971809403142</c:v>
                </c:pt>
                <c:pt idx="169">
                  <c:v>0.95342985427972837</c:v>
                </c:pt>
                <c:pt idx="170">
                  <c:v>0.94756940361958075</c:v>
                </c:pt>
                <c:pt idx="171">
                  <c:v>0.94177715541835438</c:v>
                </c:pt>
                <c:pt idx="172">
                  <c:v>0.93605192697376083</c:v>
                </c:pt>
                <c:pt idx="173">
                  <c:v>0.93039256277206717</c:v>
                </c:pt>
                <c:pt idx="174">
                  <c:v>0.92479793371128183</c:v>
                </c:pt>
                <c:pt idx="175">
                  <c:v>0.91926693635081169</c:v>
                </c:pt>
                <c:pt idx="176">
                  <c:v>0.91379849218657616</c:v>
                </c:pt>
                <c:pt idx="177">
                  <c:v>0.90839154695053459</c:v>
                </c:pt>
                <c:pt idx="178">
                  <c:v>0.90304506993370637</c:v>
                </c:pt>
                <c:pt idx="179">
                  <c:v>0.89775805333175085</c:v>
                </c:pt>
                <c:pt idx="180">
                  <c:v>0.89252951161224192</c:v>
                </c:pt>
                <c:pt idx="181">
                  <c:v>0.887358480902803</c:v>
                </c:pt>
                <c:pt idx="182">
                  <c:v>0.882244018399304</c:v>
                </c:pt>
                <c:pt idx="183">
                  <c:v>0.87718520179334947</c:v>
                </c:pt>
                <c:pt idx="184">
                  <c:v>0.87218112871834608</c:v>
                </c:pt>
                <c:pt idx="185">
                  <c:v>0.86723091621343251</c:v>
                </c:pt>
                <c:pt idx="186">
                  <c:v>0.86233370020460132</c:v>
                </c:pt>
                <c:pt idx="187">
                  <c:v>0.85748863500239836</c:v>
                </c:pt>
                <c:pt idx="188">
                  <c:v>0.85269489281555366</c:v>
                </c:pt>
                <c:pt idx="189">
                  <c:v>0.84795166327998051</c:v>
                </c:pt>
                <c:pt idx="190">
                  <c:v>0.84325815300256157</c:v>
                </c:pt>
                <c:pt idx="191">
                  <c:v>0.8386135851192027</c:v>
                </c:pt>
                <c:pt idx="192">
                  <c:v>0.83401719886661185</c:v>
                </c:pt>
                <c:pt idx="193">
                  <c:v>0.82946824916733741</c:v>
                </c:pt>
                <c:pt idx="194">
                  <c:v>0.824966006227563</c:v>
                </c:pt>
                <c:pt idx="195">
                  <c:v>0.82050975514722302</c:v>
                </c:pt>
                <c:pt idx="196">
                  <c:v>0.81609879554198028</c:v>
                </c:pt>
                <c:pt idx="197">
                  <c:v>0.8117324411766782</c:v>
                </c:pt>
                <c:pt idx="198">
                  <c:v>0.80741001960982506</c:v>
                </c:pt>
                <c:pt idx="199">
                  <c:v>0.80313087184875631</c:v>
                </c:pt>
                <c:pt idx="200">
                  <c:v>0.79889435201508519</c:v>
                </c:pt>
                <c:pt idx="201">
                  <c:v>0.79469982702009456</c:v>
                </c:pt>
                <c:pt idx="202">
                  <c:v>0.79054667624971442</c:v>
                </c:pt>
                <c:pt idx="203">
                  <c:v>0.7864342912587805</c:v>
                </c:pt>
                <c:pt idx="204">
                  <c:v>0.78236207547422032</c:v>
                </c:pt>
                <c:pt idx="205">
                  <c:v>0.77832944390690395</c:v>
                </c:pt>
                <c:pt idx="206">
                  <c:v>0.77433582287183644</c:v>
                </c:pt>
                <c:pt idx="207">
                  <c:v>0.77038064971642151</c:v>
                </c:pt>
                <c:pt idx="208">
                  <c:v>0.76646337255653252</c:v>
                </c:pt>
                <c:pt idx="209">
                  <c:v>0.76258345002011407</c:v>
                </c:pt>
                <c:pt idx="210">
                  <c:v>0.75874035099809078</c:v>
                </c:pt>
                <c:pt idx="211">
                  <c:v>0.7549335544023047</c:v>
                </c:pt>
                <c:pt idx="212">
                  <c:v>0.75116254893029122</c:v>
                </c:pt>
                <c:pt idx="213">
                  <c:v>0.74742683283663547</c:v>
                </c:pt>
                <c:pt idx="214">
                  <c:v>0.74372591371071839</c:v>
                </c:pt>
                <c:pt idx="215">
                  <c:v>0.74005930826063471</c:v>
                </c:pt>
                <c:pt idx="216">
                  <c:v>0.73642654210307967</c:v>
                </c:pt>
                <c:pt idx="217">
                  <c:v>0.7328271495590295</c:v>
                </c:pt>
                <c:pt idx="218">
                  <c:v>0.72926067345500634</c:v>
                </c:pt>
                <c:pt idx="219">
                  <c:v>0.72572666492977711</c:v>
                </c:pt>
                <c:pt idx="220">
                  <c:v>0.72222468324629008</c:v>
                </c:pt>
                <c:pt idx="221">
                  <c:v>0.71875429560869875</c:v>
                </c:pt>
                <c:pt idx="222">
                  <c:v>0.71531507698430685</c:v>
                </c:pt>
                <c:pt idx="223">
                  <c:v>0.71190660993028554</c:v>
                </c:pt>
                <c:pt idx="224">
                  <c:v>0.70852848442500882</c:v>
                </c:pt>
                <c:pt idx="225">
                  <c:v>0.70518029770386592</c:v>
                </c:pt>
                <c:pt idx="226">
                  <c:v>0.70186165409941859</c:v>
                </c:pt>
                <c:pt idx="227">
                  <c:v>0.69857216488576013</c:v>
                </c:pt>
                <c:pt idx="228">
                  <c:v>0.69531144812694901</c:v>
                </c:pt>
                <c:pt idx="229">
                  <c:v>0.69207912852941056</c:v>
                </c:pt>
                <c:pt idx="230">
                  <c:v>0.68887483729815369</c:v>
                </c:pt>
                <c:pt idx="231">
                  <c:v>0.68569821199671821</c:v>
                </c:pt>
                <c:pt idx="232">
                  <c:v>0.68254889641072836</c:v>
                </c:pt>
                <c:pt idx="233">
                  <c:v>0.67942654041493822</c:v>
                </c:pt>
                <c:pt idx="234">
                  <c:v>0.67633079984367894</c:v>
                </c:pt>
                <c:pt idx="235">
                  <c:v>0.67326133636459373</c:v>
                </c:pt>
                <c:pt idx="236">
                  <c:v>0.67021781735557473</c:v>
                </c:pt>
                <c:pt idx="237">
                  <c:v>0.66719991578479909</c:v>
                </c:pt>
                <c:pt idx="238">
                  <c:v>0.66420731009377598</c:v>
                </c:pt>
                <c:pt idx="239">
                  <c:v>0.66123968408332001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9DF-4991-9378-C4CCAEBFE91E}"/>
            </c:ext>
          </c:extLst>
        </c:ser>
        <c:ser>
          <c:idx val="1"/>
          <c:order val="7"/>
          <c:tx>
            <c:strRef>
              <c:f>'Coordenograma Manual'!$G$2</c:f>
              <c:strCache>
                <c:ptCount val="1"/>
                <c:pt idx="0">
                  <c:v>ei</c:v>
                </c:pt>
              </c:strCache>
            </c:strRef>
          </c:tx>
          <c:spPr>
            <a:ln w="19050" cap="rnd">
              <a:solidFill>
                <a:schemeClr val="accent2">
                  <a:alpha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Manual'!$G$3:$G$242</c:f>
              <c:numCache>
                <c:formatCode>General</c:formatCode>
                <c:ptCount val="240"/>
                <c:pt idx="0">
                  <c:v>945.81280788177412</c:v>
                </c:pt>
                <c:pt idx="1">
                  <c:v>458.93192677071858</c:v>
                </c:pt>
                <c:pt idx="2">
                  <c:v>296.82720086434034</c:v>
                </c:pt>
                <c:pt idx="3">
                  <c:v>215.91626654829901</c:v>
                </c:pt>
                <c:pt idx="4">
                  <c:v>167.48257268190639</c:v>
                </c:pt>
                <c:pt idx="5">
                  <c:v>135.2872041080889</c:v>
                </c:pt>
                <c:pt idx="6">
                  <c:v>112.37057086206953</c:v>
                </c:pt>
                <c:pt idx="7">
                  <c:v>95.252830589737101</c:v>
                </c:pt>
                <c:pt idx="8">
                  <c:v>82.000696120890169</c:v>
                </c:pt>
                <c:pt idx="9">
                  <c:v>71.454158585969466</c:v>
                </c:pt>
                <c:pt idx="10">
                  <c:v>62.874998000092937</c:v>
                </c:pt>
                <c:pt idx="11">
                  <c:v>55.771038622022125</c:v>
                </c:pt>
                <c:pt idx="12">
                  <c:v>49.801517283041875</c:v>
                </c:pt>
                <c:pt idx="13">
                  <c:v>44.723008197667156</c:v>
                </c:pt>
                <c:pt idx="14">
                  <c:v>40.356977894884913</c:v>
                </c:pt>
                <c:pt idx="15">
                  <c:v>36.569507089134348</c:v>
                </c:pt>
                <c:pt idx="16">
                  <c:v>33.258169571656722</c:v>
                </c:pt>
                <c:pt idx="17">
                  <c:v>30.343284833581528</c:v>
                </c:pt>
                <c:pt idx="18">
                  <c:v>27.761933043047581</c:v>
                </c:pt>
                <c:pt idx="19">
                  <c:v>25.463765549688684</c:v>
                </c:pt>
                <c:pt idx="20">
                  <c:v>23.408012404705179</c:v>
                </c:pt>
                <c:pt idx="21">
                  <c:v>21.561306025377181</c:v>
                </c:pt>
                <c:pt idx="22">
                  <c:v>19.896072609798154</c:v>
                </c:pt>
                <c:pt idx="23">
                  <c:v>18.389325705698127</c:v>
                </c:pt>
                <c:pt idx="24">
                  <c:v>17.021749328016938</c:v>
                </c:pt>
                <c:pt idx="25">
                  <c:v>15.776992667724336</c:v>
                </c:pt>
                <c:pt idx="26">
                  <c:v>14.641121532952193</c:v>
                </c:pt>
                <c:pt idx="27">
                  <c:v>13.602187337541952</c:v>
                </c:pt>
                <c:pt idx="28">
                  <c:v>12.649885261800042</c:v>
                </c:pt>
                <c:pt idx="29">
                  <c:v>11.775280777044278</c:v>
                </c:pt>
                <c:pt idx="30">
                  <c:v>10.970589095510451</c:v>
                </c:pt>
                <c:pt idx="31">
                  <c:v>10.228995966871354</c:v>
                </c:pt>
                <c:pt idx="32">
                  <c:v>9.5445110496671486</c:v>
                </c:pt>
                <c:pt idx="33">
                  <c:v>8.9118471499540952</c:v>
                </c:pt>
                <c:pt idx="34">
                  <c:v>8.3263201527449624</c:v>
                </c:pt>
                <c:pt idx="35">
                  <c:v>7.783765621765717</c:v>
                </c:pt>
                <c:pt idx="36">
                  <c:v>7.2804689132879892</c:v>
                </c:pt>
                <c:pt idx="37">
                  <c:v>6.8131063139239068</c:v>
                </c:pt>
                <c:pt idx="38">
                  <c:v>6.3786952231371039</c:v>
                </c:pt>
                <c:pt idx="39">
                  <c:v>5.9745517971451658</c:v>
                </c:pt>
                <c:pt idx="40">
                  <c:v>5.5982547798998192</c:v>
                </c:pt>
                <c:pt idx="41">
                  <c:v>5.2476144896242989</c:v>
                </c:pt>
                <c:pt idx="42">
                  <c:v>4.9206461213614654</c:v>
                </c:pt>
                <c:pt idx="43">
                  <c:v>4.6155466786912482</c:v>
                </c:pt>
                <c:pt idx="44">
                  <c:v>4.3306749699375748</c:v>
                </c:pt>
                <c:pt idx="45">
                  <c:v>4.0645342024431619</c:v>
                </c:pt>
                <c:pt idx="46">
                  <c:v>3.8157567879307419</c:v>
                </c:pt>
                <c:pt idx="47">
                  <c:v>3.5830910365118469</c:v>
                </c:pt>
                <c:pt idx="48">
                  <c:v>3.3653894695893749</c:v>
                </c:pt>
                <c:pt idx="49">
                  <c:v>3.161598525099178</c:v>
                </c:pt>
                <c:pt idx="50">
                  <c:v>2.970749464108875</c:v>
                </c:pt>
                <c:pt idx="51">
                  <c:v>2.7919503172053535</c:v>
                </c:pt>
                <c:pt idx="52">
                  <c:v>2.6243787335183804</c:v>
                </c:pt>
                <c:pt idx="53">
                  <c:v>2.467275615571666</c:v>
                </c:pt>
                <c:pt idx="54">
                  <c:v>2.319939440165113</c:v>
                </c:pt>
                <c:pt idx="55">
                  <c:v>2.1817211797677047</c:v>
                </c:pt>
                <c:pt idx="56">
                  <c:v>2.0520197509198517</c:v>
                </c:pt>
                <c:pt idx="57">
                  <c:v>1.9302779262959615</c:v>
                </c:pt>
                <c:pt idx="58">
                  <c:v>1.8159786556792739</c:v>
                </c:pt>
                <c:pt idx="59">
                  <c:v>1.7086417484099663</c:v>
                </c:pt>
                <c:pt idx="60">
                  <c:v>1.6078208760963675</c:v>
                </c:pt>
                <c:pt idx="61">
                  <c:v>1.5131008597018616</c:v>
                </c:pt>
                <c:pt idx="62">
                  <c:v>1.424095209680883</c:v>
                </c:pt>
                <c:pt idx="63">
                  <c:v>1.3404438917553061</c:v>
                </c:pt>
                <c:pt idx="64">
                  <c:v>1.261811294296584</c:v>
                </c:pt>
                <c:pt idx="65">
                  <c:v>1.1878843761916873</c:v>
                </c:pt>
                <c:pt idx="66">
                  <c:v>1.1183709765912127</c:v>
                </c:pt>
                <c:pt idx="67">
                  <c:v>1.0529982701237366</c:v>
                </c:pt>
                <c:pt idx="68">
                  <c:v>0.99151135306020921</c:v>
                </c:pt>
                <c:pt idx="69">
                  <c:v>0.93367194756683969</c:v>
                </c:pt>
                <c:pt idx="70">
                  <c:v>0.87925721262914203</c:v>
                </c:pt>
                <c:pt idx="71">
                  <c:v>0.8280586514928796</c:v>
                </c:pt>
                <c:pt idx="72">
                  <c:v>0.77988110657447673</c:v>
                </c:pt>
                <c:pt idx="73">
                  <c:v>0.73454183376524229</c:v>
                </c:pt>
                <c:pt idx="74">
                  <c:v>0.69186964890854008</c:v>
                </c:pt>
                <c:pt idx="75">
                  <c:v>0.65170413998232501</c:v>
                </c:pt>
                <c:pt idx="76">
                  <c:v>0.61389493918444893</c:v>
                </c:pt>
                <c:pt idx="77">
                  <c:v>0.57830104970623897</c:v>
                </c:pt>
                <c:pt idx="78">
                  <c:v>0.5447902225008292</c:v>
                </c:pt>
                <c:pt idx="79">
                  <c:v>0.51323837881500611</c:v>
                </c:pt>
                <c:pt idx="80">
                  <c:v>0.48352907466423894</c:v>
                </c:pt>
                <c:pt idx="81">
                  <c:v>0.45555300379635155</c:v>
                </c:pt>
                <c:pt idx="82">
                  <c:v>0.42920753601548928</c:v>
                </c:pt>
                <c:pt idx="83">
                  <c:v>0.40439628802932209</c:v>
                </c:pt>
                <c:pt idx="84">
                  <c:v>0.38102872424298456</c:v>
                </c:pt>
                <c:pt idx="85">
                  <c:v>0.35901978515665567</c:v>
                </c:pt>
                <c:pt idx="86">
                  <c:v>0.33828954123307153</c:v>
                </c:pt>
                <c:pt idx="87">
                  <c:v>0.31876287028939559</c:v>
                </c:pt>
                <c:pt idx="88">
                  <c:v>0.30036915663713787</c:v>
                </c:pt>
                <c:pt idx="89">
                  <c:v>0.28304201034632803</c:v>
                </c:pt>
                <c:pt idx="90">
                  <c:v>0.26671900514776087</c:v>
                </c:pt>
                <c:pt idx="91">
                  <c:v>0.25134143361146605</c:v>
                </c:pt>
                <c:pt idx="92">
                  <c:v>0.23685407835205127</c:v>
                </c:pt>
                <c:pt idx="93">
                  <c:v>0.22320499811347858</c:v>
                </c:pt>
                <c:pt idx="94">
                  <c:v>0.21034532767829273</c:v>
                </c:pt>
                <c:pt idx="95">
                  <c:v>0.1982290906302939</c:v>
                </c:pt>
                <c:pt idx="96">
                  <c:v>0.18681302407602379</c:v>
                </c:pt>
                <c:pt idx="97">
                  <c:v>0.17605641449998635</c:v>
                </c:pt>
                <c:pt idx="98">
                  <c:v>0.16592094399193286</c:v>
                </c:pt>
                <c:pt idx="99">
                  <c:v>0.15637054614242391</c:v>
                </c:pt>
                <c:pt idx="100">
                  <c:v>0.14737127095578242</c:v>
                </c:pt>
                <c:pt idx="101">
                  <c:v>0.13889115817795061</c:v>
                </c:pt>
                <c:pt idx="102">
                  <c:v>0.1309001184811002</c:v>
                </c:pt>
                <c:pt idx="103">
                  <c:v>0.1233698219874991</c:v>
                </c:pt>
                <c:pt idx="104">
                  <c:v>0.11627359365246112</c:v>
                </c:pt>
                <c:pt idx="105">
                  <c:v>0.10958631506049842</c:v>
                </c:pt>
                <c:pt idx="106">
                  <c:v>0.10328433222034986</c:v>
                </c:pt>
                <c:pt idx="107">
                  <c:v>9.7345368973606558E-2</c:v>
                </c:pt>
                <c:pt idx="108">
                  <c:v>9.1748445658435138E-2</c:v>
                </c:pt>
                <c:pt idx="109">
                  <c:v>8.6473802694602378E-2</c:v>
                </c:pt>
                <c:pt idx="110">
                  <c:v>8.1502828778818273E-2</c:v>
                </c:pt>
                <c:pt idx="111">
                  <c:v>7.681799340049901E-2</c:v>
                </c:pt>
                <c:pt idx="112">
                  <c:v>7.240278340755589E-2</c:v>
                </c:pt>
                <c:pt idx="113">
                  <c:v>6.824164336987415E-2</c:v>
                </c:pt>
                <c:pt idx="114">
                  <c:v>6.431991950487756E-2</c:v>
                </c:pt>
                <c:pt idx="115">
                  <c:v>6.062380694508978E-2</c:v>
                </c:pt>
                <c:pt idx="116">
                  <c:v>5.7140300142001818E-2</c:v>
                </c:pt>
                <c:pt idx="117">
                  <c:v>5.3857146213925837E-2</c:v>
                </c:pt>
                <c:pt idx="118">
                  <c:v>5.0762801057942182E-2</c:v>
                </c:pt>
                <c:pt idx="119">
                  <c:v>4.784638805760047E-2</c:v>
                </c:pt>
                <c:pt idx="120">
                  <c:v>4.5097659228790547E-2</c:v>
                </c:pt>
                <c:pt idx="121">
                  <c:v>4.2506958656209286E-2</c:v>
                </c:pt>
                <c:pt idx="122">
                  <c:v>4.0065188082178821E-2</c:v>
                </c:pt>
                <c:pt idx="123">
                  <c:v>3.776377451826668E-2</c:v>
                </c:pt>
                <c:pt idx="124">
                  <c:v>3.5594639758270166E-2</c:v>
                </c:pt>
                <c:pt idx="125">
                  <c:v>3.3550171678695083E-2</c:v>
                </c:pt>
                <c:pt idx="126">
                  <c:v>3.1623197219927346E-2</c:v>
                </c:pt>
                <c:pt idx="127">
                  <c:v>2.980695694789702E-2</c:v>
                </c:pt>
                <c:pt idx="128">
                  <c:v>2.809508110220409E-2</c:v>
                </c:pt>
                <c:pt idx="129">
                  <c:v>2.6481567042443876E-2</c:v>
                </c:pt>
                <c:pt idx="130">
                  <c:v>2.496075800986549E-2</c:v>
                </c:pt>
                <c:pt idx="131">
                  <c:v>2.3527323126545856E-2</c:v>
                </c:pt>
                <c:pt idx="132">
                  <c:v>2.2176238558987611E-2</c:v>
                </c:pt>
                <c:pt idx="133">
                  <c:v>2.0902769777475527E-2</c:v>
                </c:pt>
                <c:pt idx="134">
                  <c:v>1.9702454846671689E-2</c:v>
                </c:pt>
                <c:pt idx="135">
                  <c:v>1.8571088686814619E-2</c:v>
                </c:pt>
                <c:pt idx="136">
                  <c:v>1.7504708248529528E-2</c:v>
                </c:pt>
                <c:pt idx="137">
                  <c:v>1.6499578547670819E-2</c:v>
                </c:pt>
                <c:pt idx="138">
                  <c:v>1.5552179509821126E-2</c:v>
                </c:pt>
                <c:pt idx="139">
                  <c:v>1.4659193577075038E-2</c:v>
                </c:pt>
                <c:pt idx="140">
                  <c:v>1.3817494032555364E-2</c:v>
                </c:pt>
                <c:pt idx="141">
                  <c:v>1.3024134000755947E-2</c:v>
                </c:pt>
                <c:pt idx="142">
                  <c:v>1.2276336084289498E-2</c:v>
                </c:pt>
                <c:pt idx="143">
                  <c:v>1.1571482599951872E-2</c:v>
                </c:pt>
                <c:pt idx="144">
                  <c:v>1.0907106379205585E-2</c:v>
                </c:pt>
                <c:pt idx="145">
                  <c:v>1.0280882100243598E-2</c:v>
                </c:pt>
                <c:pt idx="146">
                  <c:v>9.6906181207288052E-3</c:v>
                </c:pt>
                <c:pt idx="147">
                  <c:v>9.1342487821220314E-3</c:v>
                </c:pt>
                <c:pt idx="148">
                  <c:v>8.6098271582199931E-3</c:v>
                </c:pt>
                <c:pt idx="149">
                  <c:v>8.1155182221304464E-3</c:v>
                </c:pt>
                <c:pt idx="150">
                  <c:v>7.6495924074219176E-3</c:v>
                </c:pt>
                <c:pt idx="151">
                  <c:v>7.2104195406051761E-3</c:v>
                </c:pt>
                <c:pt idx="152">
                  <c:v>6.7964631234390211E-3</c:v>
                </c:pt>
                <c:pt idx="153">
                  <c:v>6.4062749448089169E-3</c:v>
                </c:pt>
                <c:pt idx="154">
                  <c:v>6.0384900031085435E-3</c:v>
                </c:pt>
                <c:pt idx="155">
                  <c:v>5.6918217211659027E-3</c:v>
                </c:pt>
                <c:pt idx="156">
                  <c:v>5.3650574368014538E-3</c:v>
                </c:pt>
                <c:pt idx="157">
                  <c:v>5.0570541530899609E-3</c:v>
                </c:pt>
                <c:pt idx="158">
                  <c:v>4.7667345333238815E-3</c:v>
                </c:pt>
                <c:pt idx="159">
                  <c:v>4.4930831265478297E-3</c:v>
                </c:pt>
                <c:pt idx="160">
                  <c:v>4.2351428103541084E-3</c:v>
                </c:pt>
                <c:pt idx="161">
                  <c:v>3.9920114384016745E-3</c:v>
                </c:pt>
                <c:pt idx="162">
                  <c:v>3.7628386808479493E-3</c:v>
                </c:pt>
                <c:pt idx="163">
                  <c:v>3.5468230465674133E-3</c:v>
                </c:pt>
                <c:pt idx="164">
                  <c:v>3.3432090766754132E-3</c:v>
                </c:pt>
                <c:pt idx="165">
                  <c:v>3.151284699482487E-3</c:v>
                </c:pt>
                <c:pt idx="166">
                  <c:v>2.9703787375758833E-3</c:v>
                </c:pt>
                <c:pt idx="167">
                  <c:v>2.7998585582631424E-3</c:v>
                </c:pt>
                <c:pt idx="168">
                  <c:v>2.639127859119344E-3</c:v>
                </c:pt>
                <c:pt idx="169">
                  <c:v>2.4876245808569033E-3</c:v>
                </c:pt>
                <c:pt idx="170">
                  <c:v>2.3448189401863544E-3</c:v>
                </c:pt>
                <c:pt idx="171">
                  <c:v>2.2102115757599143E-3</c:v>
                </c:pt>
                <c:pt idx="172">
                  <c:v>2.083331800688482E-3</c:v>
                </c:pt>
                <c:pt idx="173">
                  <c:v>1.9637359554983535E-3</c:v>
                </c:pt>
                <c:pt idx="174">
                  <c:v>1.8510058557478369E-3</c:v>
                </c:pt>
                <c:pt idx="175">
                  <c:v>1.7447473288573162E-3</c:v>
                </c:pt>
                <c:pt idx="176">
                  <c:v>1.6445888350203513E-3</c:v>
                </c:pt>
                <c:pt idx="177">
                  <c:v>1.5501801673592846E-3</c:v>
                </c:pt>
                <c:pt idx="178">
                  <c:v>1.4611912267675717E-3</c:v>
                </c:pt>
                <c:pt idx="179">
                  <c:v>1.3773108671436545E-3</c:v>
                </c:pt>
                <c:pt idx="180">
                  <c:v>1.2982458069686598E-3</c:v>
                </c:pt>
                <c:pt idx="181">
                  <c:v>1.2237196034133131E-3</c:v>
                </c:pt>
                <c:pt idx="182">
                  <c:v>1.1534716853791381E-3</c:v>
                </c:pt>
                <c:pt idx="183">
                  <c:v>1.087256442085983E-3</c:v>
                </c:pt>
                <c:pt idx="184">
                  <c:v>1.0248423640129495E-3</c:v>
                </c:pt>
                <c:pt idx="185">
                  <c:v>9.6601123318355571E-4</c:v>
                </c:pt>
                <c:pt idx="186">
                  <c:v>9.1055735995915991E-4</c:v>
                </c:pt>
                <c:pt idx="187">
                  <c:v>8.5828686366781889E-4</c:v>
                </c:pt>
                <c:pt idx="188">
                  <c:v>8.0901699454955412E-4</c:v>
                </c:pt>
                <c:pt idx="189">
                  <c:v>7.6257549464388448E-4</c:v>
                </c:pt>
                <c:pt idx="190">
                  <c:v>7.1879999538204404E-4</c:v>
                </c:pt>
                <c:pt idx="191">
                  <c:v>6.7753744977499218E-4</c:v>
                </c:pt>
                <c:pt idx="192">
                  <c:v>6.3864359720958608E-4</c:v>
                </c:pt>
                <c:pt idx="193">
                  <c:v>6.0198245897957682E-4</c:v>
                </c:pt>
                <c:pt idx="194">
                  <c:v>5.6742586278579451E-4</c:v>
                </c:pt>
                <c:pt idx="195">
                  <c:v>5.3485299454138723E-4</c:v>
                </c:pt>
                <c:pt idx="196">
                  <c:v>5.0414997591364597E-4</c:v>
                </c:pt>
                <c:pt idx="197">
                  <c:v>4.7520946612409151E-4</c:v>
                </c:pt>
                <c:pt idx="198">
                  <c:v>4.4793028661347354E-4</c:v>
                </c:pt>
                <c:pt idx="199">
                  <c:v>4.2221706725840605E-4</c:v>
                </c:pt>
                <c:pt idx="200">
                  <c:v>3.979799129018301E-4</c:v>
                </c:pt>
                <c:pt idx="201">
                  <c:v>3.7513408903062587E-4</c:v>
                </c:pt>
                <c:pt idx="202">
                  <c:v>3.535997255007347E-4</c:v>
                </c:pt>
                <c:pt idx="203">
                  <c:v>3.3330153727332851E-4</c:v>
                </c:pt>
                <c:pt idx="204">
                  <c:v>3.1416856118511604E-4</c:v>
                </c:pt>
                <c:pt idx="205">
                  <c:v>2.9613390783199818E-4</c:v>
                </c:pt>
                <c:pt idx="206">
                  <c:v>2.7913452769818252E-4</c:v>
                </c:pt>
                <c:pt idx="207">
                  <c:v>2.6311099071272295E-4</c:v>
                </c:pt>
                <c:pt idx="208">
                  <c:v>2.4800727846244116E-4</c:v>
                </c:pt>
                <c:pt idx="209">
                  <c:v>2.337705883344762E-4</c:v>
                </c:pt>
                <c:pt idx="210">
                  <c:v>2.203511489034518E-4</c:v>
                </c:pt>
                <c:pt idx="211">
                  <c:v>2.0770204591759602E-4</c:v>
                </c:pt>
                <c:pt idx="212">
                  <c:v>1.9577905827523176E-4</c:v>
                </c:pt>
                <c:pt idx="213">
                  <c:v>1.8454050341800893E-4</c:v>
                </c:pt>
                <c:pt idx="214">
                  <c:v>1.7394709160019445E-4</c:v>
                </c:pt>
                <c:pt idx="215">
                  <c:v>1.6396178852438596E-4</c:v>
                </c:pt>
                <c:pt idx="216">
                  <c:v>1.5454968586328427E-4</c:v>
                </c:pt>
                <c:pt idx="217">
                  <c:v>1.4567787921474431E-4</c:v>
                </c:pt>
                <c:pt idx="218">
                  <c:v>1.3731535306332673E-4</c:v>
                </c:pt>
                <c:pt idx="219">
                  <c:v>1.2943287234607828E-4</c:v>
                </c:pt>
                <c:pt idx="220">
                  <c:v>1.2200288024337056E-4</c:v>
                </c:pt>
                <c:pt idx="221">
                  <c:v>1.149994018373979E-4</c:v>
                </c:pt>
                <c:pt idx="222">
                  <c:v>1.0839795330145856E-4</c:v>
                </c:pt>
                <c:pt idx="223">
                  <c:v>1.0217545630248659E-4</c:v>
                </c:pt>
                <c:pt idx="224">
                  <c:v>9.6310157317533909E-5</c:v>
                </c:pt>
                <c:pt idx="225">
                  <c:v>9.0781551582087564E-5</c:v>
                </c:pt>
                <c:pt idx="226">
                  <c:v>8.5570311404306254E-5</c:v>
                </c:pt>
                <c:pt idx="227">
                  <c:v>8.0658218594526553E-5</c:v>
                </c:pt>
                <c:pt idx="228">
                  <c:v>7.6028100773782803E-5</c:v>
                </c:pt>
                <c:pt idx="229">
                  <c:v>7.1663771338647368E-5</c:v>
                </c:pt>
                <c:pt idx="230">
                  <c:v>6.7549972872484829E-5</c:v>
                </c:pt>
                <c:pt idx="231">
                  <c:v>6.3672323805265298E-5</c:v>
                </c:pt>
                <c:pt idx="232">
                  <c:v>6.0017268135441379E-5</c:v>
                </c:pt>
                <c:pt idx="233">
                  <c:v>5.6572028038100202E-5</c:v>
                </c:pt>
                <c:pt idx="234">
                  <c:v>5.3324559193695167E-5</c:v>
                </c:pt>
                <c:pt idx="235">
                  <c:v>5.0263508681174531E-5</c:v>
                </c:pt>
                <c:pt idx="236">
                  <c:v>4.7378175288290318E-5</c:v>
                </c:pt>
                <c:pt idx="237">
                  <c:v>4.4658472100323825E-5</c:v>
                </c:pt>
                <c:pt idx="238">
                  <c:v>4.2094891236429506E-5</c:v>
                </c:pt>
                <c:pt idx="239">
                  <c:v>3.9678470610308754E-5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9DF-4991-9378-C4CCAEBFE91E}"/>
            </c:ext>
          </c:extLst>
        </c:ser>
        <c:ser>
          <c:idx val="2"/>
          <c:order val="8"/>
          <c:tx>
            <c:strRef>
              <c:f>'Coordenograma Manual'!$H$2</c:f>
              <c:strCache>
                <c:ptCount val="1"/>
                <c:pt idx="0">
                  <c:v>il</c:v>
                </c:pt>
              </c:strCache>
            </c:strRef>
          </c:tx>
          <c:spPr>
            <a:ln w="19050" cap="rnd">
              <a:solidFill>
                <a:schemeClr val="accent3">
                  <a:alpha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Manual'!$H$3:$H$242</c:f>
              <c:numCache>
                <c:formatCode>General</c:formatCode>
                <c:ptCount val="240"/>
                <c:pt idx="0">
                  <c:v>2879.9999999999973</c:v>
                </c:pt>
                <c:pt idx="1">
                  <c:v>1418.7192118226612</c:v>
                </c:pt>
                <c:pt idx="2">
                  <c:v>931.76744637484217</c:v>
                </c:pt>
                <c:pt idx="3">
                  <c:v>688.39789015607664</c:v>
                </c:pt>
                <c:pt idx="4">
                  <c:v>542.46116563365865</c:v>
                </c:pt>
                <c:pt idx="5">
                  <c:v>445.24080129651003</c:v>
                </c:pt>
                <c:pt idx="6">
                  <c:v>375.85829881230336</c:v>
                </c:pt>
                <c:pt idx="7">
                  <c:v>323.87439982244877</c:v>
                </c:pt>
                <c:pt idx="8">
                  <c:v>283.48950821213765</c:v>
                </c:pt>
                <c:pt idx="9">
                  <c:v>251.22385902285941</c:v>
                </c:pt>
                <c:pt idx="10">
                  <c:v>224.8630497803301</c:v>
                </c:pt>
                <c:pt idx="11">
                  <c:v>202.93080616213334</c:v>
                </c:pt>
                <c:pt idx="12">
                  <c:v>184.40508659134449</c:v>
                </c:pt>
                <c:pt idx="13">
                  <c:v>168.55585629310414</c:v>
                </c:pt>
                <c:pt idx="14">
                  <c:v>154.84775173138939</c:v>
                </c:pt>
                <c:pt idx="15">
                  <c:v>142.87924588460552</c:v>
                </c:pt>
                <c:pt idx="16">
                  <c:v>132.34328460279295</c:v>
                </c:pt>
                <c:pt idx="17">
                  <c:v>123.00104418133513</c:v>
                </c:pt>
                <c:pt idx="18">
                  <c:v>114.66397601872907</c:v>
                </c:pt>
                <c:pt idx="19">
                  <c:v>107.18123787895414</c:v>
                </c:pt>
                <c:pt idx="20">
                  <c:v>100.43071622353021</c:v>
                </c:pt>
                <c:pt idx="21">
                  <c:v>94.312497000139388</c:v>
                </c:pt>
                <c:pt idx="22">
                  <c:v>88.744039705336974</c:v>
                </c:pt>
                <c:pt idx="23">
                  <c:v>83.656557933033156</c:v>
                </c:pt>
                <c:pt idx="24">
                  <c:v>78.992268592687935</c:v>
                </c:pt>
                <c:pt idx="25">
                  <c:v>74.702275924562812</c:v>
                </c:pt>
                <c:pt idx="26">
                  <c:v>70.744925734973108</c:v>
                </c:pt>
                <c:pt idx="27">
                  <c:v>67.084512296500719</c:v>
                </c:pt>
                <c:pt idx="28">
                  <c:v>63.690252787101699</c:v>
                </c:pt>
                <c:pt idx="29">
                  <c:v>60.535466842327359</c:v>
                </c:pt>
                <c:pt idx="30">
                  <c:v>57.596914904755138</c:v>
                </c:pt>
                <c:pt idx="31">
                  <c:v>54.854260633701521</c:v>
                </c:pt>
                <c:pt idx="32">
                  <c:v>52.289631059361547</c:v>
                </c:pt>
                <c:pt idx="33">
                  <c:v>49.887254357485105</c:v>
                </c:pt>
                <c:pt idx="34">
                  <c:v>47.633159720446493</c:v>
                </c:pt>
                <c:pt idx="35">
                  <c:v>45.51492725037231</c:v>
                </c:pt>
                <c:pt idx="36">
                  <c:v>43.521478410660194</c:v>
                </c:pt>
                <c:pt idx="37">
                  <c:v>41.642899564571387</c:v>
                </c:pt>
                <c:pt idx="38">
                  <c:v>39.870292662157922</c:v>
                </c:pt>
                <c:pt idx="39">
                  <c:v>38.195648324533053</c:v>
                </c:pt>
                <c:pt idx="40">
                  <c:v>36.611737501516032</c:v>
                </c:pt>
                <c:pt idx="41">
                  <c:v>35.112018607057784</c:v>
                </c:pt>
                <c:pt idx="42">
                  <c:v>33.690557612777916</c:v>
                </c:pt>
                <c:pt idx="43">
                  <c:v>32.341959038065774</c:v>
                </c:pt>
                <c:pt idx="44">
                  <c:v>31.061306141695624</c:v>
                </c:pt>
                <c:pt idx="45">
                  <c:v>29.844108914697237</c:v>
                </c:pt>
                <c:pt idx="46">
                  <c:v>28.686258712565749</c:v>
                </c:pt>
                <c:pt idx="47">
                  <c:v>27.583988558547198</c:v>
                </c:pt>
                <c:pt idx="48">
                  <c:v>26.533838307820478</c:v>
                </c:pt>
                <c:pt idx="49">
                  <c:v>25.532623992025414</c:v>
                </c:pt>
                <c:pt idx="50">
                  <c:v>24.577410770339981</c:v>
                </c:pt>
                <c:pt idx="51">
                  <c:v>23.665489001586497</c:v>
                </c:pt>
                <c:pt idx="52">
                  <c:v>22.79435302513301</c:v>
                </c:pt>
                <c:pt idx="53">
                  <c:v>21.96168229942829</c:v>
                </c:pt>
                <c:pt idx="54">
                  <c:v>21.165324598087242</c:v>
                </c:pt>
                <c:pt idx="55">
                  <c:v>20.403281006312923</c:v>
                </c:pt>
                <c:pt idx="56">
                  <c:v>19.673692496542103</c:v>
                </c:pt>
                <c:pt idx="57">
                  <c:v>18.974827892700059</c:v>
                </c:pt>
                <c:pt idx="58">
                  <c:v>18.30507305829682</c:v>
                </c:pt>
                <c:pt idx="59">
                  <c:v>17.662921165566413</c:v>
                </c:pt>
                <c:pt idx="60">
                  <c:v>17.046963921579071</c:v>
                </c:pt>
                <c:pt idx="61">
                  <c:v>16.455883643265665</c:v>
                </c:pt>
                <c:pt idx="62">
                  <c:v>15.888446087016208</c:v>
                </c:pt>
                <c:pt idx="63">
                  <c:v>15.343493950307025</c:v>
                </c:pt>
                <c:pt idx="64">
                  <c:v>14.819940972971125</c:v>
                </c:pt>
                <c:pt idx="65">
                  <c:v>14.316766574500718</c:v>
                </c:pt>
                <c:pt idx="66">
                  <c:v>13.833010971366811</c:v>
                </c:pt>
                <c:pt idx="67">
                  <c:v>13.367770724931136</c:v>
                </c:pt>
                <c:pt idx="68">
                  <c:v>12.92019467625674</c:v>
                </c:pt>
                <c:pt idx="69">
                  <c:v>12.489480229117435</c:v>
                </c:pt>
                <c:pt idx="70">
                  <c:v>12.074869946867462</c:v>
                </c:pt>
                <c:pt idx="71">
                  <c:v>11.67564843264857</c:v>
                </c:pt>
                <c:pt idx="72">
                  <c:v>11.291139465757043</c:v>
                </c:pt>
                <c:pt idx="73">
                  <c:v>10.92070336993198</c:v>
                </c:pt>
                <c:pt idx="74">
                  <c:v>10.563734591911793</c:v>
                </c:pt>
                <c:pt idx="75">
                  <c:v>10.219659470885857</c:v>
                </c:pt>
                <c:pt idx="76">
                  <c:v>9.8879341814812545</c:v>
                </c:pt>
                <c:pt idx="77">
                  <c:v>9.5680428347056523</c:v>
                </c:pt>
                <c:pt idx="78">
                  <c:v>9.2594957228453101</c:v>
                </c:pt>
                <c:pt idx="79">
                  <c:v>8.9618276957177425</c:v>
                </c:pt>
                <c:pt idx="80">
                  <c:v>8.6745966569235105</c:v>
                </c:pt>
                <c:pt idx="81">
                  <c:v>8.397382169849724</c:v>
                </c:pt>
                <c:pt idx="82">
                  <c:v>8.1297841641660966</c:v>
                </c:pt>
                <c:pt idx="83">
                  <c:v>7.8714217344364421</c:v>
                </c:pt>
                <c:pt idx="84">
                  <c:v>7.6219320232573784</c:v>
                </c:pt>
                <c:pt idx="85">
                  <c:v>7.3809691820421959</c:v>
                </c:pt>
                <c:pt idx="86">
                  <c:v>7.148203403201026</c:v>
                </c:pt>
                <c:pt idx="87">
                  <c:v>6.923320018036871</c:v>
                </c:pt>
                <c:pt idx="88">
                  <c:v>6.7060186551879042</c:v>
                </c:pt>
                <c:pt idx="89">
                  <c:v>6.49601245490636</c:v>
                </c:pt>
                <c:pt idx="90">
                  <c:v>6.2930273348786008</c:v>
                </c:pt>
                <c:pt idx="91">
                  <c:v>6.0968013036647388</c:v>
                </c:pt>
                <c:pt idx="92">
                  <c:v>5.9070838181738639</c:v>
                </c:pt>
                <c:pt idx="93">
                  <c:v>5.7236351818961086</c:v>
                </c:pt>
                <c:pt idx="94">
                  <c:v>5.5462259808892345</c:v>
                </c:pt>
                <c:pt idx="95">
                  <c:v>5.3746365547677684</c:v>
                </c:pt>
                <c:pt idx="96">
                  <c:v>5.2086565001699476</c:v>
                </c:pt>
                <c:pt idx="97">
                  <c:v>5.0480842043840601</c:v>
                </c:pt>
                <c:pt idx="98">
                  <c:v>4.8927264070032797</c:v>
                </c:pt>
                <c:pt idx="99">
                  <c:v>4.7423977876487671</c:v>
                </c:pt>
                <c:pt idx="100">
                  <c:v>4.5969205779562943</c:v>
                </c:pt>
                <c:pt idx="101">
                  <c:v>4.4561241961633131</c:v>
                </c:pt>
                <c:pt idx="102">
                  <c:v>4.3198449027627666</c:v>
                </c:pt>
                <c:pt idx="103">
                  <c:v>4.187925475808032</c:v>
                </c:pt>
                <c:pt idx="104">
                  <c:v>4.0602149045614429</c:v>
                </c:pt>
                <c:pt idx="105">
                  <c:v>3.9365681002775719</c:v>
                </c:pt>
                <c:pt idx="106">
                  <c:v>3.8168456230030374</c:v>
                </c:pt>
                <c:pt idx="107">
                  <c:v>3.7009134233575005</c:v>
                </c:pt>
                <c:pt idx="108">
                  <c:v>3.5886425983366323</c:v>
                </c:pt>
                <c:pt idx="109">
                  <c:v>3.4799091602476722</c:v>
                </c:pt>
                <c:pt idx="110">
                  <c:v>3.3745938179524297</c:v>
                </c:pt>
                <c:pt idx="111">
                  <c:v>3.2725817696515596</c:v>
                </c:pt>
                <c:pt idx="112">
                  <c:v>3.1737625064982877</c:v>
                </c:pt>
                <c:pt idx="113">
                  <c:v>3.0780296263797782</c:v>
                </c:pt>
                <c:pt idx="114">
                  <c:v>2.9852806572504336</c:v>
                </c:pt>
                <c:pt idx="115">
                  <c:v>2.8954168894439438</c:v>
                </c:pt>
                <c:pt idx="116">
                  <c:v>2.8083432164301341</c:v>
                </c:pt>
                <c:pt idx="117">
                  <c:v>2.7239679835189108</c:v>
                </c:pt>
                <c:pt idx="118">
                  <c:v>2.6422028440470999</c:v>
                </c:pt>
                <c:pt idx="119">
                  <c:v>2.56296262261495</c:v>
                </c:pt>
                <c:pt idx="120">
                  <c:v>2.4861651849677506</c:v>
                </c:pt>
                <c:pt idx="121">
                  <c:v>2.4117313141445518</c:v>
                </c:pt>
                <c:pt idx="122">
                  <c:v>2.3395845925405845</c:v>
                </c:pt>
                <c:pt idx="123">
                  <c:v>2.2696512895527929</c:v>
                </c:pt>
                <c:pt idx="124">
                  <c:v>2.2018602544990578</c:v>
                </c:pt>
                <c:pt idx="125">
                  <c:v>2.1361428145213246</c:v>
                </c:pt>
                <c:pt idx="126">
                  <c:v>2.0724326772011303</c:v>
                </c:pt>
                <c:pt idx="127">
                  <c:v>2.0106658376329603</c:v>
                </c:pt>
                <c:pt idx="128">
                  <c:v>1.9507804897166701</c:v>
                </c:pt>
                <c:pt idx="129">
                  <c:v>1.8927169414448775</c:v>
                </c:pt>
                <c:pt idx="130">
                  <c:v>1.836417533974894</c:v>
                </c:pt>
                <c:pt idx="131">
                  <c:v>1.7818265642875319</c:v>
                </c:pt>
                <c:pt idx="132">
                  <c:v>1.7288902112469509</c:v>
                </c:pt>
                <c:pt idx="133">
                  <c:v>1.6775564648868195</c:v>
                </c:pt>
                <c:pt idx="134">
                  <c:v>1.6277750587583733</c:v>
                </c:pt>
                <c:pt idx="135">
                  <c:v>1.5794974051856057</c:v>
                </c:pt>
                <c:pt idx="136">
                  <c:v>1.5326765332818355</c:v>
                </c:pt>
                <c:pt idx="137">
                  <c:v>1.4872670295903143</c:v>
                </c:pt>
                <c:pt idx="138">
                  <c:v>1.4432249812194098</c:v>
                </c:pt>
                <c:pt idx="139">
                  <c:v>1.40050792135026</c:v>
                </c:pt>
                <c:pt idx="140">
                  <c:v>1.3590747770017026</c:v>
                </c:pt>
                <c:pt idx="141">
                  <c:v>1.3188858189437134</c:v>
                </c:pt>
                <c:pt idx="142">
                  <c:v>1.2799026136566594</c:v>
                </c:pt>
                <c:pt idx="143">
                  <c:v>1.2420879772393199</c:v>
                </c:pt>
                <c:pt idx="144">
                  <c:v>1.2054059311739607</c:v>
                </c:pt>
                <c:pt idx="145">
                  <c:v>1.1698216598617153</c:v>
                </c:pt>
                <c:pt idx="146">
                  <c:v>1.1353014698462249</c:v>
                </c:pt>
                <c:pt idx="147">
                  <c:v>1.1018127506478632</c:v>
                </c:pt>
                <c:pt idx="148">
                  <c:v>1.0693239371350249</c:v>
                </c:pt>
                <c:pt idx="149">
                  <c:v>1.0378044733628098</c:v>
                </c:pt>
                <c:pt idx="150">
                  <c:v>1.0072247778131056</c:v>
                </c:pt>
                <c:pt idx="151">
                  <c:v>0.97755620997348736</c:v>
                </c:pt>
                <c:pt idx="152">
                  <c:v>0.94877103819559494</c:v>
                </c:pt>
                <c:pt idx="153">
                  <c:v>0.92084240877667334</c:v>
                </c:pt>
                <c:pt idx="154">
                  <c:v>0.89374431621084449</c:v>
                </c:pt>
                <c:pt idx="155">
                  <c:v>0.86745157455935862</c:v>
                </c:pt>
                <c:pt idx="156">
                  <c:v>0.84193978989162865</c:v>
                </c:pt>
                <c:pt idx="157">
                  <c:v>0.81718533375124369</c:v>
                </c:pt>
                <c:pt idx="158">
                  <c:v>0.79316531760342379</c:v>
                </c:pt>
                <c:pt idx="159">
                  <c:v>0.76985756822250939</c:v>
                </c:pt>
                <c:pt idx="160">
                  <c:v>0.7472406039801005</c:v>
                </c:pt>
                <c:pt idx="161">
                  <c:v>0.72529361199635856</c:v>
                </c:pt>
                <c:pt idx="162">
                  <c:v>0.70399642611879054</c:v>
                </c:pt>
                <c:pt idx="163">
                  <c:v>0.68332950569452755</c:v>
                </c:pt>
                <c:pt idx="164">
                  <c:v>0.66327391510372535</c:v>
                </c:pt>
                <c:pt idx="165">
                  <c:v>0.64381130402323417</c:v>
                </c:pt>
                <c:pt idx="166">
                  <c:v>0.62492388839111845</c:v>
                </c:pt>
                <c:pt idx="167">
                  <c:v>0.60659443204398322</c:v>
                </c:pt>
                <c:pt idx="168">
                  <c:v>0.58880622900033963</c:v>
                </c:pt>
                <c:pt idx="169">
                  <c:v>0.57154308636447693</c:v>
                </c:pt>
                <c:pt idx="170">
                  <c:v>0.55478930782646185</c:v>
                </c:pt>
                <c:pt idx="171">
                  <c:v>0.5385296777349835</c:v>
                </c:pt>
                <c:pt idx="172">
                  <c:v>0.5227494457208105</c:v>
                </c:pt>
                <c:pt idx="173">
                  <c:v>0.5074343118496073</c:v>
                </c:pt>
                <c:pt idx="174">
                  <c:v>0.49257041228380333</c:v>
                </c:pt>
                <c:pt idx="175">
                  <c:v>0.47814430543409342</c:v>
                </c:pt>
                <c:pt idx="176">
                  <c:v>0.46414295858199695</c:v>
                </c:pt>
                <c:pt idx="177">
                  <c:v>0.45055373495570678</c:v>
                </c:pt>
                <c:pt idx="178">
                  <c:v>0.43736438124222299</c:v>
                </c:pt>
                <c:pt idx="179">
                  <c:v>0.42456301551949199</c:v>
                </c:pt>
                <c:pt idx="180">
                  <c:v>0.41213811559296465</c:v>
                </c:pt>
                <c:pt idx="181">
                  <c:v>0.40007850772164116</c:v>
                </c:pt>
                <c:pt idx="182">
                  <c:v>0.38837335571930004</c:v>
                </c:pt>
                <c:pt idx="183">
                  <c:v>0.3770121504171991</c:v>
                </c:pt>
                <c:pt idx="184">
                  <c:v>0.36598469947510948</c:v>
                </c:pt>
                <c:pt idx="185">
                  <c:v>0.3552811175280769</c:v>
                </c:pt>
                <c:pt idx="186">
                  <c:v>0.34489181665682761</c:v>
                </c:pt>
                <c:pt idx="187">
                  <c:v>0.33480749717021779</c:v>
                </c:pt>
                <c:pt idx="188">
                  <c:v>0.32501913868860249</c:v>
                </c:pt>
                <c:pt idx="189">
                  <c:v>0.31551799151743914</c:v>
                </c:pt>
                <c:pt idx="190">
                  <c:v>0.30629556830087096</c:v>
                </c:pt>
                <c:pt idx="191">
                  <c:v>0.29734363594544083</c:v>
                </c:pt>
                <c:pt idx="192">
                  <c:v>0.28865420780447343</c:v>
                </c:pt>
                <c:pt idx="193">
                  <c:v>0.28021953611403555</c:v>
                </c:pt>
                <c:pt idx="194">
                  <c:v>0.27203210467173788</c:v>
                </c:pt>
                <c:pt idx="195">
                  <c:v>0.26408462174997938</c:v>
                </c:pt>
                <c:pt idx="196">
                  <c:v>0.25637001323556075</c:v>
                </c:pt>
                <c:pt idx="197">
                  <c:v>0.24888141598789917</c:v>
                </c:pt>
                <c:pt idx="198">
                  <c:v>0.24161217140837696</c:v>
                </c:pt>
                <c:pt idx="199">
                  <c:v>0.23455581921363569</c:v>
                </c:pt>
                <c:pt idx="200">
                  <c:v>0.22770609140589979</c:v>
                </c:pt>
                <c:pt idx="201">
                  <c:v>0.22105690643367354</c:v>
                </c:pt>
                <c:pt idx="202">
                  <c:v>0.21460236353640205</c:v>
                </c:pt>
                <c:pt idx="203">
                  <c:v>0.20833673726692589</c:v>
                </c:pt>
                <c:pt idx="204">
                  <c:v>0.20225447218578538</c:v>
                </c:pt>
                <c:pt idx="205">
                  <c:v>0.19635017772165023</c:v>
                </c:pt>
                <c:pt idx="206">
                  <c:v>0.19061862319235834</c:v>
                </c:pt>
                <c:pt idx="207">
                  <c:v>0.18505473298124858</c:v>
                </c:pt>
                <c:pt idx="208">
                  <c:v>0.17965358186366473</c:v>
                </c:pt>
                <c:pt idx="209">
                  <c:v>0.17441039047869156</c:v>
                </c:pt>
                <c:pt idx="210">
                  <c:v>0.16932052094136266</c:v>
                </c:pt>
                <c:pt idx="211">
                  <c:v>0.16437947259074748</c:v>
                </c:pt>
                <c:pt idx="212">
                  <c:v>0.15958287786948966</c:v>
                </c:pt>
                <c:pt idx="213">
                  <c:v>0.15492649833052469</c:v>
                </c:pt>
                <c:pt idx="214">
                  <c:v>0.15040622076685564</c:v>
                </c:pt>
                <c:pt idx="215">
                  <c:v>0.14601805346040972</c:v>
                </c:pt>
                <c:pt idx="216">
                  <c:v>0.14175812254613793</c:v>
                </c:pt>
                <c:pt idx="217">
                  <c:v>0.13762266848765259</c:v>
                </c:pt>
                <c:pt idx="218">
                  <c:v>0.13360804266082696</c:v>
                </c:pt>
                <c:pt idx="219">
                  <c:v>0.12971070404190346</c:v>
                </c:pt>
                <c:pt idx="220">
                  <c:v>0.12592721599677623</c:v>
                </c:pt>
                <c:pt idx="221">
                  <c:v>0.12225424316822732</c:v>
                </c:pt>
                <c:pt idx="222">
                  <c:v>0.1186885484580064</c:v>
                </c:pt>
                <c:pt idx="223">
                  <c:v>0.11522699010074845</c:v>
                </c:pt>
                <c:pt idx="224">
                  <c:v>0.11186651882682648</c:v>
                </c:pt>
                <c:pt idx="225">
                  <c:v>0.10860417511133376</c:v>
                </c:pt>
                <c:pt idx="226">
                  <c:v>0.10543708650648433</c:v>
                </c:pt>
                <c:pt idx="227">
                  <c:v>0.10236246505481117</c:v>
                </c:pt>
                <c:pt idx="228">
                  <c:v>9.9377604780629569E-2</c:v>
                </c:pt>
                <c:pt idx="229">
                  <c:v>9.6479879257316298E-2</c:v>
                </c:pt>
                <c:pt idx="230">
                  <c:v>9.3666739248037298E-2</c:v>
                </c:pt>
                <c:pt idx="231">
                  <c:v>9.0935710417634624E-2</c:v>
                </c:pt>
                <c:pt idx="232">
                  <c:v>8.8284391113458413E-2</c:v>
                </c:pt>
                <c:pt idx="233">
                  <c:v>8.5710450213002665E-2</c:v>
                </c:pt>
                <c:pt idx="234">
                  <c:v>8.3211625036273898E-2</c:v>
                </c:pt>
                <c:pt idx="235">
                  <c:v>8.0785719320888766E-2</c:v>
                </c:pt>
                <c:pt idx="236">
                  <c:v>7.8430601257962571E-2</c:v>
                </c:pt>
                <c:pt idx="237">
                  <c:v>7.6144201586913235E-2</c:v>
                </c:pt>
                <c:pt idx="238">
                  <c:v>7.3924511747365626E-2</c:v>
                </c:pt>
                <c:pt idx="239">
                  <c:v>7.1769582086400663E-2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9DF-4991-9378-C4CCAEBFE91E}"/>
            </c:ext>
          </c:extLst>
        </c:ser>
        <c:ser>
          <c:idx val="3"/>
          <c:order val="9"/>
          <c:tx>
            <c:strRef>
              <c:f>'Coordenograma Manual'!$I$2</c:f>
              <c:strCache>
                <c:ptCount val="1"/>
                <c:pt idx="0">
                  <c:v>mi</c:v>
                </c:pt>
              </c:strCache>
            </c:strRef>
          </c:tx>
          <c:spPr>
            <a:ln w="19050" cap="rnd">
              <a:solidFill>
                <a:schemeClr val="accent4">
                  <a:alpha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Manual'!$I$3:$I$242</c:f>
              <c:numCache>
                <c:formatCode>General</c:formatCode>
                <c:ptCount val="240"/>
                <c:pt idx="0">
                  <c:v>323.99999999999972</c:v>
                </c:pt>
                <c:pt idx="1">
                  <c:v>159.60591133004939</c:v>
                </c:pt>
                <c:pt idx="2">
                  <c:v>104.82383771716975</c:v>
                </c:pt>
                <c:pt idx="3">
                  <c:v>77.444762642558629</c:v>
                </c:pt>
                <c:pt idx="4">
                  <c:v>61.026881133786596</c:v>
                </c:pt>
                <c:pt idx="5">
                  <c:v>50.089590145857386</c:v>
                </c:pt>
                <c:pt idx="6">
                  <c:v>42.284058616384129</c:v>
                </c:pt>
                <c:pt idx="7">
                  <c:v>36.435869980025487</c:v>
                </c:pt>
                <c:pt idx="8">
                  <c:v>31.892569673865484</c:v>
                </c:pt>
                <c:pt idx="9">
                  <c:v>28.262684140071684</c:v>
                </c:pt>
                <c:pt idx="10">
                  <c:v>25.297093100287132</c:v>
                </c:pt>
                <c:pt idx="11">
                  <c:v>22.829715693240001</c:v>
                </c:pt>
                <c:pt idx="12">
                  <c:v>20.745572241526254</c:v>
                </c:pt>
                <c:pt idx="13">
                  <c:v>18.962533832974216</c:v>
                </c:pt>
                <c:pt idx="14">
                  <c:v>17.420372069781308</c:v>
                </c:pt>
                <c:pt idx="15">
                  <c:v>16.073915162018121</c:v>
                </c:pt>
                <c:pt idx="16">
                  <c:v>14.888619517814208</c:v>
                </c:pt>
                <c:pt idx="17">
                  <c:v>13.837617470400204</c:v>
                </c:pt>
                <c:pt idx="18">
                  <c:v>12.89969730210702</c:v>
                </c:pt>
                <c:pt idx="19">
                  <c:v>12.057889261382341</c:v>
                </c:pt>
                <c:pt idx="20">
                  <c:v>11.298455575147148</c:v>
                </c:pt>
                <c:pt idx="21">
                  <c:v>10.610155912515681</c:v>
                </c:pt>
                <c:pt idx="22">
                  <c:v>9.9837044668504102</c:v>
                </c:pt>
                <c:pt idx="23">
                  <c:v>9.4113627674662297</c:v>
                </c:pt>
                <c:pt idx="24">
                  <c:v>8.8866302166773927</c:v>
                </c:pt>
                <c:pt idx="25">
                  <c:v>8.4040060415133162</c:v>
                </c:pt>
                <c:pt idx="26">
                  <c:v>7.958804145184474</c:v>
                </c:pt>
                <c:pt idx="27">
                  <c:v>7.5470076333563298</c:v>
                </c:pt>
                <c:pt idx="28">
                  <c:v>7.1651534385489413</c:v>
                </c:pt>
                <c:pt idx="29">
                  <c:v>6.8102400197618271</c:v>
                </c:pt>
                <c:pt idx="30">
                  <c:v>6.4796529267849525</c:v>
                </c:pt>
                <c:pt idx="31">
                  <c:v>6.1711043212914216</c:v>
                </c:pt>
                <c:pt idx="32">
                  <c:v>5.8825834941781734</c:v>
                </c:pt>
                <c:pt idx="33">
                  <c:v>5.6123161152170749</c:v>
                </c:pt>
                <c:pt idx="34">
                  <c:v>5.3587304685502311</c:v>
                </c:pt>
                <c:pt idx="35">
                  <c:v>5.1204293156668843</c:v>
                </c:pt>
                <c:pt idx="36">
                  <c:v>4.8961663211992716</c:v>
                </c:pt>
                <c:pt idx="37">
                  <c:v>4.6848262010142809</c:v>
                </c:pt>
                <c:pt idx="38">
                  <c:v>4.4854079244927663</c:v>
                </c:pt>
                <c:pt idx="39">
                  <c:v>4.2970104365099679</c:v>
                </c:pt>
                <c:pt idx="40">
                  <c:v>4.1188204689205534</c:v>
                </c:pt>
                <c:pt idx="41">
                  <c:v>3.9501020932940007</c:v>
                </c:pt>
                <c:pt idx="42">
                  <c:v>3.790187731437515</c:v>
                </c:pt>
                <c:pt idx="43">
                  <c:v>3.6384703917823997</c:v>
                </c:pt>
                <c:pt idx="44">
                  <c:v>3.4943969409407578</c:v>
                </c:pt>
                <c:pt idx="45">
                  <c:v>3.357462252903439</c:v>
                </c:pt>
                <c:pt idx="46">
                  <c:v>3.2272041051636471</c:v>
                </c:pt>
                <c:pt idx="47">
                  <c:v>3.1031987128365599</c:v>
                </c:pt>
                <c:pt idx="48">
                  <c:v>2.9850568096298038</c:v>
                </c:pt>
                <c:pt idx="49">
                  <c:v>2.8724201991028591</c:v>
                </c:pt>
                <c:pt idx="50">
                  <c:v>2.7649587116632484</c:v>
                </c:pt>
                <c:pt idx="51">
                  <c:v>2.6623675126784812</c:v>
                </c:pt>
                <c:pt idx="52">
                  <c:v>2.5643647153274634</c:v>
                </c:pt>
                <c:pt idx="53">
                  <c:v>2.4706892586856823</c:v>
                </c:pt>
                <c:pt idx="54">
                  <c:v>2.3810990172848148</c:v>
                </c:pt>
                <c:pt idx="55">
                  <c:v>2.2953691132102039</c:v>
                </c:pt>
                <c:pt idx="56">
                  <c:v>2.2132904058609864</c:v>
                </c:pt>
                <c:pt idx="57">
                  <c:v>2.1346681379287569</c:v>
                </c:pt>
                <c:pt idx="58">
                  <c:v>2.0593207190583924</c:v>
                </c:pt>
                <c:pt idx="59">
                  <c:v>1.9870786311262214</c:v>
                </c:pt>
                <c:pt idx="60">
                  <c:v>1.9177834411776455</c:v>
                </c:pt>
                <c:pt idx="61">
                  <c:v>1.8512869098673872</c:v>
                </c:pt>
                <c:pt idx="62">
                  <c:v>1.7874501847893234</c:v>
                </c:pt>
                <c:pt idx="63">
                  <c:v>1.7261430694095405</c:v>
                </c:pt>
                <c:pt idx="64">
                  <c:v>1.6672433594592515</c:v>
                </c:pt>
                <c:pt idx="65">
                  <c:v>1.6106362396313307</c:v>
                </c:pt>
                <c:pt idx="66">
                  <c:v>1.5562137342787661</c:v>
                </c:pt>
                <c:pt idx="67">
                  <c:v>1.5038742065547528</c:v>
                </c:pt>
                <c:pt idx="68">
                  <c:v>1.4535219010788833</c:v>
                </c:pt>
                <c:pt idx="69">
                  <c:v>1.4050665257757113</c:v>
                </c:pt>
                <c:pt idx="70">
                  <c:v>1.3584228690225897</c:v>
                </c:pt>
                <c:pt idx="71">
                  <c:v>1.3135104486729641</c:v>
                </c:pt>
                <c:pt idx="72">
                  <c:v>1.2702531898976674</c:v>
                </c:pt>
                <c:pt idx="73">
                  <c:v>1.2285791291173478</c:v>
                </c:pt>
                <c:pt idx="74">
                  <c:v>1.1884201415900768</c:v>
                </c:pt>
                <c:pt idx="75">
                  <c:v>1.1497116904746589</c:v>
                </c:pt>
                <c:pt idx="76">
                  <c:v>1.1123925954166414</c:v>
                </c:pt>
                <c:pt idx="77">
                  <c:v>1.076404818904386</c:v>
                </c:pt>
                <c:pt idx="78">
                  <c:v>1.0416932688200973</c:v>
                </c:pt>
                <c:pt idx="79">
                  <c:v>1.008205615768246</c:v>
                </c:pt>
                <c:pt idx="80">
                  <c:v>0.9758921239038949</c:v>
                </c:pt>
                <c:pt idx="81">
                  <c:v>0.94470549410809379</c:v>
                </c:pt>
                <c:pt idx="82">
                  <c:v>0.91460071846868585</c:v>
                </c:pt>
                <c:pt idx="83">
                  <c:v>0.8855349451240998</c:v>
                </c:pt>
                <c:pt idx="84">
                  <c:v>0.85746735261645513</c:v>
                </c:pt>
                <c:pt idx="85">
                  <c:v>0.830359032979747</c:v>
                </c:pt>
                <c:pt idx="86">
                  <c:v>0.80417288286011546</c:v>
                </c:pt>
                <c:pt idx="87">
                  <c:v>0.77887350202914796</c:v>
                </c:pt>
                <c:pt idx="88">
                  <c:v>0.75442709870863922</c:v>
                </c:pt>
                <c:pt idx="89">
                  <c:v>0.73080140117696557</c:v>
                </c:pt>
                <c:pt idx="90">
                  <c:v>0.70796557517384251</c:v>
                </c:pt>
                <c:pt idx="91">
                  <c:v>0.6858901466622831</c:v>
                </c:pt>
                <c:pt idx="92">
                  <c:v>0.66454692954455963</c:v>
                </c:pt>
                <c:pt idx="93">
                  <c:v>0.64390895796331216</c:v>
                </c:pt>
                <c:pt idx="94">
                  <c:v>0.62395042285003888</c:v>
                </c:pt>
                <c:pt idx="95">
                  <c:v>0.60464661241137396</c:v>
                </c:pt>
                <c:pt idx="96">
                  <c:v>0.58597385626911902</c:v>
                </c:pt>
                <c:pt idx="97">
                  <c:v>0.56790947299320682</c:v>
                </c:pt>
                <c:pt idx="98">
                  <c:v>0.55043172078786895</c:v>
                </c:pt>
                <c:pt idx="99">
                  <c:v>0.53351975111048622</c:v>
                </c:pt>
                <c:pt idx="100">
                  <c:v>0.51715356502008314</c:v>
                </c:pt>
                <c:pt idx="101">
                  <c:v>0.5013139720683728</c:v>
                </c:pt>
                <c:pt idx="102">
                  <c:v>0.48598255156081122</c:v>
                </c:pt>
                <c:pt idx="103">
                  <c:v>0.4711416160284036</c:v>
                </c:pt>
                <c:pt idx="104">
                  <c:v>0.45677417676316234</c:v>
                </c:pt>
                <c:pt idx="105">
                  <c:v>0.44286391128122687</c:v>
                </c:pt>
                <c:pt idx="106">
                  <c:v>0.42939513258784168</c:v>
                </c:pt>
                <c:pt idx="107">
                  <c:v>0.41635276012771888</c:v>
                </c:pt>
                <c:pt idx="108">
                  <c:v>0.4037222923128711</c:v>
                </c:pt>
                <c:pt idx="109">
                  <c:v>0.3914897805278631</c:v>
                </c:pt>
                <c:pt idx="110">
                  <c:v>0.3796418045196483</c:v>
                </c:pt>
                <c:pt idx="111">
                  <c:v>0.36816544908580046</c:v>
                </c:pt>
                <c:pt idx="112">
                  <c:v>0.35704828198105737</c:v>
                </c:pt>
                <c:pt idx="113">
                  <c:v>0.34627833296772503</c:v>
                </c:pt>
                <c:pt idx="114">
                  <c:v>0.33584407394067373</c:v>
                </c:pt>
                <c:pt idx="115">
                  <c:v>0.32573440006244364</c:v>
                </c:pt>
                <c:pt idx="116">
                  <c:v>0.31593861184839012</c:v>
                </c:pt>
                <c:pt idx="117">
                  <c:v>0.30644639814587743</c:v>
                </c:pt>
                <c:pt idx="118">
                  <c:v>0.29724781995529875</c:v>
                </c:pt>
                <c:pt idx="119">
                  <c:v>0.28833329504418181</c:v>
                </c:pt>
                <c:pt idx="120">
                  <c:v>0.27969358330887195</c:v>
                </c:pt>
                <c:pt idx="121">
                  <c:v>0.27131977284126207</c:v>
                </c:pt>
                <c:pt idx="122">
                  <c:v>0.26320326666081578</c:v>
                </c:pt>
                <c:pt idx="123">
                  <c:v>0.25533577007468922</c:v>
                </c:pt>
                <c:pt idx="124">
                  <c:v>0.247709278631144</c:v>
                </c:pt>
                <c:pt idx="125">
                  <c:v>0.24031606663364904</c:v>
                </c:pt>
                <c:pt idx="126">
                  <c:v>0.23314867618512719</c:v>
                </c:pt>
                <c:pt idx="127">
                  <c:v>0.22619990673370802</c:v>
                </c:pt>
                <c:pt idx="128">
                  <c:v>0.21946280509312541</c:v>
                </c:pt>
                <c:pt idx="129">
                  <c:v>0.2129306559125487</c:v>
                </c:pt>
                <c:pt idx="130">
                  <c:v>0.20659697257217557</c:v>
                </c:pt>
                <c:pt idx="131">
                  <c:v>0.20045548848234734</c:v>
                </c:pt>
                <c:pt idx="132">
                  <c:v>0.19450014876528199</c:v>
                </c:pt>
                <c:pt idx="133">
                  <c:v>0.18872510229976722</c:v>
                </c:pt>
                <c:pt idx="134">
                  <c:v>0.18312469411031701</c:v>
                </c:pt>
                <c:pt idx="135">
                  <c:v>0.17769345808338061</c:v>
                </c:pt>
                <c:pt idx="136">
                  <c:v>0.17242610999420649</c:v>
                </c:pt>
                <c:pt idx="137">
                  <c:v>0.16731754082891037</c:v>
                </c:pt>
                <c:pt idx="138">
                  <c:v>0.16236281038718356</c:v>
                </c:pt>
                <c:pt idx="139">
                  <c:v>0.15755714115190425</c:v>
                </c:pt>
                <c:pt idx="140">
                  <c:v>0.15289591241269154</c:v>
                </c:pt>
                <c:pt idx="141">
                  <c:v>0.14837465463116775</c:v>
                </c:pt>
                <c:pt idx="142">
                  <c:v>0.14398904403637416</c:v>
                </c:pt>
                <c:pt idx="143">
                  <c:v>0.13973489743942349</c:v>
                </c:pt>
                <c:pt idx="144">
                  <c:v>0.13560816725707056</c:v>
                </c:pt>
                <c:pt idx="145">
                  <c:v>0.13160493673444298</c:v>
                </c:pt>
                <c:pt idx="146">
                  <c:v>0.12772141535770032</c:v>
                </c:pt>
                <c:pt idx="147">
                  <c:v>0.12395393444788462</c:v>
                </c:pt>
                <c:pt idx="148">
                  <c:v>0.12029894292769031</c:v>
                </c:pt>
                <c:pt idx="149">
                  <c:v>0.1167530032533161</c:v>
                </c:pt>
                <c:pt idx="150">
                  <c:v>0.11331278750397437</c:v>
                </c:pt>
                <c:pt idx="151">
                  <c:v>0.10997507362201735</c:v>
                </c:pt>
                <c:pt idx="152">
                  <c:v>0.10673674179700443</c:v>
                </c:pt>
                <c:pt idx="153">
                  <c:v>0.10359477098737575</c:v>
                </c:pt>
                <c:pt idx="154">
                  <c:v>0.10054623557372001</c:v>
                </c:pt>
                <c:pt idx="155">
                  <c:v>9.7588302137927838E-2</c:v>
                </c:pt>
                <c:pt idx="156">
                  <c:v>9.471822636280823E-2</c:v>
                </c:pt>
                <c:pt idx="157">
                  <c:v>9.1933350047014931E-2</c:v>
                </c:pt>
                <c:pt idx="158">
                  <c:v>8.9231098230385178E-2</c:v>
                </c:pt>
                <c:pt idx="159">
                  <c:v>8.6608976425032319E-2</c:v>
                </c:pt>
                <c:pt idx="160">
                  <c:v>8.4064567947761293E-2</c:v>
                </c:pt>
                <c:pt idx="161">
                  <c:v>8.1595531349590342E-2</c:v>
                </c:pt>
                <c:pt idx="162">
                  <c:v>7.9199597938363939E-2</c:v>
                </c:pt>
                <c:pt idx="163">
                  <c:v>7.6874569390634348E-2</c:v>
                </c:pt>
                <c:pt idx="164">
                  <c:v>7.4618315449169095E-2</c:v>
                </c:pt>
                <c:pt idx="165">
                  <c:v>7.2428771702613845E-2</c:v>
                </c:pt>
                <c:pt idx="166">
                  <c:v>7.0303937444000833E-2</c:v>
                </c:pt>
                <c:pt idx="167">
                  <c:v>6.8241873604948114E-2</c:v>
                </c:pt>
                <c:pt idx="168">
                  <c:v>6.6240700762538199E-2</c:v>
                </c:pt>
                <c:pt idx="169">
                  <c:v>6.4298597216003658E-2</c:v>
                </c:pt>
                <c:pt idx="170">
                  <c:v>6.2413797130476949E-2</c:v>
                </c:pt>
                <c:pt idx="171">
                  <c:v>6.0584588745185644E-2</c:v>
                </c:pt>
                <c:pt idx="172">
                  <c:v>5.8809312643591183E-2</c:v>
                </c:pt>
                <c:pt idx="173">
                  <c:v>5.7086360083080823E-2</c:v>
                </c:pt>
                <c:pt idx="174">
                  <c:v>5.5414171381927876E-2</c:v>
                </c:pt>
                <c:pt idx="175">
                  <c:v>5.3791234361335517E-2</c:v>
                </c:pt>
                <c:pt idx="176">
                  <c:v>5.2216082840474659E-2</c:v>
                </c:pt>
                <c:pt idx="177">
                  <c:v>5.0687295182517016E-2</c:v>
                </c:pt>
                <c:pt idx="178">
                  <c:v>4.9203492889750088E-2</c:v>
                </c:pt>
                <c:pt idx="179">
                  <c:v>4.7763339245942851E-2</c:v>
                </c:pt>
                <c:pt idx="180">
                  <c:v>4.636553800420852E-2</c:v>
                </c:pt>
                <c:pt idx="181">
                  <c:v>4.5008832118684637E-2</c:v>
                </c:pt>
                <c:pt idx="182">
                  <c:v>4.3692002518421251E-2</c:v>
                </c:pt>
                <c:pt idx="183">
                  <c:v>4.2413866921934898E-2</c:v>
                </c:pt>
                <c:pt idx="184">
                  <c:v>4.1173278690949812E-2</c:v>
                </c:pt>
                <c:pt idx="185">
                  <c:v>3.9969125721908652E-2</c:v>
                </c:pt>
                <c:pt idx="186">
                  <c:v>3.8800329373893105E-2</c:v>
                </c:pt>
                <c:pt idx="187">
                  <c:v>3.7665843431649505E-2</c:v>
                </c:pt>
                <c:pt idx="188">
                  <c:v>3.656465310246778E-2</c:v>
                </c:pt>
                <c:pt idx="189">
                  <c:v>3.54957740457119E-2</c:v>
                </c:pt>
                <c:pt idx="190">
                  <c:v>3.4458251433847981E-2</c:v>
                </c:pt>
                <c:pt idx="191">
                  <c:v>3.3451159043862096E-2</c:v>
                </c:pt>
                <c:pt idx="192">
                  <c:v>3.247359837800326E-2</c:v>
                </c:pt>
                <c:pt idx="193">
                  <c:v>3.1524697812829003E-2</c:v>
                </c:pt>
                <c:pt idx="194">
                  <c:v>3.060361177557051E-2</c:v>
                </c:pt>
                <c:pt idx="195">
                  <c:v>2.9709519946872681E-2</c:v>
                </c:pt>
                <c:pt idx="196">
                  <c:v>2.8841626489000585E-2</c:v>
                </c:pt>
                <c:pt idx="197">
                  <c:v>2.7999159298638658E-2</c:v>
                </c:pt>
                <c:pt idx="198">
                  <c:v>2.7181369283442409E-2</c:v>
                </c:pt>
                <c:pt idx="199">
                  <c:v>2.6387529661534015E-2</c:v>
                </c:pt>
                <c:pt idx="200">
                  <c:v>2.5616935283163726E-2</c:v>
                </c:pt>
                <c:pt idx="201">
                  <c:v>2.4868901973788275E-2</c:v>
                </c:pt>
                <c:pt idx="202">
                  <c:v>2.4142765897845229E-2</c:v>
                </c:pt>
                <c:pt idx="203">
                  <c:v>2.3437882942529163E-2</c:v>
                </c:pt>
                <c:pt idx="204">
                  <c:v>2.2753628120900853E-2</c:v>
                </c:pt>
                <c:pt idx="205">
                  <c:v>2.2089394993685649E-2</c:v>
                </c:pt>
                <c:pt idx="206">
                  <c:v>2.1444595109140312E-2</c:v>
                </c:pt>
                <c:pt idx="207">
                  <c:v>2.081865746039047E-2</c:v>
                </c:pt>
                <c:pt idx="208">
                  <c:v>2.0211027959662283E-2</c:v>
                </c:pt>
                <c:pt idx="209">
                  <c:v>1.9621168928852798E-2</c:v>
                </c:pt>
                <c:pt idx="210">
                  <c:v>1.90485586059033E-2</c:v>
                </c:pt>
                <c:pt idx="211">
                  <c:v>1.8492690666459092E-2</c:v>
                </c:pt>
                <c:pt idx="212">
                  <c:v>1.7953073760317587E-2</c:v>
                </c:pt>
                <c:pt idx="213">
                  <c:v>1.7429231062184025E-2</c:v>
                </c:pt>
                <c:pt idx="214">
                  <c:v>1.6920699836271258E-2</c:v>
                </c:pt>
                <c:pt idx="215">
                  <c:v>1.6427031014296097E-2</c:v>
                </c:pt>
                <c:pt idx="216">
                  <c:v>1.5947788786440518E-2</c:v>
                </c:pt>
                <c:pt idx="217">
                  <c:v>1.5482550204860918E-2</c:v>
                </c:pt>
                <c:pt idx="218">
                  <c:v>1.5030904799343032E-2</c:v>
                </c:pt>
                <c:pt idx="219">
                  <c:v>1.4592454204714141E-2</c:v>
                </c:pt>
                <c:pt idx="220">
                  <c:v>1.4166811799637325E-2</c:v>
                </c:pt>
                <c:pt idx="221">
                  <c:v>1.3753602356425573E-2</c:v>
                </c:pt>
                <c:pt idx="222">
                  <c:v>1.3352461701525721E-2</c:v>
                </c:pt>
                <c:pt idx="223">
                  <c:v>1.2963036386334201E-2</c:v>
                </c:pt>
                <c:pt idx="224">
                  <c:v>1.2584983368017978E-2</c:v>
                </c:pt>
                <c:pt idx="225">
                  <c:v>1.2217969700025047E-2</c:v>
                </c:pt>
                <c:pt idx="226">
                  <c:v>1.1861672231979484E-2</c:v>
                </c:pt>
                <c:pt idx="227">
                  <c:v>1.1515777318666256E-2</c:v>
                </c:pt>
                <c:pt idx="228">
                  <c:v>1.1179980537820827E-2</c:v>
                </c:pt>
                <c:pt idx="229">
                  <c:v>1.0853986416448082E-2</c:v>
                </c:pt>
                <c:pt idx="230">
                  <c:v>1.0537508165404197E-2</c:v>
                </c:pt>
                <c:pt idx="231">
                  <c:v>1.0230267421983895E-2</c:v>
                </c:pt>
                <c:pt idx="232">
                  <c:v>9.9319940002640713E-3</c:v>
                </c:pt>
                <c:pt idx="233">
                  <c:v>9.6424256489628015E-3</c:v>
                </c:pt>
                <c:pt idx="234">
                  <c:v>9.3613078165808144E-3</c:v>
                </c:pt>
                <c:pt idx="235">
                  <c:v>9.0883934235999851E-3</c:v>
                </c:pt>
                <c:pt idx="236">
                  <c:v>8.8234426415207904E-3</c:v>
                </c:pt>
                <c:pt idx="237">
                  <c:v>8.5662226785277393E-3</c:v>
                </c:pt>
                <c:pt idx="238">
                  <c:v>8.3165075715786324E-3</c:v>
                </c:pt>
                <c:pt idx="239">
                  <c:v>8.0740779847200735E-3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9DF-4991-9378-C4CCAEBFE91E}"/>
            </c:ext>
          </c:extLst>
        </c:ser>
        <c:ser>
          <c:idx val="4"/>
          <c:order val="10"/>
          <c:tx>
            <c:strRef>
              <c:f>'Coordenograma Manual'!$J$2</c:f>
              <c:strCache>
                <c:ptCount val="1"/>
                <c:pt idx="0">
                  <c:v>it</c:v>
                </c:pt>
              </c:strCache>
            </c:strRef>
          </c:tx>
          <c:spPr>
            <a:ln w="19050" cap="rnd">
              <a:solidFill>
                <a:schemeClr val="accent5">
                  <a:alpha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Manual'!$J$3:$J$242</c:f>
              <c:numCache>
                <c:formatCode>General</c:formatCode>
                <c:ptCount val="240"/>
                <c:pt idx="0">
                  <c:v>1439.9999999999986</c:v>
                </c:pt>
                <c:pt idx="1">
                  <c:v>709.35960591133062</c:v>
                </c:pt>
                <c:pt idx="2">
                  <c:v>465.88372318742108</c:v>
                </c:pt>
                <c:pt idx="3">
                  <c:v>344.19894507803832</c:v>
                </c:pt>
                <c:pt idx="4">
                  <c:v>271.23058281682933</c:v>
                </c:pt>
                <c:pt idx="5">
                  <c:v>222.62040064825501</c:v>
                </c:pt>
                <c:pt idx="6">
                  <c:v>187.92914940615168</c:v>
                </c:pt>
                <c:pt idx="7">
                  <c:v>161.93719991122438</c:v>
                </c:pt>
                <c:pt idx="8">
                  <c:v>141.74475410606883</c:v>
                </c:pt>
                <c:pt idx="9">
                  <c:v>125.61192951142971</c:v>
                </c:pt>
                <c:pt idx="10">
                  <c:v>112.43152489016505</c:v>
                </c:pt>
                <c:pt idx="11">
                  <c:v>101.46540308106667</c:v>
                </c:pt>
                <c:pt idx="12">
                  <c:v>92.202543295672243</c:v>
                </c:pt>
                <c:pt idx="13">
                  <c:v>84.277928146552071</c:v>
                </c:pt>
                <c:pt idx="14">
                  <c:v>77.423875865694697</c:v>
                </c:pt>
                <c:pt idx="15">
                  <c:v>71.439622942302762</c:v>
                </c:pt>
                <c:pt idx="16">
                  <c:v>66.171642301396474</c:v>
                </c:pt>
                <c:pt idx="17">
                  <c:v>61.500522090667566</c:v>
                </c:pt>
                <c:pt idx="18">
                  <c:v>57.331988009364537</c:v>
                </c:pt>
                <c:pt idx="19">
                  <c:v>53.590618939477068</c:v>
                </c:pt>
                <c:pt idx="20">
                  <c:v>50.215358111765106</c:v>
                </c:pt>
                <c:pt idx="21">
                  <c:v>47.156248500069694</c:v>
                </c:pt>
                <c:pt idx="22">
                  <c:v>44.372019852668487</c:v>
                </c:pt>
                <c:pt idx="23">
                  <c:v>41.828278966516578</c:v>
                </c:pt>
                <c:pt idx="24">
                  <c:v>39.496134296343968</c:v>
                </c:pt>
                <c:pt idx="25">
                  <c:v>37.351137962281406</c:v>
                </c:pt>
                <c:pt idx="26">
                  <c:v>35.372462867486554</c:v>
                </c:pt>
                <c:pt idx="27">
                  <c:v>33.54225614825036</c:v>
                </c:pt>
                <c:pt idx="28">
                  <c:v>31.845126393550849</c:v>
                </c:pt>
                <c:pt idx="29">
                  <c:v>30.26773342116368</c:v>
                </c:pt>
                <c:pt idx="30">
                  <c:v>28.798457452377569</c:v>
                </c:pt>
                <c:pt idx="31">
                  <c:v>27.427130316850761</c:v>
                </c:pt>
                <c:pt idx="32">
                  <c:v>26.144815529680773</c:v>
                </c:pt>
                <c:pt idx="33">
                  <c:v>24.943627178742553</c:v>
                </c:pt>
                <c:pt idx="34">
                  <c:v>23.816579860223246</c:v>
                </c:pt>
                <c:pt idx="35">
                  <c:v>22.757463625186155</c:v>
                </c:pt>
                <c:pt idx="36">
                  <c:v>21.760739205330097</c:v>
                </c:pt>
                <c:pt idx="37">
                  <c:v>20.821449782285693</c:v>
                </c:pt>
                <c:pt idx="38">
                  <c:v>19.935146331078961</c:v>
                </c:pt>
                <c:pt idx="39">
                  <c:v>19.097824162266527</c:v>
                </c:pt>
                <c:pt idx="40">
                  <c:v>18.305868750758016</c:v>
                </c:pt>
                <c:pt idx="41">
                  <c:v>17.556009303528892</c:v>
                </c:pt>
                <c:pt idx="42">
                  <c:v>16.845278806388958</c:v>
                </c:pt>
                <c:pt idx="43">
                  <c:v>16.170979519032887</c:v>
                </c:pt>
                <c:pt idx="44">
                  <c:v>15.530653070847812</c:v>
                </c:pt>
                <c:pt idx="45">
                  <c:v>14.922054457348619</c:v>
                </c:pt>
                <c:pt idx="46">
                  <c:v>14.343129356282875</c:v>
                </c:pt>
                <c:pt idx="47">
                  <c:v>13.791994279273599</c:v>
                </c:pt>
                <c:pt idx="48">
                  <c:v>13.266919153910239</c:v>
                </c:pt>
                <c:pt idx="49">
                  <c:v>12.766311996012707</c:v>
                </c:pt>
                <c:pt idx="50">
                  <c:v>12.28870538516999</c:v>
                </c:pt>
                <c:pt idx="51">
                  <c:v>11.832744500793249</c:v>
                </c:pt>
                <c:pt idx="52">
                  <c:v>11.397176512566505</c:v>
                </c:pt>
                <c:pt idx="53">
                  <c:v>10.980841149714145</c:v>
                </c:pt>
                <c:pt idx="54">
                  <c:v>10.582662299043621</c:v>
                </c:pt>
                <c:pt idx="55">
                  <c:v>10.201640503156462</c:v>
                </c:pt>
                <c:pt idx="56">
                  <c:v>9.8368462482710513</c:v>
                </c:pt>
                <c:pt idx="57">
                  <c:v>9.4874139463500295</c:v>
                </c:pt>
                <c:pt idx="58">
                  <c:v>9.15253652914841</c:v>
                </c:pt>
                <c:pt idx="59">
                  <c:v>8.8314605827832064</c:v>
                </c:pt>
                <c:pt idx="60">
                  <c:v>8.5234819607895353</c:v>
                </c:pt>
                <c:pt idx="61">
                  <c:v>8.2279418216328324</c:v>
                </c:pt>
                <c:pt idx="62">
                  <c:v>7.9442230435081038</c:v>
                </c:pt>
                <c:pt idx="63">
                  <c:v>7.6717469751535123</c:v>
                </c:pt>
                <c:pt idx="64">
                  <c:v>7.4099704864855624</c:v>
                </c:pt>
                <c:pt idx="65">
                  <c:v>7.1583832872503592</c:v>
                </c:pt>
                <c:pt idx="66">
                  <c:v>6.9165054856834054</c:v>
                </c:pt>
                <c:pt idx="67">
                  <c:v>6.6838853624655679</c:v>
                </c:pt>
                <c:pt idx="68">
                  <c:v>6.4600973381283699</c:v>
                </c:pt>
                <c:pt idx="69">
                  <c:v>6.2447401145587174</c:v>
                </c:pt>
                <c:pt idx="70">
                  <c:v>6.0374349734337311</c:v>
                </c:pt>
                <c:pt idx="71">
                  <c:v>5.8378242163242851</c:v>
                </c:pt>
                <c:pt idx="72">
                  <c:v>5.6455697328785215</c:v>
                </c:pt>
                <c:pt idx="73">
                  <c:v>5.4603516849659899</c:v>
                </c:pt>
                <c:pt idx="74">
                  <c:v>5.2818672959558963</c:v>
                </c:pt>
                <c:pt idx="75">
                  <c:v>5.1098297354429283</c:v>
                </c:pt>
                <c:pt idx="76">
                  <c:v>4.9439670907406272</c:v>
                </c:pt>
                <c:pt idx="77">
                  <c:v>4.7840214173528262</c:v>
                </c:pt>
                <c:pt idx="78">
                  <c:v>4.629747861422655</c:v>
                </c:pt>
                <c:pt idx="79">
                  <c:v>4.4809138478588713</c:v>
                </c:pt>
                <c:pt idx="80">
                  <c:v>4.3372983284617552</c:v>
                </c:pt>
                <c:pt idx="81">
                  <c:v>4.198691084924862</c:v>
                </c:pt>
                <c:pt idx="82">
                  <c:v>4.0648920820830483</c:v>
                </c:pt>
                <c:pt idx="83">
                  <c:v>3.9357108672182211</c:v>
                </c:pt>
                <c:pt idx="84">
                  <c:v>3.8109660116286892</c:v>
                </c:pt>
                <c:pt idx="85">
                  <c:v>3.6904845910210979</c:v>
                </c:pt>
                <c:pt idx="86">
                  <c:v>3.574101701600513</c:v>
                </c:pt>
                <c:pt idx="87">
                  <c:v>3.4616600090184355</c:v>
                </c:pt>
                <c:pt idx="88">
                  <c:v>3.3530093275939521</c:v>
                </c:pt>
                <c:pt idx="89">
                  <c:v>3.24800622745318</c:v>
                </c:pt>
                <c:pt idx="90">
                  <c:v>3.1465136674393004</c:v>
                </c:pt>
                <c:pt idx="91">
                  <c:v>3.0484006518323694</c:v>
                </c:pt>
                <c:pt idx="92">
                  <c:v>2.9535419090869319</c:v>
                </c:pt>
                <c:pt idx="93">
                  <c:v>2.8618175909480543</c:v>
                </c:pt>
                <c:pt idx="94">
                  <c:v>2.7731129904446172</c:v>
                </c:pt>
                <c:pt idx="95">
                  <c:v>2.6873182773838842</c:v>
                </c:pt>
                <c:pt idx="96">
                  <c:v>2.6043282500849738</c:v>
                </c:pt>
                <c:pt idx="97">
                  <c:v>2.5240421021920301</c:v>
                </c:pt>
                <c:pt idx="98">
                  <c:v>2.4463632035016398</c:v>
                </c:pt>
                <c:pt idx="99">
                  <c:v>2.3711988938243835</c:v>
                </c:pt>
                <c:pt idx="100">
                  <c:v>2.2984602889781471</c:v>
                </c:pt>
                <c:pt idx="101">
                  <c:v>2.2280620980816566</c:v>
                </c:pt>
                <c:pt idx="102">
                  <c:v>2.1599224513813833</c:v>
                </c:pt>
                <c:pt idx="103">
                  <c:v>2.093962737904016</c:v>
                </c:pt>
                <c:pt idx="104">
                  <c:v>2.0301074522807214</c:v>
                </c:pt>
                <c:pt idx="105">
                  <c:v>1.9682840501387859</c:v>
                </c:pt>
                <c:pt idx="106">
                  <c:v>1.9084228115015187</c:v>
                </c:pt>
                <c:pt idx="107">
                  <c:v>1.8504567116787503</c:v>
                </c:pt>
                <c:pt idx="108">
                  <c:v>1.7943212991683162</c:v>
                </c:pt>
                <c:pt idx="109">
                  <c:v>1.7399545801238361</c:v>
                </c:pt>
                <c:pt idx="110">
                  <c:v>1.6872969089762149</c:v>
                </c:pt>
                <c:pt idx="111">
                  <c:v>1.6362908848257798</c:v>
                </c:pt>
                <c:pt idx="112">
                  <c:v>1.5868812532491439</c:v>
                </c:pt>
                <c:pt idx="113">
                  <c:v>1.5390148131898891</c:v>
                </c:pt>
                <c:pt idx="114">
                  <c:v>1.4926403286252168</c:v>
                </c:pt>
                <c:pt idx="115">
                  <c:v>1.4477084447219719</c:v>
                </c:pt>
                <c:pt idx="116">
                  <c:v>1.404171608215067</c:v>
                </c:pt>
                <c:pt idx="117">
                  <c:v>1.3619839917594554</c:v>
                </c:pt>
                <c:pt idx="118">
                  <c:v>1.32110142202355</c:v>
                </c:pt>
                <c:pt idx="119">
                  <c:v>1.281481311307475</c:v>
                </c:pt>
                <c:pt idx="120">
                  <c:v>1.2430825924838753</c:v>
                </c:pt>
                <c:pt idx="121">
                  <c:v>1.2058656570722759</c:v>
                </c:pt>
                <c:pt idx="122">
                  <c:v>1.1697922962702922</c:v>
                </c:pt>
                <c:pt idx="123">
                  <c:v>1.1348256447763965</c:v>
                </c:pt>
                <c:pt idx="124">
                  <c:v>1.1009301272495289</c:v>
                </c:pt>
                <c:pt idx="125">
                  <c:v>1.0680714072606623</c:v>
                </c:pt>
                <c:pt idx="126">
                  <c:v>1.0362163386005652</c:v>
                </c:pt>
                <c:pt idx="127">
                  <c:v>1.0053329188164801</c:v>
                </c:pt>
                <c:pt idx="128">
                  <c:v>0.97539024485833503</c:v>
                </c:pt>
                <c:pt idx="129">
                  <c:v>0.94635847072243873</c:v>
                </c:pt>
                <c:pt idx="130">
                  <c:v>0.91820876698744702</c:v>
                </c:pt>
                <c:pt idx="131">
                  <c:v>0.89091328214376597</c:v>
                </c:pt>
                <c:pt idx="132">
                  <c:v>0.86444510562347543</c:v>
                </c:pt>
                <c:pt idx="133">
                  <c:v>0.83877823244340977</c:v>
                </c:pt>
                <c:pt idx="134">
                  <c:v>0.81388752937918663</c:v>
                </c:pt>
                <c:pt idx="135">
                  <c:v>0.78974870259280283</c:v>
                </c:pt>
                <c:pt idx="136">
                  <c:v>0.76633826664091775</c:v>
                </c:pt>
                <c:pt idx="137">
                  <c:v>0.74363351479515716</c:v>
                </c:pt>
                <c:pt idx="138">
                  <c:v>0.72161249060970489</c:v>
                </c:pt>
                <c:pt idx="139">
                  <c:v>0.70025396067513002</c:v>
                </c:pt>
                <c:pt idx="140">
                  <c:v>0.67953738850085132</c:v>
                </c:pt>
                <c:pt idx="141">
                  <c:v>0.65944290947185669</c:v>
                </c:pt>
                <c:pt idx="142">
                  <c:v>0.63995130682832968</c:v>
                </c:pt>
                <c:pt idx="143">
                  <c:v>0.62104398861965993</c:v>
                </c:pt>
                <c:pt idx="144">
                  <c:v>0.60270296558698033</c:v>
                </c:pt>
                <c:pt idx="145">
                  <c:v>0.58491082993085763</c:v>
                </c:pt>
                <c:pt idx="146">
                  <c:v>0.56765073492311247</c:v>
                </c:pt>
                <c:pt idx="147">
                  <c:v>0.55090637532393161</c:v>
                </c:pt>
                <c:pt idx="148">
                  <c:v>0.53466196856751247</c:v>
                </c:pt>
                <c:pt idx="149">
                  <c:v>0.51890223668140489</c:v>
                </c:pt>
                <c:pt idx="150">
                  <c:v>0.5036123889065528</c:v>
                </c:pt>
                <c:pt idx="151">
                  <c:v>0.48877810498674368</c:v>
                </c:pt>
                <c:pt idx="152">
                  <c:v>0.47438551909779747</c:v>
                </c:pt>
                <c:pt idx="153">
                  <c:v>0.46042120438833667</c:v>
                </c:pt>
                <c:pt idx="154">
                  <c:v>0.44687215810542225</c:v>
                </c:pt>
                <c:pt idx="155">
                  <c:v>0.43372578727967931</c:v>
                </c:pt>
                <c:pt idx="156">
                  <c:v>0.42096989494581433</c:v>
                </c:pt>
                <c:pt idx="157">
                  <c:v>0.40859266687562185</c:v>
                </c:pt>
                <c:pt idx="158">
                  <c:v>0.3965826588017119</c:v>
                </c:pt>
                <c:pt idx="159">
                  <c:v>0.3849287841112547</c:v>
                </c:pt>
                <c:pt idx="160">
                  <c:v>0.37362030199005025</c:v>
                </c:pt>
                <c:pt idx="161">
                  <c:v>0.36264680599817928</c:v>
                </c:pt>
                <c:pt idx="162">
                  <c:v>0.35199821305939527</c:v>
                </c:pt>
                <c:pt idx="163">
                  <c:v>0.34166475284726378</c:v>
                </c:pt>
                <c:pt idx="164">
                  <c:v>0.33163695755186268</c:v>
                </c:pt>
                <c:pt idx="165">
                  <c:v>0.32190565201161708</c:v>
                </c:pt>
                <c:pt idx="166">
                  <c:v>0.31246194419555923</c:v>
                </c:pt>
                <c:pt idx="167">
                  <c:v>0.30329721602199161</c:v>
                </c:pt>
                <c:pt idx="168">
                  <c:v>0.29440311450016982</c:v>
                </c:pt>
                <c:pt idx="169">
                  <c:v>0.28577154318223846</c:v>
                </c:pt>
                <c:pt idx="170">
                  <c:v>0.27739465391323093</c:v>
                </c:pt>
                <c:pt idx="171">
                  <c:v>0.26926483886749175</c:v>
                </c:pt>
                <c:pt idx="172">
                  <c:v>0.26137472286040525</c:v>
                </c:pt>
                <c:pt idx="173">
                  <c:v>0.25371715592480365</c:v>
                </c:pt>
                <c:pt idx="174">
                  <c:v>0.24628520614190166</c:v>
                </c:pt>
                <c:pt idx="175">
                  <c:v>0.23907215271704671</c:v>
                </c:pt>
                <c:pt idx="176">
                  <c:v>0.23207147929099847</c:v>
                </c:pt>
                <c:pt idx="177">
                  <c:v>0.22527686747785339</c:v>
                </c:pt>
                <c:pt idx="178">
                  <c:v>0.21868219062111149</c:v>
                </c:pt>
                <c:pt idx="179">
                  <c:v>0.212281507759746</c:v>
                </c:pt>
                <c:pt idx="180">
                  <c:v>0.20606905779648232</c:v>
                </c:pt>
                <c:pt idx="181">
                  <c:v>0.20003925386082058</c:v>
                </c:pt>
                <c:pt idx="182">
                  <c:v>0.19418667785965002</c:v>
                </c:pt>
                <c:pt idx="183">
                  <c:v>0.18850607520859955</c:v>
                </c:pt>
                <c:pt idx="184">
                  <c:v>0.18299234973755474</c:v>
                </c:pt>
                <c:pt idx="185">
                  <c:v>0.17764055876403845</c:v>
                </c:pt>
                <c:pt idx="186">
                  <c:v>0.17244590832841381</c:v>
                </c:pt>
                <c:pt idx="187">
                  <c:v>0.1674037485851089</c:v>
                </c:pt>
                <c:pt idx="188">
                  <c:v>0.16250956934430125</c:v>
                </c:pt>
                <c:pt idx="189">
                  <c:v>0.15775899575871957</c:v>
                </c:pt>
                <c:pt idx="190">
                  <c:v>0.15314778415043548</c:v>
                </c:pt>
                <c:pt idx="191">
                  <c:v>0.14867181797272042</c:v>
                </c:pt>
                <c:pt idx="192">
                  <c:v>0.14432710390223671</c:v>
                </c:pt>
                <c:pt idx="193">
                  <c:v>0.14010976805701778</c:v>
                </c:pt>
                <c:pt idx="194">
                  <c:v>0.13601605233586894</c:v>
                </c:pt>
                <c:pt idx="195">
                  <c:v>0.13204231087498969</c:v>
                </c:pt>
                <c:pt idx="196">
                  <c:v>0.12818500661778037</c:v>
                </c:pt>
                <c:pt idx="197">
                  <c:v>0.12444070799394959</c:v>
                </c:pt>
                <c:pt idx="198">
                  <c:v>0.12080608570418848</c:v>
                </c:pt>
                <c:pt idx="199">
                  <c:v>0.11727790960681785</c:v>
                </c:pt>
                <c:pt idx="200">
                  <c:v>0.11385304570294989</c:v>
                </c:pt>
                <c:pt idx="201">
                  <c:v>0.11052845321683677</c:v>
                </c:pt>
                <c:pt idx="202">
                  <c:v>0.10730118176820103</c:v>
                </c:pt>
                <c:pt idx="203">
                  <c:v>0.10416836863346295</c:v>
                </c:pt>
                <c:pt idx="204">
                  <c:v>0.10112723609289269</c:v>
                </c:pt>
                <c:pt idx="205">
                  <c:v>9.8175088860825113E-2</c:v>
                </c:pt>
                <c:pt idx="206">
                  <c:v>9.5309311596179169E-2</c:v>
                </c:pt>
                <c:pt idx="207">
                  <c:v>9.2527366490624291E-2</c:v>
                </c:pt>
                <c:pt idx="208">
                  <c:v>8.9826790931832365E-2</c:v>
                </c:pt>
                <c:pt idx="209">
                  <c:v>8.7205195239345779E-2</c:v>
                </c:pt>
                <c:pt idx="210">
                  <c:v>8.4660260470681328E-2</c:v>
                </c:pt>
                <c:pt idx="211">
                  <c:v>8.2189736295373739E-2</c:v>
                </c:pt>
                <c:pt idx="212">
                  <c:v>7.9791438934744829E-2</c:v>
                </c:pt>
                <c:pt idx="213">
                  <c:v>7.7463249165262343E-2</c:v>
                </c:pt>
                <c:pt idx="214">
                  <c:v>7.5203110383427821E-2</c:v>
                </c:pt>
                <c:pt idx="215">
                  <c:v>7.300902673020486E-2</c:v>
                </c:pt>
                <c:pt idx="216">
                  <c:v>7.0879061273068963E-2</c:v>
                </c:pt>
                <c:pt idx="217">
                  <c:v>6.8811334243826294E-2</c:v>
                </c:pt>
                <c:pt idx="218">
                  <c:v>6.6804021330413479E-2</c:v>
                </c:pt>
                <c:pt idx="219">
                  <c:v>6.4855352020951731E-2</c:v>
                </c:pt>
                <c:pt idx="220">
                  <c:v>6.2963607998388113E-2</c:v>
                </c:pt>
                <c:pt idx="221">
                  <c:v>6.112712158411366E-2</c:v>
                </c:pt>
                <c:pt idx="222">
                  <c:v>5.9344274229003201E-2</c:v>
                </c:pt>
                <c:pt idx="223">
                  <c:v>5.7613495050374226E-2</c:v>
                </c:pt>
                <c:pt idx="224">
                  <c:v>5.593325941341324E-2</c:v>
                </c:pt>
                <c:pt idx="225">
                  <c:v>5.4302087555666879E-2</c:v>
                </c:pt>
                <c:pt idx="226">
                  <c:v>5.2718543253242163E-2</c:v>
                </c:pt>
                <c:pt idx="227">
                  <c:v>5.1181232527405585E-2</c:v>
                </c:pt>
                <c:pt idx="228">
                  <c:v>4.9688802390314785E-2</c:v>
                </c:pt>
                <c:pt idx="229">
                  <c:v>4.8239939628658149E-2</c:v>
                </c:pt>
                <c:pt idx="230">
                  <c:v>4.6833369624018649E-2</c:v>
                </c:pt>
                <c:pt idx="231">
                  <c:v>4.5467855208817312E-2</c:v>
                </c:pt>
                <c:pt idx="232">
                  <c:v>4.4142195556729207E-2</c:v>
                </c:pt>
                <c:pt idx="233">
                  <c:v>4.2855225106501332E-2</c:v>
                </c:pt>
                <c:pt idx="234">
                  <c:v>4.1605812518136949E-2</c:v>
                </c:pt>
                <c:pt idx="235">
                  <c:v>4.0392859660444383E-2</c:v>
                </c:pt>
                <c:pt idx="236">
                  <c:v>3.9215300628981285E-2</c:v>
                </c:pt>
                <c:pt idx="237">
                  <c:v>3.8072100793456617E-2</c:v>
                </c:pt>
                <c:pt idx="238">
                  <c:v>3.6962255873682813E-2</c:v>
                </c:pt>
                <c:pt idx="239">
                  <c:v>3.5884791043200331E-2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49DF-4991-9378-C4CCAEBFE91E}"/>
            </c:ext>
          </c:extLst>
        </c:ser>
        <c:ser>
          <c:idx val="5"/>
          <c:order val="11"/>
          <c:tx>
            <c:strRef>
              <c:f>'Coordenograma Manual'!$K$2</c:f>
              <c:strCache>
                <c:ptCount val="1"/>
                <c:pt idx="0">
                  <c:v>i2t</c:v>
                </c:pt>
              </c:strCache>
            </c:strRef>
          </c:tx>
          <c:spPr>
            <a:ln w="19050" cap="rnd">
              <a:solidFill>
                <a:schemeClr val="accent6">
                  <a:alpha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Manual'!$K$3:$K$242</c:f>
              <c:numCache>
                <c:formatCode>General</c:formatCode>
                <c:ptCount val="240"/>
                <c:pt idx="0">
                  <c:v>6384.2364532019747</c:v>
                </c:pt>
                <c:pt idx="1">
                  <c:v>3097.7905057023504</c:v>
                </c:pt>
                <c:pt idx="2">
                  <c:v>2003.5836058342977</c:v>
                </c:pt>
                <c:pt idx="3">
                  <c:v>1457.4347992010184</c:v>
                </c:pt>
                <c:pt idx="4">
                  <c:v>1130.507365602868</c:v>
                </c:pt>
                <c:pt idx="5">
                  <c:v>913.18862772959994</c:v>
                </c:pt>
                <c:pt idx="6">
                  <c:v>758.50135331896934</c:v>
                </c:pt>
                <c:pt idx="7">
                  <c:v>642.95660648072533</c:v>
                </c:pt>
                <c:pt idx="8">
                  <c:v>553.50469881600873</c:v>
                </c:pt>
                <c:pt idx="9">
                  <c:v>482.31557045529388</c:v>
                </c:pt>
                <c:pt idx="10">
                  <c:v>424.40623650062741</c:v>
                </c:pt>
                <c:pt idx="11">
                  <c:v>376.4545106986493</c:v>
                </c:pt>
                <c:pt idx="12">
                  <c:v>336.16024166053268</c:v>
                </c:pt>
                <c:pt idx="13">
                  <c:v>301.88030533425331</c:v>
                </c:pt>
                <c:pt idx="14">
                  <c:v>272.40960079047318</c:v>
                </c:pt>
                <c:pt idx="15">
                  <c:v>246.84417285165685</c:v>
                </c:pt>
                <c:pt idx="16">
                  <c:v>224.49264460868287</c:v>
                </c:pt>
                <c:pt idx="17">
                  <c:v>204.8171726266753</c:v>
                </c:pt>
                <c:pt idx="18">
                  <c:v>187.39304804057116</c:v>
                </c:pt>
                <c:pt idx="19">
                  <c:v>171.88041746039863</c:v>
                </c:pt>
                <c:pt idx="20">
                  <c:v>158.00408373175998</c:v>
                </c:pt>
                <c:pt idx="21">
                  <c:v>145.53881567129599</c:v>
                </c:pt>
                <c:pt idx="22">
                  <c:v>134.29849011613754</c:v>
                </c:pt>
                <c:pt idx="23">
                  <c:v>124.12794851346237</c:v>
                </c:pt>
                <c:pt idx="24">
                  <c:v>114.89680796411434</c:v>
                </c:pt>
                <c:pt idx="25">
                  <c:v>106.49470050713927</c:v>
                </c:pt>
                <c:pt idx="26">
                  <c:v>98.827570347427297</c:v>
                </c:pt>
                <c:pt idx="27">
                  <c:v>91.81476452840819</c:v>
                </c:pt>
                <c:pt idx="28">
                  <c:v>85.386725517150268</c:v>
                </c:pt>
                <c:pt idx="29">
                  <c:v>79.483145245048874</c:v>
                </c:pt>
                <c:pt idx="30">
                  <c:v>74.051476394695541</c:v>
                </c:pt>
                <c:pt idx="31">
                  <c:v>69.045722776381652</c:v>
                </c:pt>
                <c:pt idx="32">
                  <c:v>64.425449585253261</c:v>
                </c:pt>
                <c:pt idx="33">
                  <c:v>60.154968262190138</c:v>
                </c:pt>
                <c:pt idx="34">
                  <c:v>56.202661031028484</c:v>
                </c:pt>
                <c:pt idx="35">
                  <c:v>52.540417946918588</c:v>
                </c:pt>
                <c:pt idx="36">
                  <c:v>49.143165164693926</c:v>
                </c:pt>
                <c:pt idx="37">
                  <c:v>45.98846761898637</c:v>
                </c:pt>
                <c:pt idx="38">
                  <c:v>43.056192756175456</c:v>
                </c:pt>
                <c:pt idx="39">
                  <c:v>40.328224630729871</c:v>
                </c:pt>
                <c:pt idx="40">
                  <c:v>37.788219764323784</c:v>
                </c:pt>
                <c:pt idx="41">
                  <c:v>35.421397804964016</c:v>
                </c:pt>
                <c:pt idx="42">
                  <c:v>33.214361319189884</c:v>
                </c:pt>
                <c:pt idx="43">
                  <c:v>31.154940081165932</c:v>
                </c:pt>
                <c:pt idx="44">
                  <c:v>29.232056047078633</c:v>
                </c:pt>
                <c:pt idx="45">
                  <c:v>27.43560586649134</c:v>
                </c:pt>
                <c:pt idx="46">
                  <c:v>25.756358318532506</c:v>
                </c:pt>
                <c:pt idx="47">
                  <c:v>24.185864496454965</c:v>
                </c:pt>
                <c:pt idx="48">
                  <c:v>22.716378919728282</c:v>
                </c:pt>
                <c:pt idx="49">
                  <c:v>21.34079004441945</c:v>
                </c:pt>
                <c:pt idx="50">
                  <c:v>20.052558882734907</c:v>
                </c:pt>
                <c:pt idx="51">
                  <c:v>18.845664641136135</c:v>
                </c:pt>
                <c:pt idx="52">
                  <c:v>17.714556451249067</c:v>
                </c:pt>
                <c:pt idx="53">
                  <c:v>16.654110405108749</c:v>
                </c:pt>
                <c:pt idx="54">
                  <c:v>15.659591221114514</c:v>
                </c:pt>
                <c:pt idx="55">
                  <c:v>14.726617963432007</c:v>
                </c:pt>
                <c:pt idx="56">
                  <c:v>13.851133318709</c:v>
                </c:pt>
                <c:pt idx="57">
                  <c:v>13.029376002497742</c:v>
                </c:pt>
                <c:pt idx="58">
                  <c:v>12.257855925835099</c:v>
                </c:pt>
                <c:pt idx="59">
                  <c:v>11.533331801767272</c:v>
                </c:pt>
                <c:pt idx="60">
                  <c:v>10.852790913650479</c:v>
                </c:pt>
                <c:pt idx="61">
                  <c:v>10.213430802987565</c:v>
                </c:pt>
                <c:pt idx="62">
                  <c:v>9.6126426653459589</c:v>
                </c:pt>
                <c:pt idx="63">
                  <c:v>9.0479962693483156</c:v>
                </c:pt>
                <c:pt idx="64">
                  <c:v>8.5172262365019424</c:v>
                </c:pt>
                <c:pt idx="65">
                  <c:v>8.018219539293888</c:v>
                </c:pt>
                <c:pt idx="66">
                  <c:v>7.5490040919906845</c:v>
                </c:pt>
                <c:pt idx="67">
                  <c:v>7.107738323335222</c:v>
                </c:pt>
                <c:pt idx="68">
                  <c:v>6.6927016331564131</c:v>
                </c:pt>
                <c:pt idx="69">
                  <c:v>6.3022856460761689</c:v>
                </c:pt>
                <c:pt idx="70">
                  <c:v>5.9349861852467098</c:v>
                </c:pt>
                <c:pt idx="71">
                  <c:v>5.5893958975769378</c:v>
                </c:pt>
                <c:pt idx="72">
                  <c:v>5.2641974693777183</c:v>
                </c:pt>
                <c:pt idx="73">
                  <c:v>4.9581573779153851</c:v>
                </c:pt>
                <c:pt idx="74">
                  <c:v>4.6701201301326458</c:v>
                </c:pt>
                <c:pt idx="75">
                  <c:v>4.3990029448806931</c:v>
                </c:pt>
                <c:pt idx="76">
                  <c:v>4.14379083949503</c:v>
                </c:pt>
                <c:pt idx="77">
                  <c:v>3.9035320855171132</c:v>
                </c:pt>
                <c:pt idx="78">
                  <c:v>3.6773340018805976</c:v>
                </c:pt>
                <c:pt idx="79">
                  <c:v>3.4643590570012912</c:v>
                </c:pt>
                <c:pt idx="80">
                  <c:v>3.2638212539836129</c:v>
                </c:pt>
                <c:pt idx="81">
                  <c:v>3.0749827756253731</c:v>
                </c:pt>
                <c:pt idx="82">
                  <c:v>2.8971508681045526</c:v>
                </c:pt>
                <c:pt idx="83">
                  <c:v>2.729674944197924</c:v>
                </c:pt>
                <c:pt idx="84">
                  <c:v>2.5719438886401456</c:v>
                </c:pt>
                <c:pt idx="85">
                  <c:v>2.4233835498074261</c:v>
                </c:pt>
                <c:pt idx="86">
                  <c:v>2.2834544033232329</c:v>
                </c:pt>
                <c:pt idx="87">
                  <c:v>2.1516493744534202</c:v>
                </c:pt>
                <c:pt idx="88">
                  <c:v>2.0274918073006809</c:v>
                </c:pt>
                <c:pt idx="89">
                  <c:v>1.9105335698377139</c:v>
                </c:pt>
                <c:pt idx="90">
                  <c:v>1.8003532847473855</c:v>
                </c:pt>
                <c:pt idx="91">
                  <c:v>1.696554676877396</c:v>
                </c:pt>
                <c:pt idx="92">
                  <c:v>1.5987650288763462</c:v>
                </c:pt>
                <c:pt idx="93">
                  <c:v>1.5066337372659802</c:v>
                </c:pt>
                <c:pt idx="94">
                  <c:v>1.4198309618284759</c:v>
                </c:pt>
                <c:pt idx="95">
                  <c:v>1.338046361754484</c:v>
                </c:pt>
                <c:pt idx="96">
                  <c:v>1.2609879125131607</c:v>
                </c:pt>
                <c:pt idx="97">
                  <c:v>1.1883807978749079</c:v>
                </c:pt>
                <c:pt idx="98">
                  <c:v>1.1199663719455468</c:v>
                </c:pt>
                <c:pt idx="99">
                  <c:v>1.0555011864613615</c:v>
                </c:pt>
                <c:pt idx="100">
                  <c:v>0.99475607895153151</c:v>
                </c:pt>
                <c:pt idx="101">
                  <c:v>0.93751531770116669</c:v>
                </c:pt>
                <c:pt idx="102">
                  <c:v>0.88357579974742639</c:v>
                </c:pt>
                <c:pt idx="103">
                  <c:v>0.83274629841561887</c:v>
                </c:pt>
                <c:pt idx="104">
                  <c:v>0.78484675715411256</c:v>
                </c:pt>
                <c:pt idx="105">
                  <c:v>0.7397076266583642</c:v>
                </c:pt>
                <c:pt idx="106">
                  <c:v>0.69716924248736156</c:v>
                </c:pt>
                <c:pt idx="107">
                  <c:v>0.65708124057184425</c:v>
                </c:pt>
                <c:pt idx="108">
                  <c:v>0.61930200819443726</c:v>
                </c:pt>
                <c:pt idx="109">
                  <c:v>0.58369816818856612</c:v>
                </c:pt>
                <c:pt idx="110">
                  <c:v>0.55014409425702337</c:v>
                </c:pt>
                <c:pt idx="111">
                  <c:v>0.51852145545336836</c:v>
                </c:pt>
                <c:pt idx="112">
                  <c:v>0.48871878800100227</c:v>
                </c:pt>
                <c:pt idx="113">
                  <c:v>0.46063109274665054</c:v>
                </c:pt>
                <c:pt idx="114">
                  <c:v>0.43415945665792349</c:v>
                </c:pt>
                <c:pt idx="115">
                  <c:v>0.40921069687935596</c:v>
                </c:pt>
                <c:pt idx="116">
                  <c:v>0.38569702595851219</c:v>
                </c:pt>
                <c:pt idx="117">
                  <c:v>0.36353573694399938</c:v>
                </c:pt>
                <c:pt idx="118">
                  <c:v>0.34264890714110979</c:v>
                </c:pt>
                <c:pt idx="119">
                  <c:v>0.32296311938880318</c:v>
                </c:pt>
                <c:pt idx="120">
                  <c:v>0.30440919979433617</c:v>
                </c:pt>
                <c:pt idx="121">
                  <c:v>0.28692197092941268</c:v>
                </c:pt>
                <c:pt idx="122">
                  <c:v>0.27044001955470703</c:v>
                </c:pt>
                <c:pt idx="123">
                  <c:v>0.2549054779983001</c:v>
                </c:pt>
                <c:pt idx="124">
                  <c:v>0.24026381836832364</c:v>
                </c:pt>
                <c:pt idx="125">
                  <c:v>0.22646365883119182</c:v>
                </c:pt>
                <c:pt idx="126">
                  <c:v>0.21345658123450958</c:v>
                </c:pt>
                <c:pt idx="127">
                  <c:v>0.20119695939830487</c:v>
                </c:pt>
                <c:pt idx="128">
                  <c:v>0.18964179743987761</c:v>
                </c:pt>
                <c:pt idx="129">
                  <c:v>0.17875057753649615</c:v>
                </c:pt>
                <c:pt idx="130">
                  <c:v>0.16848511656659204</c:v>
                </c:pt>
                <c:pt idx="131">
                  <c:v>0.15880943110418455</c:v>
                </c:pt>
                <c:pt idx="132">
                  <c:v>0.14968961027316638</c:v>
                </c:pt>
                <c:pt idx="133">
                  <c:v>0.14109369599795982</c:v>
                </c:pt>
                <c:pt idx="134">
                  <c:v>0.13299157021503388</c:v>
                </c:pt>
                <c:pt idx="135">
                  <c:v>0.12535484863599866</c:v>
                </c:pt>
                <c:pt idx="136">
                  <c:v>0.11815678067757431</c:v>
                </c:pt>
                <c:pt idx="137">
                  <c:v>0.11137215519677802</c:v>
                </c:pt>
                <c:pt idx="138">
                  <c:v>0.10497721169129259</c:v>
                </c:pt>
                <c:pt idx="139">
                  <c:v>9.8949556645256495E-2</c:v>
                </c:pt>
                <c:pt idx="140">
                  <c:v>9.3268084719748706E-2</c:v>
                </c:pt>
                <c:pt idx="141">
                  <c:v>8.791290450510264E-2</c:v>
                </c:pt>
                <c:pt idx="142">
                  <c:v>8.2865268568954112E-2</c:v>
                </c:pt>
                <c:pt idx="143">
                  <c:v>7.8107507549675145E-2</c:v>
                </c:pt>
                <c:pt idx="144">
                  <c:v>7.3622968059637695E-2</c:v>
                </c:pt>
                <c:pt idx="145">
                  <c:v>6.9395954176644292E-2</c:v>
                </c:pt>
                <c:pt idx="146">
                  <c:v>6.5411672314919442E-2</c:v>
                </c:pt>
                <c:pt idx="147">
                  <c:v>6.1656179279323715E-2</c:v>
                </c:pt>
                <c:pt idx="148">
                  <c:v>5.8116333317984957E-2</c:v>
                </c:pt>
                <c:pt idx="149">
                  <c:v>5.4779747999380506E-2</c:v>
                </c:pt>
                <c:pt idx="150">
                  <c:v>5.1634748750097943E-2</c:v>
                </c:pt>
                <c:pt idx="151">
                  <c:v>4.8670331899084936E-2</c:v>
                </c:pt>
                <c:pt idx="152">
                  <c:v>4.5876126083213391E-2</c:v>
                </c:pt>
                <c:pt idx="153">
                  <c:v>4.3242355877460184E-2</c:v>
                </c:pt>
                <c:pt idx="154">
                  <c:v>4.0759807520982669E-2</c:v>
                </c:pt>
                <c:pt idx="155">
                  <c:v>3.8419796617869838E-2</c:v>
                </c:pt>
                <c:pt idx="156">
                  <c:v>3.6214137698409817E-2</c:v>
                </c:pt>
                <c:pt idx="157">
                  <c:v>3.4135115533357234E-2</c:v>
                </c:pt>
                <c:pt idx="158">
                  <c:v>3.2175458099936202E-2</c:v>
                </c:pt>
                <c:pt idx="159">
                  <c:v>3.0328311104197852E-2</c:v>
                </c:pt>
                <c:pt idx="160">
                  <c:v>2.8587213969890227E-2</c:v>
                </c:pt>
                <c:pt idx="161">
                  <c:v>2.6946077209211303E-2</c:v>
                </c:pt>
                <c:pt idx="162">
                  <c:v>2.5399161095723662E-2</c:v>
                </c:pt>
                <c:pt idx="163">
                  <c:v>2.394105556433004E-2</c:v>
                </c:pt>
                <c:pt idx="164">
                  <c:v>2.2566661267559036E-2</c:v>
                </c:pt>
                <c:pt idx="165">
                  <c:v>2.1271171721506787E-2</c:v>
                </c:pt>
                <c:pt idx="166">
                  <c:v>2.0050056478637213E-2</c:v>
                </c:pt>
                <c:pt idx="167">
                  <c:v>1.889904526827621E-2</c:v>
                </c:pt>
                <c:pt idx="168">
                  <c:v>1.7814113049055572E-2</c:v>
                </c:pt>
                <c:pt idx="169">
                  <c:v>1.6791465920784097E-2</c:v>
                </c:pt>
                <c:pt idx="170">
                  <c:v>1.5827527846257891E-2</c:v>
                </c:pt>
                <c:pt idx="171">
                  <c:v>1.4918928136379418E-2</c:v>
                </c:pt>
                <c:pt idx="172">
                  <c:v>1.4062489654647256E-2</c:v>
                </c:pt>
                <c:pt idx="173">
                  <c:v>1.3255217699613886E-2</c:v>
                </c:pt>
                <c:pt idx="174">
                  <c:v>1.24942895262979E-2</c:v>
                </c:pt>
                <c:pt idx="175">
                  <c:v>1.1777044469786885E-2</c:v>
                </c:pt>
                <c:pt idx="176">
                  <c:v>1.1100974636387369E-2</c:v>
                </c:pt>
                <c:pt idx="177">
                  <c:v>1.0463716129675173E-2</c:v>
                </c:pt>
                <c:pt idx="178">
                  <c:v>9.8630407806811083E-3</c:v>
                </c:pt>
                <c:pt idx="179">
                  <c:v>9.296848353219667E-3</c:v>
                </c:pt>
                <c:pt idx="180">
                  <c:v>8.7631591970384528E-3</c:v>
                </c:pt>
                <c:pt idx="181">
                  <c:v>8.2601073230398631E-3</c:v>
                </c:pt>
                <c:pt idx="182">
                  <c:v>7.7859338763091816E-3</c:v>
                </c:pt>
                <c:pt idx="183">
                  <c:v>7.3389809840803859E-3</c:v>
                </c:pt>
                <c:pt idx="184">
                  <c:v>6.9176859570874091E-3</c:v>
                </c:pt>
                <c:pt idx="185">
                  <c:v>6.520575823989001E-3</c:v>
                </c:pt>
                <c:pt idx="186">
                  <c:v>6.1462621797243287E-3</c:v>
                </c:pt>
                <c:pt idx="187">
                  <c:v>5.7934363297577774E-3</c:v>
                </c:pt>
                <c:pt idx="188">
                  <c:v>5.4608647132094899E-3</c:v>
                </c:pt>
                <c:pt idx="189">
                  <c:v>5.1473845888462206E-3</c:v>
                </c:pt>
                <c:pt idx="190">
                  <c:v>4.8518999688287974E-3</c:v>
                </c:pt>
                <c:pt idx="191">
                  <c:v>4.5733777859811968E-3</c:v>
                </c:pt>
                <c:pt idx="192">
                  <c:v>4.3108442811647055E-3</c:v>
                </c:pt>
                <c:pt idx="193">
                  <c:v>4.0633815981121436E-3</c:v>
                </c:pt>
                <c:pt idx="194">
                  <c:v>3.8301245738041126E-3</c:v>
                </c:pt>
                <c:pt idx="195">
                  <c:v>3.6102577131543637E-3</c:v>
                </c:pt>
                <c:pt idx="196">
                  <c:v>3.4030123374171107E-3</c:v>
                </c:pt>
                <c:pt idx="197">
                  <c:v>3.2076638963376173E-3</c:v>
                </c:pt>
                <c:pt idx="198">
                  <c:v>3.0235294346409461E-3</c:v>
                </c:pt>
                <c:pt idx="199">
                  <c:v>2.8499652039942411E-3</c:v>
                </c:pt>
                <c:pt idx="200">
                  <c:v>2.6863644120873535E-3</c:v>
                </c:pt>
                <c:pt idx="201">
                  <c:v>2.5321551009567247E-3</c:v>
                </c:pt>
                <c:pt idx="202">
                  <c:v>2.3867981471299596E-3</c:v>
                </c:pt>
                <c:pt idx="203">
                  <c:v>2.2497853765949673E-3</c:v>
                </c:pt>
                <c:pt idx="204">
                  <c:v>2.1206377879995331E-3</c:v>
                </c:pt>
                <c:pt idx="205">
                  <c:v>1.998903877865988E-3</c:v>
                </c:pt>
                <c:pt idx="206">
                  <c:v>1.8841580619627322E-3</c:v>
                </c:pt>
                <c:pt idx="207">
                  <c:v>1.77599918731088E-3</c:v>
                </c:pt>
                <c:pt idx="208">
                  <c:v>1.6740491296214778E-3</c:v>
                </c:pt>
                <c:pt idx="209">
                  <c:v>1.5779514712577145E-3</c:v>
                </c:pt>
                <c:pt idx="210">
                  <c:v>1.4873702550982997E-3</c:v>
                </c:pt>
                <c:pt idx="211">
                  <c:v>1.4019888099437729E-3</c:v>
                </c:pt>
                <c:pt idx="212">
                  <c:v>1.3215086433578142E-3</c:v>
                </c:pt>
                <c:pt idx="213">
                  <c:v>1.2456483980715601E-3</c:v>
                </c:pt>
                <c:pt idx="214">
                  <c:v>1.1741428683013126E-3</c:v>
                </c:pt>
                <c:pt idx="215">
                  <c:v>1.1067420725396052E-3</c:v>
                </c:pt>
                <c:pt idx="216">
                  <c:v>1.0432103795771689E-3</c:v>
                </c:pt>
                <c:pt idx="217">
                  <c:v>9.8332568469952425E-4</c:v>
                </c:pt>
                <c:pt idx="218">
                  <c:v>9.2687863317745536E-4</c:v>
                </c:pt>
                <c:pt idx="219">
                  <c:v>8.7367188833602845E-4</c:v>
                </c:pt>
                <c:pt idx="220">
                  <c:v>8.2351944164275133E-4</c:v>
                </c:pt>
                <c:pt idx="221">
                  <c:v>7.762459624024358E-4</c:v>
                </c:pt>
                <c:pt idx="222">
                  <c:v>7.3168618478484525E-4</c:v>
                </c:pt>
                <c:pt idx="223">
                  <c:v>6.8968433004178457E-4</c:v>
                </c:pt>
                <c:pt idx="224">
                  <c:v>6.5009356189335392E-4</c:v>
                </c:pt>
                <c:pt idx="225">
                  <c:v>6.1277547317909115E-4</c:v>
                </c:pt>
                <c:pt idx="226">
                  <c:v>5.7759960197906722E-4</c:v>
                </c:pt>
                <c:pt idx="227">
                  <c:v>5.4444297551305414E-4</c:v>
                </c:pt>
                <c:pt idx="228">
                  <c:v>5.1318968022303387E-4</c:v>
                </c:pt>
                <c:pt idx="229">
                  <c:v>4.837304565358698E-4</c:v>
                </c:pt>
                <c:pt idx="230">
                  <c:v>4.559623168892726E-4</c:v>
                </c:pt>
                <c:pt idx="231">
                  <c:v>4.2978818568554074E-4</c:v>
                </c:pt>
                <c:pt idx="232">
                  <c:v>4.0511655991422931E-4</c:v>
                </c:pt>
                <c:pt idx="233">
                  <c:v>3.8186118925717633E-4</c:v>
                </c:pt>
                <c:pt idx="234">
                  <c:v>3.5994077455744238E-4</c:v>
                </c:pt>
                <c:pt idx="235">
                  <c:v>3.3927868359792809E-4</c:v>
                </c:pt>
                <c:pt idx="236">
                  <c:v>3.198026831959596E-4</c:v>
                </c:pt>
                <c:pt idx="237">
                  <c:v>3.0144468667718581E-4</c:v>
                </c:pt>
                <c:pt idx="238">
                  <c:v>2.841405158458992E-4</c:v>
                </c:pt>
                <c:pt idx="239">
                  <c:v>2.6782967661958406E-4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49DF-4991-9378-C4CCAEBFE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</c:scatterChart>
      <c:valAx>
        <c:axId val="2053941103"/>
        <c:scaling>
          <c:logBase val="10"/>
          <c:orientation val="minMax"/>
          <c:max val="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corrente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935"/>
        <c:crosses val="autoZero"/>
        <c:crossBetween val="midCat"/>
      </c:valAx>
      <c:valAx>
        <c:axId val="20539419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low"/>
        <c:spPr>
          <a:noFill/>
          <a:ln>
            <a:solidFill>
              <a:schemeClr val="tx1">
                <a:lumMod val="25000"/>
                <a:lumOff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103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50/51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4"/>
          <c:order val="5"/>
          <c:tx>
            <c:strRef>
              <c:f>'Coordenograma Manual'!$T$2</c:f>
              <c:strCache>
                <c:ptCount val="1"/>
                <c:pt idx="0">
                  <c:v>50/51 da Fonte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Manual'!$T$3:$T$242</c:f>
              <c:numCache>
                <c:formatCode>General</c:formatCode>
                <c:ptCount val="240"/>
                <c:pt idx="0">
                  <c:v>-30.051941627504331</c:v>
                </c:pt>
                <c:pt idx="1">
                  <c:v>-30.4947682021138</c:v>
                </c:pt>
                <c:pt idx="2">
                  <c:v>-30.964733411357667</c:v>
                </c:pt>
                <c:pt idx="3">
                  <c:v>-31.464185800781063</c:v>
                </c:pt>
                <c:pt idx="4">
                  <c:v>-31.995750679228976</c:v>
                </c:pt>
                <c:pt idx="5">
                  <c:v>-32.562372168134416</c:v>
                </c:pt>
                <c:pt idx="6">
                  <c:v>-33.167363159324452</c:v>
                </c:pt>
                <c:pt idx="7">
                  <c:v>-33.814464972793843</c:v>
                </c:pt>
                <c:pt idx="8">
                  <c:v>-34.507918985176715</c:v>
                </c:pt>
                <c:pt idx="9">
                  <c:v>-35.252553128172444</c:v>
                </c:pt>
                <c:pt idx="10">
                  <c:v>-36.053886987440897</c:v>
                </c:pt>
                <c:pt idx="11">
                  <c:v>-36.918260341833872</c:v>
                </c:pt>
                <c:pt idx="12">
                  <c:v>-37.852991477636039</c:v>
                </c:pt>
                <c:pt idx="13">
                  <c:v>-38.866573647536022</c:v>
                </c:pt>
                <c:pt idx="14">
                  <c:v>-39.968920845358483</c:v>
                </c:pt>
                <c:pt idx="15">
                  <c:v>-41.171677969737516</c:v>
                </c:pt>
                <c:pt idx="16">
                  <c:v>-42.488615955517034</c:v>
                </c:pt>
                <c:pt idx="17">
                  <c:v>-43.936140327840818</c:v>
                </c:pt>
                <c:pt idx="18">
                  <c:v>-45.533953071750148</c:v>
                </c:pt>
                <c:pt idx="19">
                  <c:v>-47.305924593895035</c:v>
                </c:pt>
                <c:pt idx="20">
                  <c:v>-49.281257924714851</c:v>
                </c:pt>
                <c:pt idx="21">
                  <c:v>-51.496066190932865</c:v>
                </c:pt>
                <c:pt idx="22">
                  <c:v>-53.995545274895683</c:v>
                </c:pt>
                <c:pt idx="23">
                  <c:v>-56.837021235476385</c:v>
                </c:pt>
                <c:pt idx="24">
                  <c:v>-60.094312944877274</c:v>
                </c:pt>
                <c:pt idx="25">
                  <c:v>-63.864123496814102</c:v>
                </c:pt>
                <c:pt idx="26">
                  <c:v>-68.275653549770198</c:v>
                </c:pt>
                <c:pt idx="27">
                  <c:v>-73.505505300212889</c:v>
                </c:pt>
                <c:pt idx="28">
                  <c:v>-79.801617063937442</c:v>
                </c:pt>
                <c:pt idx="29">
                  <c:v>-87.523329350844691</c:v>
                </c:pt>
                <c:pt idx="30">
                  <c:v>-97.211871989614295</c:v>
                </c:pt>
                <c:pt idx="31">
                  <c:v>-109.72212392426276</c:v>
                </c:pt>
                <c:pt idx="32">
                  <c:v>-126.48831366535563</c:v>
                </c:pt>
                <c:pt idx="33">
                  <c:v>-150.11491416438332</c:v>
                </c:pt>
                <c:pt idx="34">
                  <c:v>-185.87606942531988</c:v>
                </c:pt>
                <c:pt idx="35">
                  <c:v>-246.31481772249055</c:v>
                </c:pt>
                <c:pt idx="36">
                  <c:v>-370.34856818128816</c:v>
                </c:pt>
                <c:pt idx="37">
                  <c:v>-769.41884227169703</c:v>
                </c:pt>
                <c:pt idx="38">
                  <c:v>7002.3705726839144</c:v>
                </c:pt>
                <c:pt idx="39">
                  <c:v>614.03392021356092</c:v>
                </c:pt>
                <c:pt idx="40">
                  <c:v>316.56456613058265</c:v>
                </c:pt>
                <c:pt idx="41">
                  <c:v>211.18601104480021</c:v>
                </c:pt>
                <c:pt idx="42">
                  <c:v>157.26488766805471</c:v>
                </c:pt>
                <c:pt idx="43">
                  <c:v>124.51841101133959</c:v>
                </c:pt>
                <c:pt idx="44">
                  <c:v>102.52886827996062</c:v>
                </c:pt>
                <c:pt idx="45">
                  <c:v>86.749585431093351</c:v>
                </c:pt>
                <c:pt idx="46">
                  <c:v>74.879796942229603</c:v>
                </c:pt>
                <c:pt idx="47">
                  <c:v>65.630317300651669</c:v>
                </c:pt>
                <c:pt idx="48">
                  <c:v>58.222644443088036</c:v>
                </c:pt>
                <c:pt idx="49">
                  <c:v>52.158874365150062</c:v>
                </c:pt>
                <c:pt idx="50">
                  <c:v>47.105729412674357</c:v>
                </c:pt>
                <c:pt idx="51">
                  <c:v>42.831712740617412</c:v>
                </c:pt>
                <c:pt idx="52">
                  <c:v>39.171009931358427</c:v>
                </c:pt>
                <c:pt idx="53">
                  <c:v>36.001736532752716</c:v>
                </c:pt>
                <c:pt idx="54">
                  <c:v>33.232293265835722</c:v>
                </c:pt>
                <c:pt idx="55">
                  <c:v>30.792509525352813</c:v>
                </c:pt>
                <c:pt idx="56">
                  <c:v>28.627723111145684</c:v>
                </c:pt>
                <c:pt idx="57">
                  <c:v>26.694719954873278</c:v>
                </c:pt>
                <c:pt idx="58">
                  <c:v>24.958886008150014</c:v>
                </c:pt>
                <c:pt idx="59">
                  <c:v>23.39216910926951</c:v>
                </c:pt>
                <c:pt idx="60">
                  <c:v>21.971594247423145</c:v>
                </c:pt>
                <c:pt idx="61">
                  <c:v>20.678164511447164</c:v>
                </c:pt>
                <c:pt idx="62">
                  <c:v>19.49603568781469</c:v>
                </c:pt>
                <c:pt idx="63">
                  <c:v>18.41188818432682</c:v>
                </c:pt>
                <c:pt idx="64">
                  <c:v>17.414443352214786</c:v>
                </c:pt>
                <c:pt idx="65">
                  <c:v>16.494086904986112</c:v>
                </c:pt>
                <c:pt idx="66">
                  <c:v>15.642572752911235</c:v>
                </c:pt>
                <c:pt idx="67">
                  <c:v>14.852787907639373</c:v>
                </c:pt>
                <c:pt idx="68">
                  <c:v>14.11856425349027</c:v>
                </c:pt>
                <c:pt idx="69">
                  <c:v>13.434526635860914</c:v>
                </c:pt>
                <c:pt idx="70">
                  <c:v>12.795969346549073</c:v>
                </c:pt>
                <c:pt idx="71">
                  <c:v>12.198755000175925</c:v>
                </c:pt>
                <c:pt idx="72">
                  <c:v>11.639231204974983</c:v>
                </c:pt>
                <c:pt idx="73">
                  <c:v>11.114161478971502</c:v>
                </c:pt>
                <c:pt idx="74">
                  <c:v>10.620667649103403</c:v>
                </c:pt>
                <c:pt idx="75">
                  <c:v>10.15618156654806</c:v>
                </c:pt>
                <c:pt idx="76">
                  <c:v>9.7184044265044474</c:v>
                </c:pt>
                <c:pt idx="77">
                  <c:v>9.3052723309309631</c:v>
                </c:pt>
                <c:pt idx="78">
                  <c:v>8.9149270043758548</c:v>
                </c:pt>
                <c:pt idx="79">
                  <c:v>8.5456907851877517</c:v>
                </c:pt>
                <c:pt idx="80">
                  <c:v>8.196045181189298</c:v>
                </c:pt>
                <c:pt idx="81">
                  <c:v>7.8646124108605857</c:v>
                </c:pt>
                <c:pt idx="82">
                  <c:v>7.5501394561102355</c:v>
                </c:pt>
                <c:pt idx="83">
                  <c:v>7.2514842367823338</c:v>
                </c:pt>
                <c:pt idx="84">
                  <c:v>6.967603584703987</c:v>
                </c:pt>
                <c:pt idx="85">
                  <c:v>6.6975427498064448</c:v>
                </c:pt>
                <c:pt idx="86">
                  <c:v>6.4404262153400023</c:v>
                </c:pt>
                <c:pt idx="87">
                  <c:v>6.1954496355353896</c:v>
                </c:pt>
                <c:pt idx="88">
                  <c:v>5.9618727388698289</c:v>
                </c:pt>
                <c:pt idx="89">
                  <c:v>5.7390130646515232</c:v>
                </c:pt>
                <c:pt idx="90">
                  <c:v>5.5262404209500762</c:v>
                </c:pt>
                <c:pt idx="91">
                  <c:v>5.322971968770795</c:v>
                </c:pt>
                <c:pt idx="92">
                  <c:v>5.1286678514346837</c:v>
                </c:pt>
                <c:pt idx="93">
                  <c:v>0.15</c:v>
                </c:pt>
                <c:pt idx="94">
                  <c:v>0.15</c:v>
                </c:pt>
                <c:pt idx="95">
                  <c:v>0.15</c:v>
                </c:pt>
                <c:pt idx="96">
                  <c:v>0.15</c:v>
                </c:pt>
                <c:pt idx="97">
                  <c:v>0.15</c:v>
                </c:pt>
                <c:pt idx="98">
                  <c:v>0.15</c:v>
                </c:pt>
                <c:pt idx="99">
                  <c:v>0.15</c:v>
                </c:pt>
                <c:pt idx="100">
                  <c:v>0.15</c:v>
                </c:pt>
                <c:pt idx="101">
                  <c:v>0.15</c:v>
                </c:pt>
                <c:pt idx="102">
                  <c:v>0.15</c:v>
                </c:pt>
                <c:pt idx="103">
                  <c:v>0.15</c:v>
                </c:pt>
                <c:pt idx="104">
                  <c:v>0.15</c:v>
                </c:pt>
                <c:pt idx="105">
                  <c:v>0.15</c:v>
                </c:pt>
                <c:pt idx="106">
                  <c:v>0.15</c:v>
                </c:pt>
                <c:pt idx="107">
                  <c:v>0.15</c:v>
                </c:pt>
                <c:pt idx="108">
                  <c:v>0.15</c:v>
                </c:pt>
                <c:pt idx="109">
                  <c:v>0.15</c:v>
                </c:pt>
                <c:pt idx="110">
                  <c:v>0.15</c:v>
                </c:pt>
                <c:pt idx="111">
                  <c:v>0.15</c:v>
                </c:pt>
                <c:pt idx="112">
                  <c:v>0.15</c:v>
                </c:pt>
                <c:pt idx="113">
                  <c:v>0.15</c:v>
                </c:pt>
                <c:pt idx="114">
                  <c:v>0.15</c:v>
                </c:pt>
                <c:pt idx="115">
                  <c:v>0.15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0.15</c:v>
                </c:pt>
                <c:pt idx="129">
                  <c:v>0.15</c:v>
                </c:pt>
                <c:pt idx="130">
                  <c:v>0.15</c:v>
                </c:pt>
                <c:pt idx="131">
                  <c:v>0.15</c:v>
                </c:pt>
                <c:pt idx="132">
                  <c:v>0.15</c:v>
                </c:pt>
                <c:pt idx="133">
                  <c:v>0.15</c:v>
                </c:pt>
                <c:pt idx="134">
                  <c:v>0.15</c:v>
                </c:pt>
                <c:pt idx="135">
                  <c:v>0.15</c:v>
                </c:pt>
                <c:pt idx="136">
                  <c:v>0.15</c:v>
                </c:pt>
                <c:pt idx="137">
                  <c:v>0.15</c:v>
                </c:pt>
                <c:pt idx="138">
                  <c:v>0.15</c:v>
                </c:pt>
                <c:pt idx="139">
                  <c:v>0.15</c:v>
                </c:pt>
                <c:pt idx="140">
                  <c:v>0.15</c:v>
                </c:pt>
                <c:pt idx="141">
                  <c:v>0.15</c:v>
                </c:pt>
                <c:pt idx="142">
                  <c:v>0.15</c:v>
                </c:pt>
                <c:pt idx="143">
                  <c:v>0.15</c:v>
                </c:pt>
                <c:pt idx="144">
                  <c:v>0.15</c:v>
                </c:pt>
                <c:pt idx="145">
                  <c:v>0.15</c:v>
                </c:pt>
                <c:pt idx="146">
                  <c:v>0.15</c:v>
                </c:pt>
                <c:pt idx="147">
                  <c:v>0.15</c:v>
                </c:pt>
                <c:pt idx="148">
                  <c:v>0.15</c:v>
                </c:pt>
                <c:pt idx="149">
                  <c:v>0.15</c:v>
                </c:pt>
                <c:pt idx="150">
                  <c:v>0.15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0.15</c:v>
                </c:pt>
                <c:pt idx="157">
                  <c:v>0.15</c:v>
                </c:pt>
                <c:pt idx="158">
                  <c:v>0.15</c:v>
                </c:pt>
                <c:pt idx="159">
                  <c:v>0.15</c:v>
                </c:pt>
                <c:pt idx="160">
                  <c:v>0.15</c:v>
                </c:pt>
                <c:pt idx="161">
                  <c:v>0.15</c:v>
                </c:pt>
                <c:pt idx="162">
                  <c:v>0.15</c:v>
                </c:pt>
                <c:pt idx="163">
                  <c:v>0.15</c:v>
                </c:pt>
                <c:pt idx="164">
                  <c:v>0.15</c:v>
                </c:pt>
                <c:pt idx="165">
                  <c:v>0.15</c:v>
                </c:pt>
                <c:pt idx="166">
                  <c:v>0.15</c:v>
                </c:pt>
                <c:pt idx="167">
                  <c:v>0.15</c:v>
                </c:pt>
                <c:pt idx="168">
                  <c:v>0.15</c:v>
                </c:pt>
                <c:pt idx="169">
                  <c:v>0.15</c:v>
                </c:pt>
                <c:pt idx="170">
                  <c:v>0.15</c:v>
                </c:pt>
                <c:pt idx="171">
                  <c:v>0.15</c:v>
                </c:pt>
                <c:pt idx="172">
                  <c:v>0.15</c:v>
                </c:pt>
                <c:pt idx="173">
                  <c:v>0.15</c:v>
                </c:pt>
                <c:pt idx="174">
                  <c:v>0.15</c:v>
                </c:pt>
                <c:pt idx="175">
                  <c:v>0.15</c:v>
                </c:pt>
                <c:pt idx="176">
                  <c:v>0.15</c:v>
                </c:pt>
                <c:pt idx="177">
                  <c:v>0.15</c:v>
                </c:pt>
                <c:pt idx="178">
                  <c:v>0.15</c:v>
                </c:pt>
                <c:pt idx="179">
                  <c:v>0.15</c:v>
                </c:pt>
                <c:pt idx="180">
                  <c:v>0.15</c:v>
                </c:pt>
                <c:pt idx="181">
                  <c:v>0.15</c:v>
                </c:pt>
                <c:pt idx="182">
                  <c:v>0.15</c:v>
                </c:pt>
                <c:pt idx="183">
                  <c:v>0.15</c:v>
                </c:pt>
                <c:pt idx="184">
                  <c:v>0.15</c:v>
                </c:pt>
                <c:pt idx="185">
                  <c:v>0.15</c:v>
                </c:pt>
                <c:pt idx="186">
                  <c:v>0.15</c:v>
                </c:pt>
                <c:pt idx="187">
                  <c:v>0.15</c:v>
                </c:pt>
                <c:pt idx="188">
                  <c:v>0.15</c:v>
                </c:pt>
                <c:pt idx="189">
                  <c:v>0.15</c:v>
                </c:pt>
                <c:pt idx="190">
                  <c:v>0.15</c:v>
                </c:pt>
                <c:pt idx="191">
                  <c:v>0.15</c:v>
                </c:pt>
                <c:pt idx="192">
                  <c:v>0.15</c:v>
                </c:pt>
                <c:pt idx="193">
                  <c:v>0.15</c:v>
                </c:pt>
                <c:pt idx="194">
                  <c:v>0.15</c:v>
                </c:pt>
                <c:pt idx="195">
                  <c:v>0.15</c:v>
                </c:pt>
                <c:pt idx="196">
                  <c:v>0.15</c:v>
                </c:pt>
                <c:pt idx="197">
                  <c:v>0.15</c:v>
                </c:pt>
                <c:pt idx="198">
                  <c:v>0.15</c:v>
                </c:pt>
                <c:pt idx="199">
                  <c:v>0.15</c:v>
                </c:pt>
                <c:pt idx="200">
                  <c:v>0.15</c:v>
                </c:pt>
                <c:pt idx="201">
                  <c:v>0.15</c:v>
                </c:pt>
                <c:pt idx="202">
                  <c:v>0.15</c:v>
                </c:pt>
                <c:pt idx="203">
                  <c:v>0.15</c:v>
                </c:pt>
                <c:pt idx="204">
                  <c:v>0.15</c:v>
                </c:pt>
                <c:pt idx="205">
                  <c:v>0.15</c:v>
                </c:pt>
                <c:pt idx="206">
                  <c:v>0.15</c:v>
                </c:pt>
                <c:pt idx="207">
                  <c:v>0.15</c:v>
                </c:pt>
                <c:pt idx="208">
                  <c:v>0.15</c:v>
                </c:pt>
                <c:pt idx="209">
                  <c:v>0.15</c:v>
                </c:pt>
                <c:pt idx="210">
                  <c:v>0.15</c:v>
                </c:pt>
                <c:pt idx="211">
                  <c:v>0.15</c:v>
                </c:pt>
                <c:pt idx="212">
                  <c:v>0.15</c:v>
                </c:pt>
                <c:pt idx="213">
                  <c:v>0.15</c:v>
                </c:pt>
                <c:pt idx="214">
                  <c:v>0.15</c:v>
                </c:pt>
                <c:pt idx="215">
                  <c:v>0.15</c:v>
                </c:pt>
                <c:pt idx="216">
                  <c:v>0.15</c:v>
                </c:pt>
                <c:pt idx="217">
                  <c:v>0.15</c:v>
                </c:pt>
                <c:pt idx="218">
                  <c:v>0.15</c:v>
                </c:pt>
                <c:pt idx="219">
                  <c:v>0.15</c:v>
                </c:pt>
                <c:pt idx="220">
                  <c:v>0.15</c:v>
                </c:pt>
                <c:pt idx="221">
                  <c:v>0.15</c:v>
                </c:pt>
                <c:pt idx="222">
                  <c:v>0.15</c:v>
                </c:pt>
                <c:pt idx="223">
                  <c:v>0.15</c:v>
                </c:pt>
                <c:pt idx="224">
                  <c:v>0.15</c:v>
                </c:pt>
                <c:pt idx="225">
                  <c:v>0.15</c:v>
                </c:pt>
                <c:pt idx="226">
                  <c:v>0.15</c:v>
                </c:pt>
                <c:pt idx="227">
                  <c:v>0.15</c:v>
                </c:pt>
                <c:pt idx="228">
                  <c:v>0.15</c:v>
                </c:pt>
                <c:pt idx="229">
                  <c:v>0.15</c:v>
                </c:pt>
                <c:pt idx="230">
                  <c:v>0.15</c:v>
                </c:pt>
                <c:pt idx="231">
                  <c:v>0.15</c:v>
                </c:pt>
                <c:pt idx="232">
                  <c:v>0.15</c:v>
                </c:pt>
                <c:pt idx="233">
                  <c:v>0.15</c:v>
                </c:pt>
                <c:pt idx="234">
                  <c:v>0.15</c:v>
                </c:pt>
                <c:pt idx="235">
                  <c:v>0.15</c:v>
                </c:pt>
                <c:pt idx="236">
                  <c:v>0.15</c:v>
                </c:pt>
                <c:pt idx="237">
                  <c:v>0.15</c:v>
                </c:pt>
                <c:pt idx="238">
                  <c:v>0.15</c:v>
                </c:pt>
                <c:pt idx="239">
                  <c:v>0.15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38-49F5-AD58-9F574E2C7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4"/>
                <c:tx>
                  <c:strRef>
                    <c:extLst>
                      <c:ext uri="{02D57815-91ED-43cb-92C2-25804820EDAC}">
                        <c15:formulaRef>
                          <c15:sqref>'Coordenograma Manual'!$C$14</c15:sqref>
                        </c15:formulaRef>
                      </c:ext>
                    </c:extLst>
                    <c:strCache>
                      <c:ptCount val="1"/>
                      <c:pt idx="0">
                        <c:v>Corrente de falta FF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60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pPr>
                    <a:solidFill>
                      <a:schemeClr val="accent6">
                        <a:lumMod val="60000"/>
                      </a:schemeClr>
                    </a:solidFill>
                    <a:ln w="6350" cap="flat" cmpd="sng" algn="ctr">
                      <a:solidFill>
                        <a:schemeClr val="accent6">
                          <a:lumMod val="60000"/>
                        </a:schemeClr>
                      </a:solidFill>
                      <a:prstDash val="solid"/>
                      <a:round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'Coordenograma Manual'!$B$14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20.37</c:v>
                      </c:pt>
                    </c:numCache>
                  </c:numRef>
                </c:xVal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>
                  <c:ext xmlns:c16="http://schemas.microsoft.com/office/drawing/2014/chart" uri="{C3380CC4-5D6E-409C-BE32-E72D297353CC}">
                    <c16:uniqueId val="{00000011-4B58-4846-AD58-235BA778ABBD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0"/>
          <c:tx>
            <c:strRef>
              <c:f>'Coordenograma Manual'!$M$2</c:f>
              <c:strCache>
                <c:ptCount val="1"/>
                <c:pt idx="0">
                  <c:v>50/51 da Carga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'Coordenograma Manual'!$E$3:$E$242</c:f>
              <c:numCache>
                <c:formatCode>General</c:formatCode>
                <c:ptCount val="240"/>
                <c:pt idx="0">
                  <c:v>0.97849999999999993</c:v>
                </c:pt>
                <c:pt idx="1">
                  <c:v>1.0078549999999999</c:v>
                </c:pt>
                <c:pt idx="2">
                  <c:v>1.03809065</c:v>
                </c:pt>
                <c:pt idx="3">
                  <c:v>1.0692333695</c:v>
                </c:pt>
                <c:pt idx="4">
                  <c:v>1.101310370585</c:v>
                </c:pt>
                <c:pt idx="5">
                  <c:v>1.13434968170255</c:v>
                </c:pt>
                <c:pt idx="6">
                  <c:v>1.1683801721536264</c:v>
                </c:pt>
                <c:pt idx="7">
                  <c:v>1.2034315773182354</c:v>
                </c:pt>
                <c:pt idx="8">
                  <c:v>1.2395345246377825</c:v>
                </c:pt>
                <c:pt idx="9">
                  <c:v>1.2767205603769161</c:v>
                </c:pt>
                <c:pt idx="10">
                  <c:v>1.3150221771882236</c:v>
                </c:pt>
                <c:pt idx="11">
                  <c:v>1.3544728425038703</c:v>
                </c:pt>
                <c:pt idx="12">
                  <c:v>1.3951070277789865</c:v>
                </c:pt>
                <c:pt idx="13">
                  <c:v>1.4369602386123561</c:v>
                </c:pt>
                <c:pt idx="14">
                  <c:v>1.4800690457707268</c:v>
                </c:pt>
                <c:pt idx="15">
                  <c:v>1.5244711171438488</c:v>
                </c:pt>
                <c:pt idx="16">
                  <c:v>1.5702052506581643</c:v>
                </c:pt>
                <c:pt idx="17">
                  <c:v>1.6173114081779092</c:v>
                </c:pt>
                <c:pt idx="18">
                  <c:v>1.6658307504232466</c:v>
                </c:pt>
                <c:pt idx="19">
                  <c:v>1.7158056729359441</c:v>
                </c:pt>
                <c:pt idx="20">
                  <c:v>1.7672798431240224</c:v>
                </c:pt>
                <c:pt idx="21">
                  <c:v>1.8202982384177431</c:v>
                </c:pt>
                <c:pt idx="22">
                  <c:v>1.8749071855702755</c:v>
                </c:pt>
                <c:pt idx="23">
                  <c:v>1.9311544011373838</c:v>
                </c:pt>
                <c:pt idx="24">
                  <c:v>1.9890890331715054</c:v>
                </c:pt>
                <c:pt idx="25">
                  <c:v>2.0487617041666506</c:v>
                </c:pt>
                <c:pt idx="26">
                  <c:v>2.1102245552916501</c:v>
                </c:pt>
                <c:pt idx="27">
                  <c:v>2.1735312919503995</c:v>
                </c:pt>
                <c:pt idx="28">
                  <c:v>2.2387372307089115</c:v>
                </c:pt>
                <c:pt idx="29">
                  <c:v>2.305899347630179</c:v>
                </c:pt>
                <c:pt idx="30">
                  <c:v>2.3750763280590843</c:v>
                </c:pt>
                <c:pt idx="31">
                  <c:v>2.446328617900857</c:v>
                </c:pt>
                <c:pt idx="32">
                  <c:v>2.5197184764378826</c:v>
                </c:pt>
                <c:pt idx="33">
                  <c:v>2.5953100307310191</c:v>
                </c:pt>
                <c:pt idx="34">
                  <c:v>2.6731693316529497</c:v>
                </c:pt>
                <c:pt idx="35">
                  <c:v>2.7533644116025382</c:v>
                </c:pt>
                <c:pt idx="36">
                  <c:v>2.8359653439506145</c:v>
                </c:pt>
                <c:pt idx="37">
                  <c:v>2.9210443042691332</c:v>
                </c:pt>
                <c:pt idx="38">
                  <c:v>3.0086756333972073</c:v>
                </c:pt>
                <c:pt idx="39">
                  <c:v>3.0989359023991234</c:v>
                </c:pt>
                <c:pt idx="40">
                  <c:v>3.1919039794710971</c:v>
                </c:pt>
                <c:pt idx="41">
                  <c:v>3.2876610988552302</c:v>
                </c:pt>
                <c:pt idx="42">
                  <c:v>3.3862909318208874</c:v>
                </c:pt>
                <c:pt idx="43">
                  <c:v>3.4878796597755142</c:v>
                </c:pt>
                <c:pt idx="44">
                  <c:v>3.5925160495687796</c:v>
                </c:pt>
                <c:pt idx="45">
                  <c:v>3.7002915310558429</c:v>
                </c:pt>
                <c:pt idx="46">
                  <c:v>3.8113002769875184</c:v>
                </c:pt>
                <c:pt idx="47">
                  <c:v>3.925639285297144</c:v>
                </c:pt>
                <c:pt idx="48">
                  <c:v>4.0434084638560588</c:v>
                </c:pt>
                <c:pt idx="49">
                  <c:v>4.1647107177717411</c:v>
                </c:pt>
                <c:pt idx="50">
                  <c:v>4.2896520393048938</c:v>
                </c:pt>
                <c:pt idx="51">
                  <c:v>4.418341600484041</c:v>
                </c:pt>
                <c:pt idx="52">
                  <c:v>4.5508918484985621</c:v>
                </c:pt>
                <c:pt idx="53">
                  <c:v>4.6874186039535193</c:v>
                </c:pt>
                <c:pt idx="54">
                  <c:v>4.8280411620721253</c:v>
                </c:pt>
                <c:pt idx="55">
                  <c:v>4.9728823969342892</c:v>
                </c:pt>
                <c:pt idx="56">
                  <c:v>5.1220688688423177</c:v>
                </c:pt>
                <c:pt idx="57">
                  <c:v>5.2757309349075872</c:v>
                </c:pt>
                <c:pt idx="58">
                  <c:v>5.4340028629548147</c:v>
                </c:pt>
                <c:pt idx="59">
                  <c:v>5.5970229488434597</c:v>
                </c:pt>
                <c:pt idx="60">
                  <c:v>5.7649336373087641</c:v>
                </c:pt>
                <c:pt idx="61">
                  <c:v>5.9378816464280275</c:v>
                </c:pt>
                <c:pt idx="62">
                  <c:v>6.1160180958208681</c:v>
                </c:pt>
                <c:pt idx="63">
                  <c:v>6.2994986386954945</c:v>
                </c:pt>
                <c:pt idx="64">
                  <c:v>6.4884835978563595</c:v>
                </c:pt>
                <c:pt idx="65">
                  <c:v>6.6831381057920503</c:v>
                </c:pt>
                <c:pt idx="66">
                  <c:v>6.8836322489658119</c:v>
                </c:pt>
                <c:pt idx="67">
                  <c:v>7.0901412164347866</c:v>
                </c:pt>
                <c:pt idx="68">
                  <c:v>7.3028454529278299</c:v>
                </c:pt>
                <c:pt idx="69">
                  <c:v>7.5219308165156651</c:v>
                </c:pt>
                <c:pt idx="70">
                  <c:v>7.7475887410111355</c:v>
                </c:pt>
                <c:pt idx="71">
                  <c:v>7.9800164032414695</c:v>
                </c:pt>
                <c:pt idx="72">
                  <c:v>8.2194168953387141</c:v>
                </c:pt>
                <c:pt idx="73">
                  <c:v>8.4659994021988751</c:v>
                </c:pt>
                <c:pt idx="74">
                  <c:v>8.7199793842648408</c:v>
                </c:pt>
                <c:pt idx="75">
                  <c:v>8.9815787657927864</c:v>
                </c:pt>
                <c:pt idx="76">
                  <c:v>9.2510261287665703</c:v>
                </c:pt>
                <c:pt idx="77">
                  <c:v>9.5285569126295684</c:v>
                </c:pt>
                <c:pt idx="78">
                  <c:v>9.8144136200084553</c:v>
                </c:pt>
                <c:pt idx="79">
                  <c:v>10.10884602860871</c:v>
                </c:pt>
                <c:pt idx="80">
                  <c:v>10.412111409466972</c:v>
                </c:pt>
                <c:pt idx="81">
                  <c:v>10.72447475175098</c:v>
                </c:pt>
                <c:pt idx="82">
                  <c:v>11.046208994303511</c:v>
                </c:pt>
                <c:pt idx="83">
                  <c:v>11.377595264132616</c:v>
                </c:pt>
                <c:pt idx="84">
                  <c:v>11.718923122056594</c:v>
                </c:pt>
                <c:pt idx="85">
                  <c:v>12.070490815718292</c:v>
                </c:pt>
                <c:pt idx="86">
                  <c:v>12.432605540189842</c:v>
                </c:pt>
                <c:pt idx="87">
                  <c:v>12.805583706395538</c:v>
                </c:pt>
                <c:pt idx="88">
                  <c:v>13.189751217587405</c:v>
                </c:pt>
                <c:pt idx="89">
                  <c:v>13.585443754115028</c:v>
                </c:pt>
                <c:pt idx="90">
                  <c:v>13.993007066738478</c:v>
                </c:pt>
                <c:pt idx="91">
                  <c:v>14.412797278740634</c:v>
                </c:pt>
                <c:pt idx="92">
                  <c:v>14.845181197102853</c:v>
                </c:pt>
                <c:pt idx="93">
                  <c:v>15.29053663301594</c:v>
                </c:pt>
                <c:pt idx="94">
                  <c:v>15.749252732006418</c:v>
                </c:pt>
                <c:pt idx="95">
                  <c:v>16.22173031396661</c:v>
                </c:pt>
                <c:pt idx="96">
                  <c:v>16.708382223385609</c:v>
                </c:pt>
                <c:pt idx="97">
                  <c:v>17.209633690087177</c:v>
                </c:pt>
                <c:pt idx="98">
                  <c:v>17.725922700789791</c:v>
                </c:pt>
                <c:pt idx="99">
                  <c:v>18.257700381813486</c:v>
                </c:pt>
                <c:pt idx="100">
                  <c:v>18.805431393267892</c:v>
                </c:pt>
                <c:pt idx="101">
                  <c:v>19.36959433506593</c:v>
                </c:pt>
                <c:pt idx="102">
                  <c:v>19.950682165117907</c:v>
                </c:pt>
                <c:pt idx="103">
                  <c:v>20.549202630071445</c:v>
                </c:pt>
                <c:pt idx="104">
                  <c:v>21.165678708973587</c:v>
                </c:pt>
                <c:pt idx="105">
                  <c:v>21.800649070242795</c:v>
                </c:pt>
                <c:pt idx="106">
                  <c:v>22.454668542350078</c:v>
                </c:pt>
                <c:pt idx="107">
                  <c:v>23.128308598620581</c:v>
                </c:pt>
                <c:pt idx="108">
                  <c:v>23.822157856579199</c:v>
                </c:pt>
                <c:pt idx="109">
                  <c:v>24.536822592276575</c:v>
                </c:pt>
                <c:pt idx="110">
                  <c:v>25.272927270044875</c:v>
                </c:pt>
                <c:pt idx="111">
                  <c:v>26.031115088146223</c:v>
                </c:pt>
                <c:pt idx="112">
                  <c:v>26.81204854079061</c:v>
                </c:pt>
                <c:pt idx="113">
                  <c:v>27.61640999701433</c:v>
                </c:pt>
                <c:pt idx="114">
                  <c:v>28.444902296924759</c:v>
                </c:pt>
                <c:pt idx="115">
                  <c:v>29.298249365832504</c:v>
                </c:pt>
                <c:pt idx="116">
                  <c:v>30.17719684680748</c:v>
                </c:pt>
                <c:pt idx="117">
                  <c:v>31.082512752211706</c:v>
                </c:pt>
                <c:pt idx="118">
                  <c:v>32.014988134778058</c:v>
                </c:pt>
                <c:pt idx="119">
                  <c:v>32.975437778821401</c:v>
                </c:pt>
                <c:pt idx="120">
                  <c:v>33.964700912186046</c:v>
                </c:pt>
                <c:pt idx="121">
                  <c:v>34.983641939551632</c:v>
                </c:pt>
                <c:pt idx="122">
                  <c:v>36.033151197738178</c:v>
                </c:pt>
                <c:pt idx="123">
                  <c:v>37.114145733670327</c:v>
                </c:pt>
                <c:pt idx="124">
                  <c:v>38.227570105680435</c:v>
                </c:pt>
                <c:pt idx="125">
                  <c:v>39.374397208850851</c:v>
                </c:pt>
                <c:pt idx="126">
                  <c:v>40.555629125116376</c:v>
                </c:pt>
                <c:pt idx="127">
                  <c:v>41.772297998869867</c:v>
                </c:pt>
                <c:pt idx="128">
                  <c:v>43.025466938835962</c:v>
                </c:pt>
                <c:pt idx="129">
                  <c:v>44.316230947001038</c:v>
                </c:pt>
                <c:pt idx="130">
                  <c:v>45.645717875411073</c:v>
                </c:pt>
                <c:pt idx="131">
                  <c:v>47.015089411673408</c:v>
                </c:pt>
                <c:pt idx="132">
                  <c:v>48.425542094023612</c:v>
                </c:pt>
                <c:pt idx="133">
                  <c:v>49.878308356844322</c:v>
                </c:pt>
                <c:pt idx="134">
                  <c:v>51.374657607549651</c:v>
                </c:pt>
                <c:pt idx="135">
                  <c:v>52.915897335776144</c:v>
                </c:pt>
                <c:pt idx="136">
                  <c:v>54.50337425584943</c:v>
                </c:pt>
                <c:pt idx="137">
                  <c:v>56.138475483524914</c:v>
                </c:pt>
                <c:pt idx="138">
                  <c:v>57.822629748030664</c:v>
                </c:pt>
                <c:pt idx="139">
                  <c:v>59.557308640471582</c:v>
                </c:pt>
                <c:pt idx="140">
                  <c:v>61.344027899685734</c:v>
                </c:pt>
                <c:pt idx="141">
                  <c:v>63.184348736676306</c:v>
                </c:pt>
                <c:pt idx="142">
                  <c:v>65.079879198776595</c:v>
                </c:pt>
                <c:pt idx="143">
                  <c:v>67.032275574739899</c:v>
                </c:pt>
                <c:pt idx="144">
                  <c:v>69.043243841982104</c:v>
                </c:pt>
                <c:pt idx="145">
                  <c:v>71.114541157241575</c:v>
                </c:pt>
                <c:pt idx="146">
                  <c:v>73.247977391958827</c:v>
                </c:pt>
                <c:pt idx="147">
                  <c:v>75.445416713717592</c:v>
                </c:pt>
                <c:pt idx="148">
                  <c:v>77.708779215129127</c:v>
                </c:pt>
                <c:pt idx="149">
                  <c:v>80.040042591583003</c:v>
                </c:pt>
                <c:pt idx="150">
                  <c:v>82.441243869330492</c:v>
                </c:pt>
                <c:pt idx="151">
                  <c:v>84.914481185410409</c:v>
                </c:pt>
                <c:pt idx="152">
                  <c:v>87.461915620972718</c:v>
                </c:pt>
                <c:pt idx="153">
                  <c:v>90.085773089601901</c:v>
                </c:pt>
                <c:pt idx="154">
                  <c:v>92.788346282289965</c:v>
                </c:pt>
                <c:pt idx="155">
                  <c:v>95.571996670758665</c:v>
                </c:pt>
                <c:pt idx="156">
                  <c:v>98.439156570881423</c:v>
                </c:pt>
                <c:pt idx="157">
                  <c:v>101.39233126800787</c:v>
                </c:pt>
                <c:pt idx="158">
                  <c:v>104.4341012060481</c:v>
                </c:pt>
                <c:pt idx="159">
                  <c:v>107.56712424222954</c:v>
                </c:pt>
                <c:pt idx="160">
                  <c:v>110.79413796949643</c:v>
                </c:pt>
                <c:pt idx="161">
                  <c:v>114.11796210858132</c:v>
                </c:pt>
                <c:pt idx="162">
                  <c:v>117.54150097183877</c:v>
                </c:pt>
                <c:pt idx="163">
                  <c:v>121.06774600099394</c:v>
                </c:pt>
                <c:pt idx="164">
                  <c:v>124.69977838102376</c:v>
                </c:pt>
                <c:pt idx="165">
                  <c:v>128.44077173245446</c:v>
                </c:pt>
                <c:pt idx="166">
                  <c:v>132.29399488442812</c:v>
                </c:pt>
                <c:pt idx="167">
                  <c:v>136.26281473096097</c:v>
                </c:pt>
                <c:pt idx="168">
                  <c:v>140.35069917288979</c:v>
                </c:pt>
                <c:pt idx="169">
                  <c:v>144.5612201480765</c:v>
                </c:pt>
                <c:pt idx="170">
                  <c:v>148.89805675251881</c:v>
                </c:pt>
                <c:pt idx="171">
                  <c:v>153.36499845509439</c:v>
                </c:pt>
                <c:pt idx="172">
                  <c:v>157.96594840874724</c:v>
                </c:pt>
                <c:pt idx="173">
                  <c:v>162.70492686100965</c:v>
                </c:pt>
                <c:pt idx="174">
                  <c:v>167.58607466683995</c:v>
                </c:pt>
                <c:pt idx="175">
                  <c:v>172.61365690684516</c:v>
                </c:pt>
                <c:pt idx="176">
                  <c:v>177.79206661405053</c:v>
                </c:pt>
                <c:pt idx="177">
                  <c:v>183.12582861247205</c:v>
                </c:pt>
                <c:pt idx="178">
                  <c:v>188.61960347084622</c:v>
                </c:pt>
                <c:pt idx="179">
                  <c:v>194.2781915749716</c:v>
                </c:pt>
                <c:pt idx="180">
                  <c:v>200.10653732222076</c:v>
                </c:pt>
                <c:pt idx="181">
                  <c:v>206.10973344188739</c:v>
                </c:pt>
                <c:pt idx="182">
                  <c:v>212.29302544514402</c:v>
                </c:pt>
                <c:pt idx="183">
                  <c:v>218.66181620849835</c:v>
                </c:pt>
                <c:pt idx="184">
                  <c:v>225.2216706947533</c:v>
                </c:pt>
                <c:pt idx="185">
                  <c:v>231.97832081559591</c:v>
                </c:pt>
                <c:pt idx="186">
                  <c:v>238.93767044006378</c:v>
                </c:pt>
                <c:pt idx="187">
                  <c:v>246.10580055326571</c:v>
                </c:pt>
                <c:pt idx="188">
                  <c:v>253.4889745698637</c:v>
                </c:pt>
                <c:pt idx="189">
                  <c:v>261.09364380695962</c:v>
                </c:pt>
                <c:pt idx="190">
                  <c:v>268.92645312116844</c:v>
                </c:pt>
                <c:pt idx="191">
                  <c:v>276.99424671480352</c:v>
                </c:pt>
                <c:pt idx="192">
                  <c:v>285.30407411624765</c:v>
                </c:pt>
                <c:pt idx="193">
                  <c:v>293.86319633973511</c:v>
                </c:pt>
                <c:pt idx="194">
                  <c:v>302.67909222992716</c:v>
                </c:pt>
                <c:pt idx="195">
                  <c:v>311.75946499682499</c:v>
                </c:pt>
                <c:pt idx="196">
                  <c:v>321.11224894672972</c:v>
                </c:pt>
                <c:pt idx="197">
                  <c:v>330.74561641513162</c:v>
                </c:pt>
                <c:pt idx="198">
                  <c:v>340.66798490758561</c:v>
                </c:pt>
                <c:pt idx="199">
                  <c:v>350.88802445481321</c:v>
                </c:pt>
                <c:pt idx="200">
                  <c:v>361.4146651884576</c:v>
                </c:pt>
                <c:pt idx="201">
                  <c:v>372.25710514411134</c:v>
                </c:pt>
                <c:pt idx="202">
                  <c:v>383.42481829843467</c:v>
                </c:pt>
                <c:pt idx="203">
                  <c:v>394.92756284738772</c:v>
                </c:pt>
                <c:pt idx="204">
                  <c:v>406.77538973280934</c:v>
                </c:pt>
                <c:pt idx="205">
                  <c:v>418.97865142479361</c:v>
                </c:pt>
                <c:pt idx="206">
                  <c:v>431.54801096753744</c:v>
                </c:pt>
                <c:pt idx="207">
                  <c:v>444.49445129656357</c:v>
                </c:pt>
                <c:pt idx="208">
                  <c:v>457.8292848354605</c:v>
                </c:pt>
                <c:pt idx="209">
                  <c:v>471.56416338052435</c:v>
                </c:pt>
                <c:pt idx="210">
                  <c:v>485.71108828194008</c:v>
                </c:pt>
                <c:pt idx="211">
                  <c:v>500.2824209303983</c:v>
                </c:pt>
                <c:pt idx="212">
                  <c:v>515.29089355831024</c:v>
                </c:pt>
                <c:pt idx="213">
                  <c:v>530.74962036505951</c:v>
                </c:pt>
                <c:pt idx="214">
                  <c:v>546.67210897601126</c:v>
                </c:pt>
                <c:pt idx="215">
                  <c:v>563.07227224529163</c:v>
                </c:pt>
                <c:pt idx="216">
                  <c:v>579.96444041265045</c:v>
                </c:pt>
                <c:pt idx="217">
                  <c:v>597.36337362503002</c:v>
                </c:pt>
                <c:pt idx="218">
                  <c:v>615.28427483378096</c:v>
                </c:pt>
                <c:pt idx="219">
                  <c:v>633.7428030787944</c:v>
                </c:pt>
                <c:pt idx="220">
                  <c:v>652.75508717115827</c:v>
                </c:pt>
                <c:pt idx="221">
                  <c:v>672.33773978629301</c:v>
                </c:pt>
                <c:pt idx="222">
                  <c:v>692.50787197988177</c:v>
                </c:pt>
                <c:pt idx="223">
                  <c:v>713.28310813927828</c:v>
                </c:pt>
                <c:pt idx="224">
                  <c:v>734.68160138345661</c:v>
                </c:pt>
                <c:pt idx="225">
                  <c:v>756.72204942496035</c:v>
                </c:pt>
                <c:pt idx="226">
                  <c:v>779.42371090770916</c:v>
                </c:pt>
                <c:pt idx="227">
                  <c:v>802.80642223494044</c:v>
                </c:pt>
                <c:pt idx="228">
                  <c:v>826.89061490198867</c:v>
                </c:pt>
                <c:pt idx="229">
                  <c:v>851.69733334904834</c:v>
                </c:pt>
                <c:pt idx="230">
                  <c:v>877.24825334951981</c:v>
                </c:pt>
                <c:pt idx="231">
                  <c:v>903.56570095000541</c:v>
                </c:pt>
                <c:pt idx="232">
                  <c:v>930.6726719785056</c:v>
                </c:pt>
                <c:pt idx="233">
                  <c:v>958.59285213786075</c:v>
                </c:pt>
                <c:pt idx="234">
                  <c:v>987.35063770199656</c:v>
                </c:pt>
                <c:pt idx="235">
                  <c:v>1016.9711568330565</c:v>
                </c:pt>
                <c:pt idx="236">
                  <c:v>1047.4802915380483</c:v>
                </c:pt>
                <c:pt idx="237">
                  <c:v>1078.9047002841899</c:v>
                </c:pt>
                <c:pt idx="238">
                  <c:v>1111.2718412927156</c:v>
                </c:pt>
                <c:pt idx="239">
                  <c:v>1144.6099965314972</c:v>
                </c:pt>
              </c:numCache>
            </c:numRef>
          </c:xVal>
          <c:yVal>
            <c:numRef>
              <c:f>'Coordenograma Manual'!$M$3:$M$242</c:f>
              <c:numCache>
                <c:formatCode>General</c:formatCode>
                <c:ptCount val="240"/>
                <c:pt idx="0">
                  <c:v>323.99999999999972</c:v>
                </c:pt>
                <c:pt idx="1">
                  <c:v>159.60591133004939</c:v>
                </c:pt>
                <c:pt idx="2">
                  <c:v>104.82383771716975</c:v>
                </c:pt>
                <c:pt idx="3">
                  <c:v>77.444762642558629</c:v>
                </c:pt>
                <c:pt idx="4">
                  <c:v>61.026881133786596</c:v>
                </c:pt>
                <c:pt idx="5">
                  <c:v>50.089590145857386</c:v>
                </c:pt>
                <c:pt idx="6">
                  <c:v>42.284058616384129</c:v>
                </c:pt>
                <c:pt idx="7">
                  <c:v>36.435869980025487</c:v>
                </c:pt>
                <c:pt idx="8">
                  <c:v>31.892569673865484</c:v>
                </c:pt>
                <c:pt idx="9">
                  <c:v>28.262684140071684</c:v>
                </c:pt>
                <c:pt idx="10">
                  <c:v>25.297093100287132</c:v>
                </c:pt>
                <c:pt idx="11">
                  <c:v>22.829715693240001</c:v>
                </c:pt>
                <c:pt idx="12">
                  <c:v>20.745572241526254</c:v>
                </c:pt>
                <c:pt idx="13">
                  <c:v>18.962533832974216</c:v>
                </c:pt>
                <c:pt idx="14">
                  <c:v>17.420372069781308</c:v>
                </c:pt>
                <c:pt idx="15">
                  <c:v>16.073915162018121</c:v>
                </c:pt>
                <c:pt idx="16">
                  <c:v>14.888619517814208</c:v>
                </c:pt>
                <c:pt idx="17">
                  <c:v>13.837617470400204</c:v>
                </c:pt>
                <c:pt idx="18">
                  <c:v>12.89969730210702</c:v>
                </c:pt>
                <c:pt idx="19">
                  <c:v>12.057889261382341</c:v>
                </c:pt>
                <c:pt idx="20">
                  <c:v>11.298455575147148</c:v>
                </c:pt>
                <c:pt idx="21">
                  <c:v>10.610155912515681</c:v>
                </c:pt>
                <c:pt idx="22">
                  <c:v>9.9837044668504102</c:v>
                </c:pt>
                <c:pt idx="23">
                  <c:v>9.4113627674662297</c:v>
                </c:pt>
                <c:pt idx="24">
                  <c:v>8.8866302166773927</c:v>
                </c:pt>
                <c:pt idx="25">
                  <c:v>8.4040060415133162</c:v>
                </c:pt>
                <c:pt idx="26">
                  <c:v>7.958804145184474</c:v>
                </c:pt>
                <c:pt idx="27">
                  <c:v>7.5470076333563298</c:v>
                </c:pt>
                <c:pt idx="28">
                  <c:v>7.1651534385489413</c:v>
                </c:pt>
                <c:pt idx="29">
                  <c:v>6.8102400197618271</c:v>
                </c:pt>
                <c:pt idx="30">
                  <c:v>6.4796529267849525</c:v>
                </c:pt>
                <c:pt idx="31">
                  <c:v>6.1711043212914216</c:v>
                </c:pt>
                <c:pt idx="32">
                  <c:v>5.8825834941781734</c:v>
                </c:pt>
                <c:pt idx="33">
                  <c:v>5.6123161152170749</c:v>
                </c:pt>
                <c:pt idx="34">
                  <c:v>5.3587304685502311</c:v>
                </c:pt>
                <c:pt idx="35">
                  <c:v>5.1204293156668843</c:v>
                </c:pt>
                <c:pt idx="36">
                  <c:v>4.8961663211992716</c:v>
                </c:pt>
                <c:pt idx="37">
                  <c:v>4.6848262010142809</c:v>
                </c:pt>
                <c:pt idx="38">
                  <c:v>4.4854079244927663</c:v>
                </c:pt>
                <c:pt idx="39">
                  <c:v>4.2970104365099679</c:v>
                </c:pt>
                <c:pt idx="40">
                  <c:v>4.1188204689205534</c:v>
                </c:pt>
                <c:pt idx="41">
                  <c:v>3.9501020932940007</c:v>
                </c:pt>
                <c:pt idx="42">
                  <c:v>3.790187731437515</c:v>
                </c:pt>
                <c:pt idx="43">
                  <c:v>3.6384703917823997</c:v>
                </c:pt>
                <c:pt idx="44">
                  <c:v>3.4943969409407578</c:v>
                </c:pt>
                <c:pt idx="45">
                  <c:v>3.357462252903439</c:v>
                </c:pt>
                <c:pt idx="46">
                  <c:v>3.2272041051636471</c:v>
                </c:pt>
                <c:pt idx="47">
                  <c:v>3.1031987128365599</c:v>
                </c:pt>
                <c:pt idx="48">
                  <c:v>2.9850568096298038</c:v>
                </c:pt>
                <c:pt idx="49">
                  <c:v>2.8724201991028591</c:v>
                </c:pt>
                <c:pt idx="50">
                  <c:v>2.7649587116632484</c:v>
                </c:pt>
                <c:pt idx="51">
                  <c:v>2.6623675126784812</c:v>
                </c:pt>
                <c:pt idx="52">
                  <c:v>2.5643647153274634</c:v>
                </c:pt>
                <c:pt idx="53">
                  <c:v>2.4706892586856823</c:v>
                </c:pt>
                <c:pt idx="54">
                  <c:v>2.3810990172848148</c:v>
                </c:pt>
                <c:pt idx="55">
                  <c:v>2.2953691132102039</c:v>
                </c:pt>
                <c:pt idx="56">
                  <c:v>2.2132904058609864</c:v>
                </c:pt>
                <c:pt idx="57">
                  <c:v>2.1346681379287569</c:v>
                </c:pt>
                <c:pt idx="58">
                  <c:v>2.0593207190583924</c:v>
                </c:pt>
                <c:pt idx="59">
                  <c:v>1.9870786311262214</c:v>
                </c:pt>
                <c:pt idx="60">
                  <c:v>1.9177834411776455</c:v>
                </c:pt>
                <c:pt idx="61">
                  <c:v>1.8512869098673872</c:v>
                </c:pt>
                <c:pt idx="62">
                  <c:v>1.7874501847893234</c:v>
                </c:pt>
                <c:pt idx="63">
                  <c:v>1.7261430694095405</c:v>
                </c:pt>
                <c:pt idx="64">
                  <c:v>1.6672433594592515</c:v>
                </c:pt>
                <c:pt idx="65">
                  <c:v>1.6106362396313307</c:v>
                </c:pt>
                <c:pt idx="66">
                  <c:v>1.5562137342787661</c:v>
                </c:pt>
                <c:pt idx="67">
                  <c:v>1.5038742065547528</c:v>
                </c:pt>
                <c:pt idx="68">
                  <c:v>1.4535219010788833</c:v>
                </c:pt>
                <c:pt idx="69">
                  <c:v>1.4050665257757113</c:v>
                </c:pt>
                <c:pt idx="70">
                  <c:v>1.3584228690225897</c:v>
                </c:pt>
                <c:pt idx="71">
                  <c:v>1.3135104486729641</c:v>
                </c:pt>
                <c:pt idx="72">
                  <c:v>1.2702531898976674</c:v>
                </c:pt>
                <c:pt idx="73">
                  <c:v>1.2285791291173478</c:v>
                </c:pt>
                <c:pt idx="74">
                  <c:v>1.1884201415900768</c:v>
                </c:pt>
                <c:pt idx="75">
                  <c:v>1.1497116904746589</c:v>
                </c:pt>
                <c:pt idx="76">
                  <c:v>1.1123925954166414</c:v>
                </c:pt>
                <c:pt idx="77">
                  <c:v>1.076404818904386</c:v>
                </c:pt>
                <c:pt idx="78">
                  <c:v>1.0416932688200973</c:v>
                </c:pt>
                <c:pt idx="79">
                  <c:v>1.008205615768246</c:v>
                </c:pt>
                <c:pt idx="80">
                  <c:v>0.9758921239038949</c:v>
                </c:pt>
                <c:pt idx="81">
                  <c:v>0.94470549410809379</c:v>
                </c:pt>
                <c:pt idx="82">
                  <c:v>0.91460071846868585</c:v>
                </c:pt>
                <c:pt idx="83">
                  <c:v>0.8855349451240998</c:v>
                </c:pt>
                <c:pt idx="84">
                  <c:v>0.85746735261645513</c:v>
                </c:pt>
                <c:pt idx="85">
                  <c:v>0.830359032979747</c:v>
                </c:pt>
                <c:pt idx="86">
                  <c:v>0.80417288286011546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B58-4846-AD58-235BA778ABBD}"/>
            </c:ext>
          </c:extLst>
        </c:ser>
        <c:ser>
          <c:idx val="1"/>
          <c:order val="1"/>
          <c:tx>
            <c:strRef>
              <c:f>'Coordenograma Manual'!$C$9</c:f>
              <c:strCache>
                <c:ptCount val="1"/>
                <c:pt idx="0">
                  <c:v>Corrente ANSI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4"/>
              </a:solidFill>
              <a:ln w="6350" cap="flat" cmpd="sng" algn="ctr">
                <a:solidFill>
                  <a:schemeClr val="accent4"/>
                </a:solidFill>
                <a:prstDash val="solid"/>
                <a:round/>
              </a:ln>
              <a:effectLst/>
            </c:spPr>
          </c:marker>
          <c:xVal>
            <c:numRef>
              <c:f>'Coordenograma Manual'!$B$9</c:f>
              <c:numCache>
                <c:formatCode>General</c:formatCode>
                <c:ptCount val="1"/>
                <c:pt idx="0">
                  <c:v>13</c:v>
                </c:pt>
              </c:numCache>
            </c:numRef>
          </c:xVal>
          <c:yVal>
            <c:numRef>
              <c:f>'Coordenograma Manual'!$B$10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B58-4846-AD58-235BA778ABBD}"/>
            </c:ext>
          </c:extLst>
        </c:ser>
        <c:ser>
          <c:idx val="2"/>
          <c:order val="2"/>
          <c:tx>
            <c:strRef>
              <c:f>'Coordenograma Manual'!$C$11</c:f>
              <c:strCache>
                <c:ptCount val="1"/>
                <c:pt idx="0">
                  <c:v>Corrente de Magnetização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6"/>
              </a:solidFill>
              <a:ln w="6350" cap="flat" cmpd="sng" algn="ctr">
                <a:solidFill>
                  <a:schemeClr val="accent6"/>
                </a:solidFill>
                <a:prstDash val="solid"/>
                <a:round/>
              </a:ln>
              <a:effectLst/>
            </c:spPr>
          </c:marker>
          <c:xVal>
            <c:numRef>
              <c:f>'Coordenograma Manual'!$B$11</c:f>
              <c:numCache>
                <c:formatCode>General</c:formatCode>
                <c:ptCount val="1"/>
                <c:pt idx="0">
                  <c:v>6.2750000000000004</c:v>
                </c:pt>
              </c:numCache>
            </c:numRef>
          </c:xVal>
          <c:yVal>
            <c:numRef>
              <c:f>'Coordenograma Manual'!$B$12</c:f>
              <c:numCache>
                <c:formatCode>General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B58-4846-AD58-235BA778ABBD}"/>
            </c:ext>
          </c:extLst>
        </c:ser>
        <c:ser>
          <c:idx val="3"/>
          <c:order val="3"/>
          <c:tx>
            <c:strRef>
              <c:f>'Coordenograma Manual'!$C$13</c:f>
              <c:strCache>
                <c:ptCount val="1"/>
                <c:pt idx="0">
                  <c:v>Corrente nominal do trafo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noFill/>
              <a:ln w="6350" cap="flat" cmpd="sng" algn="ctr">
                <a:solidFill>
                  <a:schemeClr val="accent2">
                    <a:lumMod val="6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'Coordenograma Manual'!$B$13</c:f>
              <c:numCache>
                <c:formatCode>General</c:formatCode>
                <c:ptCount val="1"/>
                <c:pt idx="0">
                  <c:v>0.52200000000000002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4B58-4846-AD58-235BA778A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</c:scatterChart>
      <c:valAx>
        <c:axId val="205394110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corrente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935"/>
        <c:crosses val="autoZero"/>
        <c:crossBetween val="midCat"/>
      </c:valAx>
      <c:valAx>
        <c:axId val="2053941935"/>
        <c:scaling>
          <c:logBase val="10"/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103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50/51N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5"/>
          <c:order val="1"/>
          <c:tx>
            <c:strRef>
              <c:f>'Coordenograma Manual'!$C$22</c:f>
              <c:strCache>
                <c:ptCount val="1"/>
                <c:pt idx="0">
                  <c:v>Corrente de falta FT min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4">
                  <a:lumMod val="60000"/>
                </a:schemeClr>
              </a:solidFill>
              <a:ln w="6350" cap="flat" cmpd="sng" algn="ctr">
                <a:solidFill>
                  <a:schemeClr val="accent4">
                    <a:lumMod val="60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'Coordenograma Manual'!$B$22</c:f>
              <c:numCache>
                <c:formatCode>General</c:formatCode>
                <c:ptCount val="1"/>
                <c:pt idx="0">
                  <c:v>1.8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D03D-49DF-99F1-883AA4528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</c:scatterChart>
      <c:scatterChart>
        <c:scatterStyle val="smoothMarker"/>
        <c:varyColors val="0"/>
        <c:ser>
          <c:idx val="4"/>
          <c:order val="0"/>
          <c:tx>
            <c:strRef>
              <c:f>'Coordenograma Manual'!$AB$2</c:f>
              <c:strCache>
                <c:ptCount val="1"/>
                <c:pt idx="0">
                  <c:v>50/51N da Carga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'Coordenograma Manual'!$U$3:$U$242</c:f>
              <c:numCache>
                <c:formatCode>General</c:formatCode>
                <c:ptCount val="240"/>
                <c:pt idx="0">
                  <c:v>0.505</c:v>
                </c:pt>
                <c:pt idx="1">
                  <c:v>0.51005</c:v>
                </c:pt>
                <c:pt idx="2">
                  <c:v>0.51515049999999996</c:v>
                </c:pt>
                <c:pt idx="3">
                  <c:v>0.52030200500000001</c:v>
                </c:pt>
                <c:pt idx="4">
                  <c:v>0.52550502504999996</c:v>
                </c:pt>
                <c:pt idx="5">
                  <c:v>0.53076007530049996</c:v>
                </c:pt>
                <c:pt idx="6">
                  <c:v>0.53606767605350492</c:v>
                </c:pt>
                <c:pt idx="7">
                  <c:v>0.54142835281404</c:v>
                </c:pt>
                <c:pt idx="8">
                  <c:v>0.54684263634218044</c:v>
                </c:pt>
                <c:pt idx="9">
                  <c:v>0.55231106270560226</c:v>
                </c:pt>
                <c:pt idx="10">
                  <c:v>0.55783417333265828</c:v>
                </c:pt>
                <c:pt idx="11">
                  <c:v>0.56341251506598489</c:v>
                </c:pt>
                <c:pt idx="12">
                  <c:v>0.56904664021664475</c:v>
                </c:pt>
                <c:pt idx="13">
                  <c:v>0.57473710661881117</c:v>
                </c:pt>
                <c:pt idx="14">
                  <c:v>0.58048447768499933</c:v>
                </c:pt>
                <c:pt idx="15">
                  <c:v>0.58628932246184928</c:v>
                </c:pt>
                <c:pt idx="16">
                  <c:v>0.59215221568646781</c:v>
                </c:pt>
                <c:pt idx="17">
                  <c:v>0.59807373784333251</c:v>
                </c:pt>
                <c:pt idx="18">
                  <c:v>0.60405447522176581</c:v>
                </c:pt>
                <c:pt idx="19">
                  <c:v>0.61009501997398352</c:v>
                </c:pt>
                <c:pt idx="20">
                  <c:v>0.61619597017372341</c:v>
                </c:pt>
                <c:pt idx="21">
                  <c:v>0.62235792987546068</c:v>
                </c:pt>
                <c:pt idx="22">
                  <c:v>0.62858150917421529</c:v>
                </c:pt>
                <c:pt idx="23">
                  <c:v>0.63486732426595749</c:v>
                </c:pt>
                <c:pt idx="24">
                  <c:v>0.64121599750861702</c:v>
                </c:pt>
                <c:pt idx="25">
                  <c:v>0.64762815748370317</c:v>
                </c:pt>
                <c:pt idx="26">
                  <c:v>0.65410443905854021</c:v>
                </c:pt>
                <c:pt idx="27">
                  <c:v>0.66064548344912566</c:v>
                </c:pt>
                <c:pt idx="28">
                  <c:v>0.66725193828361695</c:v>
                </c:pt>
                <c:pt idx="29">
                  <c:v>0.67392445766645315</c:v>
                </c:pt>
                <c:pt idx="30">
                  <c:v>0.68066370224311767</c:v>
                </c:pt>
                <c:pt idx="31">
                  <c:v>0.6874703392655489</c:v>
                </c:pt>
                <c:pt idx="32">
                  <c:v>0.6943450426582044</c:v>
                </c:pt>
                <c:pt idx="33">
                  <c:v>0.70128849308478647</c:v>
                </c:pt>
                <c:pt idx="34">
                  <c:v>0.70830137801563431</c:v>
                </c:pt>
                <c:pt idx="35">
                  <c:v>0.71538439179579061</c:v>
                </c:pt>
                <c:pt idx="36">
                  <c:v>0.72253823571374853</c:v>
                </c:pt>
                <c:pt idx="37">
                  <c:v>0.72976361807088608</c:v>
                </c:pt>
                <c:pt idx="38">
                  <c:v>0.73706125425159497</c:v>
                </c:pt>
                <c:pt idx="39">
                  <c:v>0.74443186679411089</c:v>
                </c:pt>
                <c:pt idx="40">
                  <c:v>0.75187618546205204</c:v>
                </c:pt>
                <c:pt idx="41">
                  <c:v>0.75939494731667256</c:v>
                </c:pt>
                <c:pt idx="42">
                  <c:v>0.76698889678983928</c:v>
                </c:pt>
                <c:pt idx="43">
                  <c:v>0.77465878575773772</c:v>
                </c:pt>
                <c:pt idx="44">
                  <c:v>0.78240537361531515</c:v>
                </c:pt>
                <c:pt idx="45">
                  <c:v>0.79022942735146828</c:v>
                </c:pt>
                <c:pt idx="46">
                  <c:v>0.79813172162498303</c:v>
                </c:pt>
                <c:pt idx="47">
                  <c:v>0.80611303884123287</c:v>
                </c:pt>
                <c:pt idx="48">
                  <c:v>0.81417416922964525</c:v>
                </c:pt>
                <c:pt idx="49">
                  <c:v>0.82231591092194167</c:v>
                </c:pt>
                <c:pt idx="50">
                  <c:v>0.83053907003116112</c:v>
                </c:pt>
                <c:pt idx="51">
                  <c:v>0.83884446073147279</c:v>
                </c:pt>
                <c:pt idx="52">
                  <c:v>0.84723290533878748</c:v>
                </c:pt>
                <c:pt idx="53">
                  <c:v>0.85570523439217538</c:v>
                </c:pt>
                <c:pt idx="54">
                  <c:v>0.86426228673609717</c:v>
                </c:pt>
                <c:pt idx="55">
                  <c:v>0.87290490960345812</c:v>
                </c:pt>
                <c:pt idx="56">
                  <c:v>0.88163395869949268</c:v>
                </c:pt>
                <c:pt idx="57">
                  <c:v>0.89045029828648758</c:v>
                </c:pt>
                <c:pt idx="58">
                  <c:v>0.89935480126935252</c:v>
                </c:pt>
                <c:pt idx="59">
                  <c:v>0.90834834928204611</c:v>
                </c:pt>
                <c:pt idx="60">
                  <c:v>0.91743183277486662</c:v>
                </c:pt>
                <c:pt idx="61">
                  <c:v>0.92660615110261524</c:v>
                </c:pt>
                <c:pt idx="62">
                  <c:v>0.9358722126136414</c:v>
                </c:pt>
                <c:pt idx="63">
                  <c:v>0.94523093473977782</c:v>
                </c:pt>
                <c:pt idx="64">
                  <c:v>0.95468324408717564</c:v>
                </c:pt>
                <c:pt idx="65">
                  <c:v>0.96423007652804738</c:v>
                </c:pt>
                <c:pt idx="66">
                  <c:v>0.97387237729332787</c:v>
                </c:pt>
                <c:pt idx="67">
                  <c:v>0.98361110106626115</c:v>
                </c:pt>
                <c:pt idx="68">
                  <c:v>0.99344721207692377</c:v>
                </c:pt>
                <c:pt idx="69">
                  <c:v>1.003381684197693</c:v>
                </c:pt>
                <c:pt idx="70">
                  <c:v>1.0134155010396699</c:v>
                </c:pt>
                <c:pt idx="71">
                  <c:v>1.0235496560500665</c:v>
                </c:pt>
                <c:pt idx="72">
                  <c:v>1.0337851526105672</c:v>
                </c:pt>
                <c:pt idx="73">
                  <c:v>1.0441230041366729</c:v>
                </c:pt>
                <c:pt idx="74">
                  <c:v>1.0545642341780397</c:v>
                </c:pt>
                <c:pt idx="75">
                  <c:v>1.0651098765198201</c:v>
                </c:pt>
                <c:pt idx="76">
                  <c:v>1.0757609752850184</c:v>
                </c:pt>
                <c:pt idx="77">
                  <c:v>1.0865185850378685</c:v>
                </c:pt>
                <c:pt idx="78">
                  <c:v>1.0973837708882472</c:v>
                </c:pt>
                <c:pt idx="79">
                  <c:v>1.1083576085971296</c:v>
                </c:pt>
                <c:pt idx="80">
                  <c:v>1.1194411846831009</c:v>
                </c:pt>
                <c:pt idx="81">
                  <c:v>1.130635596529932</c:v>
                </c:pt>
                <c:pt idx="82">
                  <c:v>1.1419419524952312</c:v>
                </c:pt>
                <c:pt idx="83">
                  <c:v>1.1533613720201836</c:v>
                </c:pt>
                <c:pt idx="84">
                  <c:v>1.1648949857403854</c:v>
                </c:pt>
                <c:pt idx="85">
                  <c:v>1.1765439355977894</c:v>
                </c:pt>
                <c:pt idx="86">
                  <c:v>1.1883093749537672</c:v>
                </c:pt>
                <c:pt idx="87">
                  <c:v>1.200192468703305</c:v>
                </c:pt>
                <c:pt idx="88">
                  <c:v>1.2121943933903381</c:v>
                </c:pt>
                <c:pt idx="89">
                  <c:v>1.2243163373242414</c:v>
                </c:pt>
                <c:pt idx="90">
                  <c:v>1.2365595006974839</c:v>
                </c:pt>
                <c:pt idx="91">
                  <c:v>1.2489250957044586</c:v>
                </c:pt>
                <c:pt idx="92">
                  <c:v>1.2614143466615033</c:v>
                </c:pt>
                <c:pt idx="93">
                  <c:v>1.2740284901281183</c:v>
                </c:pt>
                <c:pt idx="94">
                  <c:v>1.2867687750293995</c:v>
                </c:pt>
                <c:pt idx="95">
                  <c:v>1.2996364627796935</c:v>
                </c:pt>
                <c:pt idx="96">
                  <c:v>1.3126328274074903</c:v>
                </c:pt>
                <c:pt idx="97">
                  <c:v>1.3257591556815653</c:v>
                </c:pt>
                <c:pt idx="98">
                  <c:v>1.3390167472383809</c:v>
                </c:pt>
                <c:pt idx="99">
                  <c:v>1.3524069147107647</c:v>
                </c:pt>
                <c:pt idx="100">
                  <c:v>1.3659309838578724</c:v>
                </c:pt>
                <c:pt idx="101">
                  <c:v>1.379590293696451</c:v>
                </c:pt>
                <c:pt idx="102">
                  <c:v>1.3933861966334156</c:v>
                </c:pt>
                <c:pt idx="103">
                  <c:v>1.4073200585997496</c:v>
                </c:pt>
                <c:pt idx="104">
                  <c:v>1.4213932591857472</c:v>
                </c:pt>
                <c:pt idx="105">
                  <c:v>1.4356071917776048</c:v>
                </c:pt>
                <c:pt idx="106">
                  <c:v>1.4499632636953808</c:v>
                </c:pt>
                <c:pt idx="107">
                  <c:v>1.4644628963323345</c:v>
                </c:pt>
                <c:pt idx="108">
                  <c:v>1.4791075252956578</c:v>
                </c:pt>
                <c:pt idx="109">
                  <c:v>1.4938986005486143</c:v>
                </c:pt>
                <c:pt idx="110">
                  <c:v>1.5088375865541006</c:v>
                </c:pt>
                <c:pt idx="111">
                  <c:v>1.5239259624196417</c:v>
                </c:pt>
                <c:pt idx="112">
                  <c:v>1.5391652220438381</c:v>
                </c:pt>
                <c:pt idx="113">
                  <c:v>1.5545568742642766</c:v>
                </c:pt>
                <c:pt idx="114">
                  <c:v>1.5701024430069193</c:v>
                </c:pt>
                <c:pt idx="115">
                  <c:v>1.5858034674369885</c:v>
                </c:pt>
                <c:pt idx="116">
                  <c:v>1.6016615021113585</c:v>
                </c:pt>
                <c:pt idx="117">
                  <c:v>1.6176781171324721</c:v>
                </c:pt>
                <c:pt idx="118">
                  <c:v>1.6338548983037968</c:v>
                </c:pt>
                <c:pt idx="119">
                  <c:v>1.6501934472868347</c:v>
                </c:pt>
                <c:pt idx="120">
                  <c:v>1.666695381759703</c:v>
                </c:pt>
                <c:pt idx="121">
                  <c:v>1.6833623355773</c:v>
                </c:pt>
                <c:pt idx="122">
                  <c:v>1.7001959589330731</c:v>
                </c:pt>
                <c:pt idx="123">
                  <c:v>1.7171979185224038</c:v>
                </c:pt>
                <c:pt idx="124">
                  <c:v>1.7343698977076278</c:v>
                </c:pt>
                <c:pt idx="125">
                  <c:v>1.7517135966847042</c:v>
                </c:pt>
                <c:pt idx="126">
                  <c:v>1.7692307326515513</c:v>
                </c:pt>
                <c:pt idx="127">
                  <c:v>1.7869230399780669</c:v>
                </c:pt>
                <c:pt idx="128">
                  <c:v>1.8047922703778476</c:v>
                </c:pt>
                <c:pt idx="129">
                  <c:v>1.822840193081626</c:v>
                </c:pt>
                <c:pt idx="130">
                  <c:v>1.8410685950124424</c:v>
                </c:pt>
                <c:pt idx="131">
                  <c:v>1.8594792809625669</c:v>
                </c:pt>
                <c:pt idx="132">
                  <c:v>1.8780740737721926</c:v>
                </c:pt>
                <c:pt idx="133">
                  <c:v>1.8968548145099144</c:v>
                </c:pt>
                <c:pt idx="134">
                  <c:v>1.9158233626550136</c:v>
                </c:pt>
                <c:pt idx="135">
                  <c:v>1.9349815962815637</c:v>
                </c:pt>
                <c:pt idx="136">
                  <c:v>1.9543314122443793</c:v>
                </c:pt>
                <c:pt idx="137">
                  <c:v>1.973874726366823</c:v>
                </c:pt>
                <c:pt idx="138">
                  <c:v>1.9936134736304914</c:v>
                </c:pt>
                <c:pt idx="139">
                  <c:v>2.0135496083667963</c:v>
                </c:pt>
                <c:pt idx="140">
                  <c:v>2.0336851044504645</c:v>
                </c:pt>
                <c:pt idx="141">
                  <c:v>2.054021955494969</c:v>
                </c:pt>
                <c:pt idx="142">
                  <c:v>2.0745621750499188</c:v>
                </c:pt>
                <c:pt idx="143">
                  <c:v>2.0953077968004181</c:v>
                </c:pt>
                <c:pt idx="144">
                  <c:v>2.1162608747684222</c:v>
                </c:pt>
                <c:pt idx="145">
                  <c:v>2.1374234835161063</c:v>
                </c:pt>
                <c:pt idx="146">
                  <c:v>2.1587977183512672</c:v>
                </c:pt>
                <c:pt idx="147">
                  <c:v>2.1803856955347798</c:v>
                </c:pt>
                <c:pt idx="148">
                  <c:v>2.2021895524901276</c:v>
                </c:pt>
                <c:pt idx="149">
                  <c:v>2.224211448015029</c:v>
                </c:pt>
                <c:pt idx="150">
                  <c:v>2.2464535624951791</c:v>
                </c:pt>
                <c:pt idx="151">
                  <c:v>2.2689180981201309</c:v>
                </c:pt>
                <c:pt idx="152">
                  <c:v>2.2916072791013322</c:v>
                </c:pt>
                <c:pt idx="153">
                  <c:v>2.3145233518923454</c:v>
                </c:pt>
                <c:pt idx="154">
                  <c:v>2.3376685854112687</c:v>
                </c:pt>
                <c:pt idx="155">
                  <c:v>2.3610452712653816</c:v>
                </c:pt>
                <c:pt idx="156">
                  <c:v>2.3846557239780353</c:v>
                </c:pt>
                <c:pt idx="157">
                  <c:v>2.4085022812178156</c:v>
                </c:pt>
                <c:pt idx="158">
                  <c:v>2.4325873040299939</c:v>
                </c:pt>
                <c:pt idx="159">
                  <c:v>2.4569131770702937</c:v>
                </c:pt>
                <c:pt idx="160">
                  <c:v>2.4814823088409965</c:v>
                </c:pt>
                <c:pt idx="161">
                  <c:v>2.5062971319294065</c:v>
                </c:pt>
                <c:pt idx="162">
                  <c:v>2.5313601032487005</c:v>
                </c:pt>
                <c:pt idx="163">
                  <c:v>2.5566737042811876</c:v>
                </c:pt>
                <c:pt idx="164">
                  <c:v>2.5822404413239997</c:v>
                </c:pt>
                <c:pt idx="165">
                  <c:v>2.6080628457372397</c:v>
                </c:pt>
                <c:pt idx="166">
                  <c:v>2.6341434741946119</c:v>
                </c:pt>
                <c:pt idx="167">
                  <c:v>2.6604849089365579</c:v>
                </c:pt>
                <c:pt idx="168">
                  <c:v>2.6870897580259236</c:v>
                </c:pt>
                <c:pt idx="169">
                  <c:v>2.7139606556061828</c:v>
                </c:pt>
                <c:pt idx="170">
                  <c:v>2.7411002621622447</c:v>
                </c:pt>
                <c:pt idx="171">
                  <c:v>2.768511264783867</c:v>
                </c:pt>
                <c:pt idx="172">
                  <c:v>2.7961963774317056</c:v>
                </c:pt>
                <c:pt idx="173">
                  <c:v>2.8241583412060227</c:v>
                </c:pt>
                <c:pt idx="174">
                  <c:v>2.8523999246180831</c:v>
                </c:pt>
                <c:pt idx="175">
                  <c:v>2.8809239238642639</c:v>
                </c:pt>
                <c:pt idx="176">
                  <c:v>2.9097331631029064</c:v>
                </c:pt>
                <c:pt idx="177">
                  <c:v>2.9388304947339354</c:v>
                </c:pt>
                <c:pt idx="178">
                  <c:v>2.9682187996812748</c:v>
                </c:pt>
                <c:pt idx="179">
                  <c:v>2.9979009876780878</c:v>
                </c:pt>
                <c:pt idx="180">
                  <c:v>3.0278799975548685</c:v>
                </c:pt>
                <c:pt idx="181">
                  <c:v>3.058158797530417</c:v>
                </c:pt>
                <c:pt idx="182">
                  <c:v>3.0887403855057212</c:v>
                </c:pt>
                <c:pt idx="183">
                  <c:v>3.1196277893607784</c:v>
                </c:pt>
                <c:pt idx="184">
                  <c:v>3.1508240672543861</c:v>
                </c:pt>
                <c:pt idx="185">
                  <c:v>3.1823323079269299</c:v>
                </c:pt>
                <c:pt idx="186">
                  <c:v>3.2141556310061992</c:v>
                </c:pt>
                <c:pt idx="187">
                  <c:v>3.2462971873162614</c:v>
                </c:pt>
                <c:pt idx="188">
                  <c:v>3.278760159189424</c:v>
                </c:pt>
                <c:pt idx="189">
                  <c:v>3.3115477607813184</c:v>
                </c:pt>
                <c:pt idx="190">
                  <c:v>3.3446632383891317</c:v>
                </c:pt>
                <c:pt idx="191">
                  <c:v>3.3781098707730233</c:v>
                </c:pt>
                <c:pt idx="192">
                  <c:v>3.4118909694807535</c:v>
                </c:pt>
                <c:pt idx="193">
                  <c:v>3.4460098791755609</c:v>
                </c:pt>
                <c:pt idx="194">
                  <c:v>3.4804699779673167</c:v>
                </c:pt>
                <c:pt idx="195">
                  <c:v>3.5152746777469899</c:v>
                </c:pt>
                <c:pt idx="196">
                  <c:v>3.5504274245244596</c:v>
                </c:pt>
                <c:pt idx="197">
                  <c:v>3.5859316987697043</c:v>
                </c:pt>
                <c:pt idx="198">
                  <c:v>3.6217910157574016</c:v>
                </c:pt>
                <c:pt idx="199">
                  <c:v>3.6580089259149755</c:v>
                </c:pt>
                <c:pt idx="200">
                  <c:v>3.6945890151741252</c:v>
                </c:pt>
                <c:pt idx="201">
                  <c:v>3.7315349053258666</c:v>
                </c:pt>
                <c:pt idx="202">
                  <c:v>3.7688502543791254</c:v>
                </c:pt>
                <c:pt idx="203">
                  <c:v>3.8065387569229165</c:v>
                </c:pt>
                <c:pt idx="204">
                  <c:v>3.8446041444921457</c:v>
                </c:pt>
                <c:pt idx="205">
                  <c:v>3.8830501859370674</c:v>
                </c:pt>
                <c:pt idx="206">
                  <c:v>3.9218806877964383</c:v>
                </c:pt>
                <c:pt idx="207">
                  <c:v>3.9610994946744027</c:v>
                </c:pt>
                <c:pt idx="208">
                  <c:v>4.0007104896211469</c:v>
                </c:pt>
                <c:pt idx="209">
                  <c:v>4.0407175945173588</c:v>
                </c:pt>
                <c:pt idx="210">
                  <c:v>4.0811247704625329</c:v>
                </c:pt>
                <c:pt idx="211">
                  <c:v>4.1219360181671583</c:v>
                </c:pt>
                <c:pt idx="212">
                  <c:v>4.1631553783488302</c:v>
                </c:pt>
                <c:pt idx="213">
                  <c:v>4.2047869321323184</c:v>
                </c:pt>
                <c:pt idx="214">
                  <c:v>4.2468348014536419</c:v>
                </c:pt>
                <c:pt idx="215">
                  <c:v>4.2893031494681786</c:v>
                </c:pt>
                <c:pt idx="216">
                  <c:v>4.3321961809628604</c:v>
                </c:pt>
                <c:pt idx="217">
                  <c:v>4.3755181427724894</c:v>
                </c:pt>
                <c:pt idx="218">
                  <c:v>4.4192733242002147</c:v>
                </c:pt>
                <c:pt idx="219">
                  <c:v>4.4634660574422167</c:v>
                </c:pt>
                <c:pt idx="220">
                  <c:v>4.5081007180166388</c:v>
                </c:pt>
                <c:pt idx="221">
                  <c:v>4.5531817251968052</c:v>
                </c:pt>
                <c:pt idx="222">
                  <c:v>4.5987135424487731</c:v>
                </c:pt>
                <c:pt idx="223">
                  <c:v>4.6447006778732609</c:v>
                </c:pt>
                <c:pt idx="224">
                  <c:v>4.6911476846519937</c:v>
                </c:pt>
                <c:pt idx="225">
                  <c:v>4.7380591614985139</c:v>
                </c:pt>
                <c:pt idx="226">
                  <c:v>4.7854397531134989</c:v>
                </c:pt>
                <c:pt idx="227">
                  <c:v>4.8332941506446341</c:v>
                </c:pt>
                <c:pt idx="228">
                  <c:v>4.8816270921510805</c:v>
                </c:pt>
                <c:pt idx="229">
                  <c:v>4.930443363072591</c:v>
                </c:pt>
                <c:pt idx="230">
                  <c:v>4.9797477967033172</c:v>
                </c:pt>
                <c:pt idx="231">
                  <c:v>5.0295452746703502</c:v>
                </c:pt>
                <c:pt idx="232">
                  <c:v>5.0798407274170536</c:v>
                </c:pt>
                <c:pt idx="233">
                  <c:v>5.1306391346912239</c:v>
                </c:pt>
                <c:pt idx="234">
                  <c:v>5.1819455260381364</c:v>
                </c:pt>
                <c:pt idx="235">
                  <c:v>5.2337649812985179</c:v>
                </c:pt>
                <c:pt idx="236">
                  <c:v>5.2861026311115031</c:v>
                </c:pt>
                <c:pt idx="237">
                  <c:v>5.3389636574226182</c:v>
                </c:pt>
                <c:pt idx="238">
                  <c:v>5.3923532939968446</c:v>
                </c:pt>
                <c:pt idx="239">
                  <c:v>5.4462768269368134</c:v>
                </c:pt>
              </c:numCache>
            </c:numRef>
          </c:xVal>
          <c:yVal>
            <c:numRef>
              <c:f>'Coordenograma Manual'!$AB$3:$AB$242</c:f>
              <c:numCache>
                <c:formatCode>General</c:formatCode>
                <c:ptCount val="240"/>
                <c:pt idx="0">
                  <c:v>202.49999999999983</c:v>
                </c:pt>
                <c:pt idx="1">
                  <c:v>100.74626865671638</c:v>
                </c:pt>
                <c:pt idx="2">
                  <c:v>66.829477574997711</c:v>
                </c:pt>
                <c:pt idx="3">
                  <c:v>49.871921517111211</c:v>
                </c:pt>
                <c:pt idx="4">
                  <c:v>39.698059422215756</c:v>
                </c:pt>
                <c:pt idx="5">
                  <c:v>32.916044258953534</c:v>
                </c:pt>
                <c:pt idx="6">
                  <c:v>28.072227290108682</c:v>
                </c:pt>
                <c:pt idx="7">
                  <c:v>24.43978413877139</c:v>
                </c:pt>
                <c:pt idx="8">
                  <c:v>21.614923477060426</c:v>
                </c:pt>
                <c:pt idx="9">
                  <c:v>19.3553705016122</c:v>
                </c:pt>
                <c:pt idx="10">
                  <c:v>17.506950331530945</c:v>
                </c:pt>
                <c:pt idx="11">
                  <c:v>15.966879707364189</c:v>
                </c:pt>
                <c:pt idx="12">
                  <c:v>14.664000982859138</c:v>
                </c:pt>
                <c:pt idx="13">
                  <c:v>13.547487263109486</c:v>
                </c:pt>
                <c:pt idx="14">
                  <c:v>12.580065487443791</c:v>
                </c:pt>
                <c:pt idx="15">
                  <c:v>11.733780856231107</c:v>
                </c:pt>
                <c:pt idx="16">
                  <c:v>10.987256165872976</c:v>
                </c:pt>
                <c:pt idx="17">
                  <c:v>10.323864698798511</c:v>
                </c:pt>
                <c:pt idx="18">
                  <c:v>1E-4</c:v>
                </c:pt>
                <c:pt idx="19">
                  <c:v>1E-4</c:v>
                </c:pt>
                <c:pt idx="20">
                  <c:v>1E-4</c:v>
                </c:pt>
                <c:pt idx="21">
                  <c:v>1E-4</c:v>
                </c:pt>
                <c:pt idx="22">
                  <c:v>1E-4</c:v>
                </c:pt>
                <c:pt idx="23">
                  <c:v>1E-4</c:v>
                </c:pt>
                <c:pt idx="24">
                  <c:v>1E-4</c:v>
                </c:pt>
                <c:pt idx="25">
                  <c:v>1E-4</c:v>
                </c:pt>
                <c:pt idx="26">
                  <c:v>1E-4</c:v>
                </c:pt>
                <c:pt idx="27">
                  <c:v>1E-4</c:v>
                </c:pt>
                <c:pt idx="28">
                  <c:v>1E-4</c:v>
                </c:pt>
                <c:pt idx="29">
                  <c:v>1E-4</c:v>
                </c:pt>
                <c:pt idx="30">
                  <c:v>1E-4</c:v>
                </c:pt>
                <c:pt idx="31">
                  <c:v>1E-4</c:v>
                </c:pt>
                <c:pt idx="32">
                  <c:v>1E-4</c:v>
                </c:pt>
                <c:pt idx="33">
                  <c:v>1E-4</c:v>
                </c:pt>
                <c:pt idx="34">
                  <c:v>1E-4</c:v>
                </c:pt>
                <c:pt idx="35">
                  <c:v>1E-4</c:v>
                </c:pt>
                <c:pt idx="36">
                  <c:v>1E-4</c:v>
                </c:pt>
                <c:pt idx="37">
                  <c:v>1E-4</c:v>
                </c:pt>
                <c:pt idx="38">
                  <c:v>1E-4</c:v>
                </c:pt>
                <c:pt idx="39">
                  <c:v>1E-4</c:v>
                </c:pt>
                <c:pt idx="40">
                  <c:v>1E-4</c:v>
                </c:pt>
                <c:pt idx="41">
                  <c:v>1E-4</c:v>
                </c:pt>
                <c:pt idx="42">
                  <c:v>1E-4</c:v>
                </c:pt>
                <c:pt idx="43">
                  <c:v>1E-4</c:v>
                </c:pt>
                <c:pt idx="44">
                  <c:v>1E-4</c:v>
                </c:pt>
                <c:pt idx="45">
                  <c:v>1E-4</c:v>
                </c:pt>
                <c:pt idx="46">
                  <c:v>1E-4</c:v>
                </c:pt>
                <c:pt idx="47">
                  <c:v>1E-4</c:v>
                </c:pt>
                <c:pt idx="48">
                  <c:v>1E-4</c:v>
                </c:pt>
                <c:pt idx="49">
                  <c:v>1E-4</c:v>
                </c:pt>
                <c:pt idx="50">
                  <c:v>1E-4</c:v>
                </c:pt>
                <c:pt idx="51">
                  <c:v>1E-4</c:v>
                </c:pt>
                <c:pt idx="52">
                  <c:v>1E-4</c:v>
                </c:pt>
                <c:pt idx="53">
                  <c:v>1E-4</c:v>
                </c:pt>
                <c:pt idx="54">
                  <c:v>1E-4</c:v>
                </c:pt>
                <c:pt idx="55">
                  <c:v>1E-4</c:v>
                </c:pt>
                <c:pt idx="56">
                  <c:v>1E-4</c:v>
                </c:pt>
                <c:pt idx="57">
                  <c:v>1E-4</c:v>
                </c:pt>
                <c:pt idx="58">
                  <c:v>1E-4</c:v>
                </c:pt>
                <c:pt idx="59">
                  <c:v>1E-4</c:v>
                </c:pt>
                <c:pt idx="60">
                  <c:v>1E-4</c:v>
                </c:pt>
                <c:pt idx="61">
                  <c:v>1E-4</c:v>
                </c:pt>
                <c:pt idx="62">
                  <c:v>1E-4</c:v>
                </c:pt>
                <c:pt idx="63">
                  <c:v>1E-4</c:v>
                </c:pt>
                <c:pt idx="64">
                  <c:v>1E-4</c:v>
                </c:pt>
                <c:pt idx="65">
                  <c:v>1E-4</c:v>
                </c:pt>
                <c:pt idx="66">
                  <c:v>1E-4</c:v>
                </c:pt>
                <c:pt idx="67">
                  <c:v>1E-4</c:v>
                </c:pt>
                <c:pt idx="68">
                  <c:v>1E-4</c:v>
                </c:pt>
                <c:pt idx="69">
                  <c:v>1E-4</c:v>
                </c:pt>
                <c:pt idx="70">
                  <c:v>1E-4</c:v>
                </c:pt>
                <c:pt idx="71">
                  <c:v>1E-4</c:v>
                </c:pt>
                <c:pt idx="72">
                  <c:v>1E-4</c:v>
                </c:pt>
                <c:pt idx="73">
                  <c:v>1E-4</c:v>
                </c:pt>
                <c:pt idx="74">
                  <c:v>1E-4</c:v>
                </c:pt>
                <c:pt idx="75">
                  <c:v>1E-4</c:v>
                </c:pt>
                <c:pt idx="76">
                  <c:v>1E-4</c:v>
                </c:pt>
                <c:pt idx="77">
                  <c:v>1E-4</c:v>
                </c:pt>
                <c:pt idx="78">
                  <c:v>1E-4</c:v>
                </c:pt>
                <c:pt idx="79">
                  <c:v>1E-4</c:v>
                </c:pt>
                <c:pt idx="80">
                  <c:v>1E-4</c:v>
                </c:pt>
                <c:pt idx="81">
                  <c:v>1E-4</c:v>
                </c:pt>
                <c:pt idx="82">
                  <c:v>1E-4</c:v>
                </c:pt>
                <c:pt idx="83">
                  <c:v>1E-4</c:v>
                </c:pt>
                <c:pt idx="84">
                  <c:v>1E-4</c:v>
                </c:pt>
                <c:pt idx="85">
                  <c:v>1E-4</c:v>
                </c:pt>
                <c:pt idx="86">
                  <c:v>1E-4</c:v>
                </c:pt>
                <c:pt idx="87">
                  <c:v>1E-4</c:v>
                </c:pt>
                <c:pt idx="88">
                  <c:v>1E-4</c:v>
                </c:pt>
                <c:pt idx="89">
                  <c:v>1E-4</c:v>
                </c:pt>
                <c:pt idx="90">
                  <c:v>1E-4</c:v>
                </c:pt>
                <c:pt idx="91">
                  <c:v>1E-4</c:v>
                </c:pt>
                <c:pt idx="92">
                  <c:v>1E-4</c:v>
                </c:pt>
                <c:pt idx="93">
                  <c:v>1E-4</c:v>
                </c:pt>
                <c:pt idx="94">
                  <c:v>1E-4</c:v>
                </c:pt>
                <c:pt idx="95">
                  <c:v>1E-4</c:v>
                </c:pt>
                <c:pt idx="96">
                  <c:v>1E-4</c:v>
                </c:pt>
                <c:pt idx="97">
                  <c:v>1E-4</c:v>
                </c:pt>
                <c:pt idx="98">
                  <c:v>1E-4</c:v>
                </c:pt>
                <c:pt idx="99">
                  <c:v>1E-4</c:v>
                </c:pt>
                <c:pt idx="100">
                  <c:v>1E-4</c:v>
                </c:pt>
                <c:pt idx="101">
                  <c:v>1E-4</c:v>
                </c:pt>
                <c:pt idx="102">
                  <c:v>1E-4</c:v>
                </c:pt>
                <c:pt idx="103">
                  <c:v>1E-4</c:v>
                </c:pt>
                <c:pt idx="104">
                  <c:v>1E-4</c:v>
                </c:pt>
                <c:pt idx="105">
                  <c:v>1E-4</c:v>
                </c:pt>
                <c:pt idx="106">
                  <c:v>1E-4</c:v>
                </c:pt>
                <c:pt idx="107">
                  <c:v>1E-4</c:v>
                </c:pt>
                <c:pt idx="108">
                  <c:v>1E-4</c:v>
                </c:pt>
                <c:pt idx="109">
                  <c:v>1E-4</c:v>
                </c:pt>
                <c:pt idx="110">
                  <c:v>1E-4</c:v>
                </c:pt>
                <c:pt idx="111">
                  <c:v>1E-4</c:v>
                </c:pt>
                <c:pt idx="112">
                  <c:v>1E-4</c:v>
                </c:pt>
                <c:pt idx="113">
                  <c:v>1E-4</c:v>
                </c:pt>
                <c:pt idx="114">
                  <c:v>1E-4</c:v>
                </c:pt>
                <c:pt idx="115">
                  <c:v>1E-4</c:v>
                </c:pt>
                <c:pt idx="116">
                  <c:v>1E-4</c:v>
                </c:pt>
                <c:pt idx="117">
                  <c:v>1E-4</c:v>
                </c:pt>
                <c:pt idx="118">
                  <c:v>1E-4</c:v>
                </c:pt>
                <c:pt idx="119">
                  <c:v>1E-4</c:v>
                </c:pt>
                <c:pt idx="120">
                  <c:v>1E-4</c:v>
                </c:pt>
                <c:pt idx="121">
                  <c:v>1E-4</c:v>
                </c:pt>
                <c:pt idx="122">
                  <c:v>1E-4</c:v>
                </c:pt>
                <c:pt idx="123">
                  <c:v>1E-4</c:v>
                </c:pt>
                <c:pt idx="124">
                  <c:v>1E-4</c:v>
                </c:pt>
                <c:pt idx="125">
                  <c:v>1E-4</c:v>
                </c:pt>
                <c:pt idx="126">
                  <c:v>1E-4</c:v>
                </c:pt>
                <c:pt idx="127">
                  <c:v>1E-4</c:v>
                </c:pt>
                <c:pt idx="128">
                  <c:v>1E-4</c:v>
                </c:pt>
                <c:pt idx="129">
                  <c:v>1E-4</c:v>
                </c:pt>
                <c:pt idx="130">
                  <c:v>1E-4</c:v>
                </c:pt>
                <c:pt idx="131">
                  <c:v>1E-4</c:v>
                </c:pt>
                <c:pt idx="132">
                  <c:v>1E-4</c:v>
                </c:pt>
                <c:pt idx="133">
                  <c:v>1E-4</c:v>
                </c:pt>
                <c:pt idx="134">
                  <c:v>1E-4</c:v>
                </c:pt>
                <c:pt idx="135">
                  <c:v>1E-4</c:v>
                </c:pt>
                <c:pt idx="136">
                  <c:v>1E-4</c:v>
                </c:pt>
                <c:pt idx="137">
                  <c:v>1E-4</c:v>
                </c:pt>
                <c:pt idx="138">
                  <c:v>1E-4</c:v>
                </c:pt>
                <c:pt idx="139">
                  <c:v>1E-4</c:v>
                </c:pt>
                <c:pt idx="140">
                  <c:v>1E-4</c:v>
                </c:pt>
                <c:pt idx="141">
                  <c:v>1E-4</c:v>
                </c:pt>
                <c:pt idx="142">
                  <c:v>1E-4</c:v>
                </c:pt>
                <c:pt idx="143">
                  <c:v>1E-4</c:v>
                </c:pt>
                <c:pt idx="144">
                  <c:v>1E-4</c:v>
                </c:pt>
                <c:pt idx="145">
                  <c:v>1E-4</c:v>
                </c:pt>
                <c:pt idx="146">
                  <c:v>1E-4</c:v>
                </c:pt>
                <c:pt idx="147">
                  <c:v>1E-4</c:v>
                </c:pt>
                <c:pt idx="148">
                  <c:v>1E-4</c:v>
                </c:pt>
                <c:pt idx="149">
                  <c:v>1E-4</c:v>
                </c:pt>
                <c:pt idx="150">
                  <c:v>1E-4</c:v>
                </c:pt>
                <c:pt idx="151">
                  <c:v>1E-4</c:v>
                </c:pt>
                <c:pt idx="152">
                  <c:v>1E-4</c:v>
                </c:pt>
                <c:pt idx="153">
                  <c:v>1E-4</c:v>
                </c:pt>
                <c:pt idx="154">
                  <c:v>1E-4</c:v>
                </c:pt>
                <c:pt idx="155">
                  <c:v>1E-4</c:v>
                </c:pt>
                <c:pt idx="156">
                  <c:v>1E-4</c:v>
                </c:pt>
                <c:pt idx="157">
                  <c:v>1E-4</c:v>
                </c:pt>
                <c:pt idx="158">
                  <c:v>1E-4</c:v>
                </c:pt>
                <c:pt idx="159">
                  <c:v>1E-4</c:v>
                </c:pt>
                <c:pt idx="160">
                  <c:v>1E-4</c:v>
                </c:pt>
                <c:pt idx="161">
                  <c:v>1E-4</c:v>
                </c:pt>
                <c:pt idx="162">
                  <c:v>1E-4</c:v>
                </c:pt>
                <c:pt idx="163">
                  <c:v>1E-4</c:v>
                </c:pt>
                <c:pt idx="164">
                  <c:v>1E-4</c:v>
                </c:pt>
                <c:pt idx="165">
                  <c:v>1E-4</c:v>
                </c:pt>
                <c:pt idx="166">
                  <c:v>1E-4</c:v>
                </c:pt>
                <c:pt idx="167">
                  <c:v>1E-4</c:v>
                </c:pt>
                <c:pt idx="168">
                  <c:v>1E-4</c:v>
                </c:pt>
                <c:pt idx="169">
                  <c:v>1E-4</c:v>
                </c:pt>
                <c:pt idx="170">
                  <c:v>1E-4</c:v>
                </c:pt>
                <c:pt idx="171">
                  <c:v>1E-4</c:v>
                </c:pt>
                <c:pt idx="172">
                  <c:v>1E-4</c:v>
                </c:pt>
                <c:pt idx="173">
                  <c:v>1E-4</c:v>
                </c:pt>
                <c:pt idx="174">
                  <c:v>1E-4</c:v>
                </c:pt>
                <c:pt idx="175">
                  <c:v>1E-4</c:v>
                </c:pt>
                <c:pt idx="176">
                  <c:v>1E-4</c:v>
                </c:pt>
                <c:pt idx="177">
                  <c:v>1E-4</c:v>
                </c:pt>
                <c:pt idx="178">
                  <c:v>1E-4</c:v>
                </c:pt>
                <c:pt idx="179">
                  <c:v>1E-4</c:v>
                </c:pt>
                <c:pt idx="180">
                  <c:v>1E-4</c:v>
                </c:pt>
                <c:pt idx="181">
                  <c:v>1E-4</c:v>
                </c:pt>
                <c:pt idx="182">
                  <c:v>1E-4</c:v>
                </c:pt>
                <c:pt idx="183">
                  <c:v>1E-4</c:v>
                </c:pt>
                <c:pt idx="184">
                  <c:v>1E-4</c:v>
                </c:pt>
                <c:pt idx="185">
                  <c:v>1E-4</c:v>
                </c:pt>
                <c:pt idx="186">
                  <c:v>1E-4</c:v>
                </c:pt>
                <c:pt idx="187">
                  <c:v>1E-4</c:v>
                </c:pt>
                <c:pt idx="188">
                  <c:v>1E-4</c:v>
                </c:pt>
                <c:pt idx="189">
                  <c:v>1E-4</c:v>
                </c:pt>
                <c:pt idx="190">
                  <c:v>1E-4</c:v>
                </c:pt>
                <c:pt idx="191">
                  <c:v>1E-4</c:v>
                </c:pt>
                <c:pt idx="192">
                  <c:v>1E-4</c:v>
                </c:pt>
                <c:pt idx="193">
                  <c:v>1E-4</c:v>
                </c:pt>
                <c:pt idx="194">
                  <c:v>1E-4</c:v>
                </c:pt>
                <c:pt idx="195">
                  <c:v>1E-4</c:v>
                </c:pt>
                <c:pt idx="196">
                  <c:v>1E-4</c:v>
                </c:pt>
                <c:pt idx="197">
                  <c:v>1E-4</c:v>
                </c:pt>
                <c:pt idx="198">
                  <c:v>1E-4</c:v>
                </c:pt>
                <c:pt idx="199">
                  <c:v>1E-4</c:v>
                </c:pt>
                <c:pt idx="200">
                  <c:v>1E-4</c:v>
                </c:pt>
                <c:pt idx="201">
                  <c:v>1E-4</c:v>
                </c:pt>
                <c:pt idx="202">
                  <c:v>1E-4</c:v>
                </c:pt>
                <c:pt idx="203">
                  <c:v>1E-4</c:v>
                </c:pt>
                <c:pt idx="204">
                  <c:v>1E-4</c:v>
                </c:pt>
                <c:pt idx="205">
                  <c:v>1E-4</c:v>
                </c:pt>
                <c:pt idx="206">
                  <c:v>1E-4</c:v>
                </c:pt>
                <c:pt idx="207">
                  <c:v>1E-4</c:v>
                </c:pt>
                <c:pt idx="208">
                  <c:v>1E-4</c:v>
                </c:pt>
                <c:pt idx="209">
                  <c:v>1E-4</c:v>
                </c:pt>
                <c:pt idx="210">
                  <c:v>1E-4</c:v>
                </c:pt>
                <c:pt idx="211">
                  <c:v>1E-4</c:v>
                </c:pt>
                <c:pt idx="212">
                  <c:v>1E-4</c:v>
                </c:pt>
                <c:pt idx="213">
                  <c:v>1E-4</c:v>
                </c:pt>
                <c:pt idx="214">
                  <c:v>1E-4</c:v>
                </c:pt>
                <c:pt idx="215">
                  <c:v>1E-4</c:v>
                </c:pt>
                <c:pt idx="216">
                  <c:v>1E-4</c:v>
                </c:pt>
                <c:pt idx="217">
                  <c:v>1E-4</c:v>
                </c:pt>
                <c:pt idx="218">
                  <c:v>1E-4</c:v>
                </c:pt>
                <c:pt idx="219">
                  <c:v>1E-4</c:v>
                </c:pt>
                <c:pt idx="220">
                  <c:v>1E-4</c:v>
                </c:pt>
                <c:pt idx="221">
                  <c:v>1E-4</c:v>
                </c:pt>
                <c:pt idx="222">
                  <c:v>1E-4</c:v>
                </c:pt>
                <c:pt idx="223">
                  <c:v>1E-4</c:v>
                </c:pt>
                <c:pt idx="224">
                  <c:v>1E-4</c:v>
                </c:pt>
                <c:pt idx="225">
                  <c:v>1E-4</c:v>
                </c:pt>
                <c:pt idx="226">
                  <c:v>1E-4</c:v>
                </c:pt>
                <c:pt idx="227">
                  <c:v>1E-4</c:v>
                </c:pt>
                <c:pt idx="228">
                  <c:v>1E-4</c:v>
                </c:pt>
                <c:pt idx="229">
                  <c:v>1E-4</c:v>
                </c:pt>
                <c:pt idx="230">
                  <c:v>1E-4</c:v>
                </c:pt>
                <c:pt idx="231">
                  <c:v>1E-4</c:v>
                </c:pt>
                <c:pt idx="232">
                  <c:v>1E-4</c:v>
                </c:pt>
                <c:pt idx="233">
                  <c:v>1E-4</c:v>
                </c:pt>
                <c:pt idx="234">
                  <c:v>1E-4</c:v>
                </c:pt>
                <c:pt idx="235">
                  <c:v>1E-4</c:v>
                </c:pt>
                <c:pt idx="236">
                  <c:v>1E-4</c:v>
                </c:pt>
                <c:pt idx="237">
                  <c:v>1E-4</c:v>
                </c:pt>
                <c:pt idx="238">
                  <c:v>1E-4</c:v>
                </c:pt>
                <c:pt idx="239">
                  <c:v>1E-4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4-D03D-49DF-99F1-883AA4528948}"/>
            </c:ext>
          </c:extLst>
        </c:ser>
        <c:ser>
          <c:idx val="0"/>
          <c:order val="2"/>
          <c:tx>
            <c:strRef>
              <c:f>'Coordenograma Manual'!$AI$2</c:f>
              <c:strCache>
                <c:ptCount val="1"/>
                <c:pt idx="0">
                  <c:v>50/51N da Fonte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'Coordenograma Manual'!$U$3:$U$242</c:f>
              <c:numCache>
                <c:formatCode>General</c:formatCode>
                <c:ptCount val="240"/>
                <c:pt idx="0">
                  <c:v>0.505</c:v>
                </c:pt>
                <c:pt idx="1">
                  <c:v>0.51005</c:v>
                </c:pt>
                <c:pt idx="2">
                  <c:v>0.51515049999999996</c:v>
                </c:pt>
                <c:pt idx="3">
                  <c:v>0.52030200500000001</c:v>
                </c:pt>
                <c:pt idx="4">
                  <c:v>0.52550502504999996</c:v>
                </c:pt>
                <c:pt idx="5">
                  <c:v>0.53076007530049996</c:v>
                </c:pt>
                <c:pt idx="6">
                  <c:v>0.53606767605350492</c:v>
                </c:pt>
                <c:pt idx="7">
                  <c:v>0.54142835281404</c:v>
                </c:pt>
                <c:pt idx="8">
                  <c:v>0.54684263634218044</c:v>
                </c:pt>
                <c:pt idx="9">
                  <c:v>0.55231106270560226</c:v>
                </c:pt>
                <c:pt idx="10">
                  <c:v>0.55783417333265828</c:v>
                </c:pt>
                <c:pt idx="11">
                  <c:v>0.56341251506598489</c:v>
                </c:pt>
                <c:pt idx="12">
                  <c:v>0.56904664021664475</c:v>
                </c:pt>
                <c:pt idx="13">
                  <c:v>0.57473710661881117</c:v>
                </c:pt>
                <c:pt idx="14">
                  <c:v>0.58048447768499933</c:v>
                </c:pt>
                <c:pt idx="15">
                  <c:v>0.58628932246184928</c:v>
                </c:pt>
                <c:pt idx="16">
                  <c:v>0.59215221568646781</c:v>
                </c:pt>
                <c:pt idx="17">
                  <c:v>0.59807373784333251</c:v>
                </c:pt>
                <c:pt idx="18">
                  <c:v>0.60405447522176581</c:v>
                </c:pt>
                <c:pt idx="19">
                  <c:v>0.61009501997398352</c:v>
                </c:pt>
                <c:pt idx="20">
                  <c:v>0.61619597017372341</c:v>
                </c:pt>
                <c:pt idx="21">
                  <c:v>0.62235792987546068</c:v>
                </c:pt>
                <c:pt idx="22">
                  <c:v>0.62858150917421529</c:v>
                </c:pt>
                <c:pt idx="23">
                  <c:v>0.63486732426595749</c:v>
                </c:pt>
                <c:pt idx="24">
                  <c:v>0.64121599750861702</c:v>
                </c:pt>
                <c:pt idx="25">
                  <c:v>0.64762815748370317</c:v>
                </c:pt>
                <c:pt idx="26">
                  <c:v>0.65410443905854021</c:v>
                </c:pt>
                <c:pt idx="27">
                  <c:v>0.66064548344912566</c:v>
                </c:pt>
                <c:pt idx="28">
                  <c:v>0.66725193828361695</c:v>
                </c:pt>
                <c:pt idx="29">
                  <c:v>0.67392445766645315</c:v>
                </c:pt>
                <c:pt idx="30">
                  <c:v>0.68066370224311767</c:v>
                </c:pt>
                <c:pt idx="31">
                  <c:v>0.6874703392655489</c:v>
                </c:pt>
                <c:pt idx="32">
                  <c:v>0.6943450426582044</c:v>
                </c:pt>
                <c:pt idx="33">
                  <c:v>0.70128849308478647</c:v>
                </c:pt>
                <c:pt idx="34">
                  <c:v>0.70830137801563431</c:v>
                </c:pt>
                <c:pt idx="35">
                  <c:v>0.71538439179579061</c:v>
                </c:pt>
                <c:pt idx="36">
                  <c:v>0.72253823571374853</c:v>
                </c:pt>
                <c:pt idx="37">
                  <c:v>0.72976361807088608</c:v>
                </c:pt>
                <c:pt idx="38">
                  <c:v>0.73706125425159497</c:v>
                </c:pt>
                <c:pt idx="39">
                  <c:v>0.74443186679411089</c:v>
                </c:pt>
                <c:pt idx="40">
                  <c:v>0.75187618546205204</c:v>
                </c:pt>
                <c:pt idx="41">
                  <c:v>0.75939494731667256</c:v>
                </c:pt>
                <c:pt idx="42">
                  <c:v>0.76698889678983928</c:v>
                </c:pt>
                <c:pt idx="43">
                  <c:v>0.77465878575773772</c:v>
                </c:pt>
                <c:pt idx="44">
                  <c:v>0.78240537361531515</c:v>
                </c:pt>
                <c:pt idx="45">
                  <c:v>0.79022942735146828</c:v>
                </c:pt>
                <c:pt idx="46">
                  <c:v>0.79813172162498303</c:v>
                </c:pt>
                <c:pt idx="47">
                  <c:v>0.80611303884123287</c:v>
                </c:pt>
                <c:pt idx="48">
                  <c:v>0.81417416922964525</c:v>
                </c:pt>
                <c:pt idx="49">
                  <c:v>0.82231591092194167</c:v>
                </c:pt>
                <c:pt idx="50">
                  <c:v>0.83053907003116112</c:v>
                </c:pt>
                <c:pt idx="51">
                  <c:v>0.83884446073147279</c:v>
                </c:pt>
                <c:pt idx="52">
                  <c:v>0.84723290533878748</c:v>
                </c:pt>
                <c:pt idx="53">
                  <c:v>0.85570523439217538</c:v>
                </c:pt>
                <c:pt idx="54">
                  <c:v>0.86426228673609717</c:v>
                </c:pt>
                <c:pt idx="55">
                  <c:v>0.87290490960345812</c:v>
                </c:pt>
                <c:pt idx="56">
                  <c:v>0.88163395869949268</c:v>
                </c:pt>
                <c:pt idx="57">
                  <c:v>0.89045029828648758</c:v>
                </c:pt>
                <c:pt idx="58">
                  <c:v>0.89935480126935252</c:v>
                </c:pt>
                <c:pt idx="59">
                  <c:v>0.90834834928204611</c:v>
                </c:pt>
                <c:pt idx="60">
                  <c:v>0.91743183277486662</c:v>
                </c:pt>
                <c:pt idx="61">
                  <c:v>0.92660615110261524</c:v>
                </c:pt>
                <c:pt idx="62">
                  <c:v>0.9358722126136414</c:v>
                </c:pt>
                <c:pt idx="63">
                  <c:v>0.94523093473977782</c:v>
                </c:pt>
                <c:pt idx="64">
                  <c:v>0.95468324408717564</c:v>
                </c:pt>
                <c:pt idx="65">
                  <c:v>0.96423007652804738</c:v>
                </c:pt>
                <c:pt idx="66">
                  <c:v>0.97387237729332787</c:v>
                </c:pt>
                <c:pt idx="67">
                  <c:v>0.98361110106626115</c:v>
                </c:pt>
                <c:pt idx="68">
                  <c:v>0.99344721207692377</c:v>
                </c:pt>
                <c:pt idx="69">
                  <c:v>1.003381684197693</c:v>
                </c:pt>
                <c:pt idx="70">
                  <c:v>1.0134155010396699</c:v>
                </c:pt>
                <c:pt idx="71">
                  <c:v>1.0235496560500665</c:v>
                </c:pt>
                <c:pt idx="72">
                  <c:v>1.0337851526105672</c:v>
                </c:pt>
                <c:pt idx="73">
                  <c:v>1.0441230041366729</c:v>
                </c:pt>
                <c:pt idx="74">
                  <c:v>1.0545642341780397</c:v>
                </c:pt>
                <c:pt idx="75">
                  <c:v>1.0651098765198201</c:v>
                </c:pt>
                <c:pt idx="76">
                  <c:v>1.0757609752850184</c:v>
                </c:pt>
                <c:pt idx="77">
                  <c:v>1.0865185850378685</c:v>
                </c:pt>
                <c:pt idx="78">
                  <c:v>1.0973837708882472</c:v>
                </c:pt>
                <c:pt idx="79">
                  <c:v>1.1083576085971296</c:v>
                </c:pt>
                <c:pt idx="80">
                  <c:v>1.1194411846831009</c:v>
                </c:pt>
                <c:pt idx="81">
                  <c:v>1.130635596529932</c:v>
                </c:pt>
                <c:pt idx="82">
                  <c:v>1.1419419524952312</c:v>
                </c:pt>
                <c:pt idx="83">
                  <c:v>1.1533613720201836</c:v>
                </c:pt>
                <c:pt idx="84">
                  <c:v>1.1648949857403854</c:v>
                </c:pt>
                <c:pt idx="85">
                  <c:v>1.1765439355977894</c:v>
                </c:pt>
                <c:pt idx="86">
                  <c:v>1.1883093749537672</c:v>
                </c:pt>
                <c:pt idx="87">
                  <c:v>1.200192468703305</c:v>
                </c:pt>
                <c:pt idx="88">
                  <c:v>1.2121943933903381</c:v>
                </c:pt>
                <c:pt idx="89">
                  <c:v>1.2243163373242414</c:v>
                </c:pt>
                <c:pt idx="90">
                  <c:v>1.2365595006974839</c:v>
                </c:pt>
                <c:pt idx="91">
                  <c:v>1.2489250957044586</c:v>
                </c:pt>
                <c:pt idx="92">
                  <c:v>1.2614143466615033</c:v>
                </c:pt>
                <c:pt idx="93">
                  <c:v>1.2740284901281183</c:v>
                </c:pt>
                <c:pt idx="94">
                  <c:v>1.2867687750293995</c:v>
                </c:pt>
                <c:pt idx="95">
                  <c:v>1.2996364627796935</c:v>
                </c:pt>
                <c:pt idx="96">
                  <c:v>1.3126328274074903</c:v>
                </c:pt>
                <c:pt idx="97">
                  <c:v>1.3257591556815653</c:v>
                </c:pt>
                <c:pt idx="98">
                  <c:v>1.3390167472383809</c:v>
                </c:pt>
                <c:pt idx="99">
                  <c:v>1.3524069147107647</c:v>
                </c:pt>
                <c:pt idx="100">
                  <c:v>1.3659309838578724</c:v>
                </c:pt>
                <c:pt idx="101">
                  <c:v>1.379590293696451</c:v>
                </c:pt>
                <c:pt idx="102">
                  <c:v>1.3933861966334156</c:v>
                </c:pt>
                <c:pt idx="103">
                  <c:v>1.4073200585997496</c:v>
                </c:pt>
                <c:pt idx="104">
                  <c:v>1.4213932591857472</c:v>
                </c:pt>
                <c:pt idx="105">
                  <c:v>1.4356071917776048</c:v>
                </c:pt>
                <c:pt idx="106">
                  <c:v>1.4499632636953808</c:v>
                </c:pt>
                <c:pt idx="107">
                  <c:v>1.4644628963323345</c:v>
                </c:pt>
                <c:pt idx="108">
                  <c:v>1.4791075252956578</c:v>
                </c:pt>
                <c:pt idx="109">
                  <c:v>1.4938986005486143</c:v>
                </c:pt>
                <c:pt idx="110">
                  <c:v>1.5088375865541006</c:v>
                </c:pt>
                <c:pt idx="111">
                  <c:v>1.5239259624196417</c:v>
                </c:pt>
                <c:pt idx="112">
                  <c:v>1.5391652220438381</c:v>
                </c:pt>
                <c:pt idx="113">
                  <c:v>1.5545568742642766</c:v>
                </c:pt>
                <c:pt idx="114">
                  <c:v>1.5701024430069193</c:v>
                </c:pt>
                <c:pt idx="115">
                  <c:v>1.5858034674369885</c:v>
                </c:pt>
                <c:pt idx="116">
                  <c:v>1.6016615021113585</c:v>
                </c:pt>
                <c:pt idx="117">
                  <c:v>1.6176781171324721</c:v>
                </c:pt>
                <c:pt idx="118">
                  <c:v>1.6338548983037968</c:v>
                </c:pt>
                <c:pt idx="119">
                  <c:v>1.6501934472868347</c:v>
                </c:pt>
                <c:pt idx="120">
                  <c:v>1.666695381759703</c:v>
                </c:pt>
                <c:pt idx="121">
                  <c:v>1.6833623355773</c:v>
                </c:pt>
                <c:pt idx="122">
                  <c:v>1.7001959589330731</c:v>
                </c:pt>
                <c:pt idx="123">
                  <c:v>1.7171979185224038</c:v>
                </c:pt>
                <c:pt idx="124">
                  <c:v>1.7343698977076278</c:v>
                </c:pt>
                <c:pt idx="125">
                  <c:v>1.7517135966847042</c:v>
                </c:pt>
                <c:pt idx="126">
                  <c:v>1.7692307326515513</c:v>
                </c:pt>
                <c:pt idx="127">
                  <c:v>1.7869230399780669</c:v>
                </c:pt>
                <c:pt idx="128">
                  <c:v>1.8047922703778476</c:v>
                </c:pt>
                <c:pt idx="129">
                  <c:v>1.822840193081626</c:v>
                </c:pt>
                <c:pt idx="130">
                  <c:v>1.8410685950124424</c:v>
                </c:pt>
                <c:pt idx="131">
                  <c:v>1.8594792809625669</c:v>
                </c:pt>
                <c:pt idx="132">
                  <c:v>1.8780740737721926</c:v>
                </c:pt>
                <c:pt idx="133">
                  <c:v>1.8968548145099144</c:v>
                </c:pt>
                <c:pt idx="134">
                  <c:v>1.9158233626550136</c:v>
                </c:pt>
                <c:pt idx="135">
                  <c:v>1.9349815962815637</c:v>
                </c:pt>
                <c:pt idx="136">
                  <c:v>1.9543314122443793</c:v>
                </c:pt>
                <c:pt idx="137">
                  <c:v>1.973874726366823</c:v>
                </c:pt>
                <c:pt idx="138">
                  <c:v>1.9936134736304914</c:v>
                </c:pt>
                <c:pt idx="139">
                  <c:v>2.0135496083667963</c:v>
                </c:pt>
                <c:pt idx="140">
                  <c:v>2.0336851044504645</c:v>
                </c:pt>
                <c:pt idx="141">
                  <c:v>2.054021955494969</c:v>
                </c:pt>
                <c:pt idx="142">
                  <c:v>2.0745621750499188</c:v>
                </c:pt>
                <c:pt idx="143">
                  <c:v>2.0953077968004181</c:v>
                </c:pt>
                <c:pt idx="144">
                  <c:v>2.1162608747684222</c:v>
                </c:pt>
                <c:pt idx="145">
                  <c:v>2.1374234835161063</c:v>
                </c:pt>
                <c:pt idx="146">
                  <c:v>2.1587977183512672</c:v>
                </c:pt>
                <c:pt idx="147">
                  <c:v>2.1803856955347798</c:v>
                </c:pt>
                <c:pt idx="148">
                  <c:v>2.2021895524901276</c:v>
                </c:pt>
                <c:pt idx="149">
                  <c:v>2.224211448015029</c:v>
                </c:pt>
                <c:pt idx="150">
                  <c:v>2.2464535624951791</c:v>
                </c:pt>
                <c:pt idx="151">
                  <c:v>2.2689180981201309</c:v>
                </c:pt>
                <c:pt idx="152">
                  <c:v>2.2916072791013322</c:v>
                </c:pt>
                <c:pt idx="153">
                  <c:v>2.3145233518923454</c:v>
                </c:pt>
                <c:pt idx="154">
                  <c:v>2.3376685854112687</c:v>
                </c:pt>
                <c:pt idx="155">
                  <c:v>2.3610452712653816</c:v>
                </c:pt>
                <c:pt idx="156">
                  <c:v>2.3846557239780353</c:v>
                </c:pt>
                <c:pt idx="157">
                  <c:v>2.4085022812178156</c:v>
                </c:pt>
                <c:pt idx="158">
                  <c:v>2.4325873040299939</c:v>
                </c:pt>
                <c:pt idx="159">
                  <c:v>2.4569131770702937</c:v>
                </c:pt>
                <c:pt idx="160">
                  <c:v>2.4814823088409965</c:v>
                </c:pt>
                <c:pt idx="161">
                  <c:v>2.5062971319294065</c:v>
                </c:pt>
                <c:pt idx="162">
                  <c:v>2.5313601032487005</c:v>
                </c:pt>
                <c:pt idx="163">
                  <c:v>2.5566737042811876</c:v>
                </c:pt>
                <c:pt idx="164">
                  <c:v>2.5822404413239997</c:v>
                </c:pt>
                <c:pt idx="165">
                  <c:v>2.6080628457372397</c:v>
                </c:pt>
                <c:pt idx="166">
                  <c:v>2.6341434741946119</c:v>
                </c:pt>
                <c:pt idx="167">
                  <c:v>2.6604849089365579</c:v>
                </c:pt>
                <c:pt idx="168">
                  <c:v>2.6870897580259236</c:v>
                </c:pt>
                <c:pt idx="169">
                  <c:v>2.7139606556061828</c:v>
                </c:pt>
                <c:pt idx="170">
                  <c:v>2.7411002621622447</c:v>
                </c:pt>
                <c:pt idx="171">
                  <c:v>2.768511264783867</c:v>
                </c:pt>
                <c:pt idx="172">
                  <c:v>2.7961963774317056</c:v>
                </c:pt>
                <c:pt idx="173">
                  <c:v>2.8241583412060227</c:v>
                </c:pt>
                <c:pt idx="174">
                  <c:v>2.8523999246180831</c:v>
                </c:pt>
                <c:pt idx="175">
                  <c:v>2.8809239238642639</c:v>
                </c:pt>
                <c:pt idx="176">
                  <c:v>2.9097331631029064</c:v>
                </c:pt>
                <c:pt idx="177">
                  <c:v>2.9388304947339354</c:v>
                </c:pt>
                <c:pt idx="178">
                  <c:v>2.9682187996812748</c:v>
                </c:pt>
                <c:pt idx="179">
                  <c:v>2.9979009876780878</c:v>
                </c:pt>
                <c:pt idx="180">
                  <c:v>3.0278799975548685</c:v>
                </c:pt>
                <c:pt idx="181">
                  <c:v>3.058158797530417</c:v>
                </c:pt>
                <c:pt idx="182">
                  <c:v>3.0887403855057212</c:v>
                </c:pt>
                <c:pt idx="183">
                  <c:v>3.1196277893607784</c:v>
                </c:pt>
                <c:pt idx="184">
                  <c:v>3.1508240672543861</c:v>
                </c:pt>
                <c:pt idx="185">
                  <c:v>3.1823323079269299</c:v>
                </c:pt>
                <c:pt idx="186">
                  <c:v>3.2141556310061992</c:v>
                </c:pt>
                <c:pt idx="187">
                  <c:v>3.2462971873162614</c:v>
                </c:pt>
                <c:pt idx="188">
                  <c:v>3.278760159189424</c:v>
                </c:pt>
                <c:pt idx="189">
                  <c:v>3.3115477607813184</c:v>
                </c:pt>
                <c:pt idx="190">
                  <c:v>3.3446632383891317</c:v>
                </c:pt>
                <c:pt idx="191">
                  <c:v>3.3781098707730233</c:v>
                </c:pt>
                <c:pt idx="192">
                  <c:v>3.4118909694807535</c:v>
                </c:pt>
                <c:pt idx="193">
                  <c:v>3.4460098791755609</c:v>
                </c:pt>
                <c:pt idx="194">
                  <c:v>3.4804699779673167</c:v>
                </c:pt>
                <c:pt idx="195">
                  <c:v>3.5152746777469899</c:v>
                </c:pt>
                <c:pt idx="196">
                  <c:v>3.5504274245244596</c:v>
                </c:pt>
                <c:pt idx="197">
                  <c:v>3.5859316987697043</c:v>
                </c:pt>
                <c:pt idx="198">
                  <c:v>3.6217910157574016</c:v>
                </c:pt>
                <c:pt idx="199">
                  <c:v>3.6580089259149755</c:v>
                </c:pt>
                <c:pt idx="200">
                  <c:v>3.6945890151741252</c:v>
                </c:pt>
                <c:pt idx="201">
                  <c:v>3.7315349053258666</c:v>
                </c:pt>
                <c:pt idx="202">
                  <c:v>3.7688502543791254</c:v>
                </c:pt>
                <c:pt idx="203">
                  <c:v>3.8065387569229165</c:v>
                </c:pt>
                <c:pt idx="204">
                  <c:v>3.8446041444921457</c:v>
                </c:pt>
                <c:pt idx="205">
                  <c:v>3.8830501859370674</c:v>
                </c:pt>
                <c:pt idx="206">
                  <c:v>3.9218806877964383</c:v>
                </c:pt>
                <c:pt idx="207">
                  <c:v>3.9610994946744027</c:v>
                </c:pt>
                <c:pt idx="208">
                  <c:v>4.0007104896211469</c:v>
                </c:pt>
                <c:pt idx="209">
                  <c:v>4.0407175945173588</c:v>
                </c:pt>
                <c:pt idx="210">
                  <c:v>4.0811247704625329</c:v>
                </c:pt>
                <c:pt idx="211">
                  <c:v>4.1219360181671583</c:v>
                </c:pt>
                <c:pt idx="212">
                  <c:v>4.1631553783488302</c:v>
                </c:pt>
                <c:pt idx="213">
                  <c:v>4.2047869321323184</c:v>
                </c:pt>
                <c:pt idx="214">
                  <c:v>4.2468348014536419</c:v>
                </c:pt>
                <c:pt idx="215">
                  <c:v>4.2893031494681786</c:v>
                </c:pt>
                <c:pt idx="216">
                  <c:v>4.3321961809628604</c:v>
                </c:pt>
                <c:pt idx="217">
                  <c:v>4.3755181427724894</c:v>
                </c:pt>
                <c:pt idx="218">
                  <c:v>4.4192733242002147</c:v>
                </c:pt>
                <c:pt idx="219">
                  <c:v>4.4634660574422167</c:v>
                </c:pt>
                <c:pt idx="220">
                  <c:v>4.5081007180166388</c:v>
                </c:pt>
                <c:pt idx="221">
                  <c:v>4.5531817251968052</c:v>
                </c:pt>
                <c:pt idx="222">
                  <c:v>4.5987135424487731</c:v>
                </c:pt>
                <c:pt idx="223">
                  <c:v>4.6447006778732609</c:v>
                </c:pt>
                <c:pt idx="224">
                  <c:v>4.6911476846519937</c:v>
                </c:pt>
                <c:pt idx="225">
                  <c:v>4.7380591614985139</c:v>
                </c:pt>
                <c:pt idx="226">
                  <c:v>4.7854397531134989</c:v>
                </c:pt>
                <c:pt idx="227">
                  <c:v>4.8332941506446341</c:v>
                </c:pt>
                <c:pt idx="228">
                  <c:v>4.8816270921510805</c:v>
                </c:pt>
                <c:pt idx="229">
                  <c:v>4.930443363072591</c:v>
                </c:pt>
                <c:pt idx="230">
                  <c:v>4.9797477967033172</c:v>
                </c:pt>
                <c:pt idx="231">
                  <c:v>5.0295452746703502</c:v>
                </c:pt>
                <c:pt idx="232">
                  <c:v>5.0798407274170536</c:v>
                </c:pt>
                <c:pt idx="233">
                  <c:v>5.1306391346912239</c:v>
                </c:pt>
                <c:pt idx="234">
                  <c:v>5.1819455260381364</c:v>
                </c:pt>
                <c:pt idx="235">
                  <c:v>5.2337649812985179</c:v>
                </c:pt>
                <c:pt idx="236">
                  <c:v>5.2861026311115031</c:v>
                </c:pt>
                <c:pt idx="237">
                  <c:v>5.3389636574226182</c:v>
                </c:pt>
                <c:pt idx="238">
                  <c:v>5.3923532939968446</c:v>
                </c:pt>
                <c:pt idx="239">
                  <c:v>5.4462768269368134</c:v>
                </c:pt>
              </c:numCache>
            </c:numRef>
          </c:xVal>
          <c:yVal>
            <c:numRef>
              <c:f>'Coordenograma Manual'!$AI$3:$AI$242</c:f>
              <c:numCache>
                <c:formatCode>General</c:formatCode>
                <c:ptCount val="240"/>
                <c:pt idx="0">
                  <c:v>-34.10526315789474</c:v>
                </c:pt>
                <c:pt idx="1">
                  <c:v>-36.020011117287403</c:v>
                </c:pt>
                <c:pt idx="2">
                  <c:v>-38.185257426384347</c:v>
                </c:pt>
                <c:pt idx="3">
                  <c:v>-40.653469387780717</c:v>
                </c:pt>
                <c:pt idx="4">
                  <c:v>-43.492866494346003</c:v>
                </c:pt>
                <c:pt idx="5">
                  <c:v>-46.79381172151097</c:v>
                </c:pt>
                <c:pt idx="6">
                  <c:v>-50.678589483334832</c:v>
                </c:pt>
                <c:pt idx="7">
                  <c:v>-55.316866703667678</c:v>
                </c:pt>
                <c:pt idx="8">
                  <c:v>-60.951103987328615</c:v>
                </c:pt>
                <c:pt idx="9">
                  <c:v>-67.940285186028305</c:v>
                </c:pt>
                <c:pt idx="10">
                  <c:v>-76.839475378042266</c:v>
                </c:pt>
                <c:pt idx="11">
                  <c:v>-88.554870766418773</c:v>
                </c:pt>
                <c:pt idx="12">
                  <c:v>-104.67361290266997</c:v>
                </c:pt>
                <c:pt idx="13">
                  <c:v>-128.25134283361871</c:v>
                </c:pt>
                <c:pt idx="14">
                  <c:v>-166.02169020654725</c:v>
                </c:pt>
                <c:pt idx="15">
                  <c:v>-236.31217282913497</c:v>
                </c:pt>
                <c:pt idx="16">
                  <c:v>-412.85538319563284</c:v>
                </c:pt>
                <c:pt idx="17">
                  <c:v>-1682.0140440309351</c:v>
                </c:pt>
                <c:pt idx="18">
                  <c:v>799.11698130661603</c:v>
                </c:pt>
                <c:pt idx="19">
                  <c:v>320.95033079181383</c:v>
                </c:pt>
                <c:pt idx="20">
                  <c:v>200.04976332054665</c:v>
                </c:pt>
                <c:pt idx="21">
                  <c:v>144.91502648266717</c:v>
                </c:pt>
                <c:pt idx="22">
                  <c:v>113.36000419890161</c:v>
                </c:pt>
                <c:pt idx="23">
                  <c:v>92.92367763256658</c:v>
                </c:pt>
                <c:pt idx="24">
                  <c:v>78.610253198957906</c:v>
                </c:pt>
                <c:pt idx="25">
                  <c:v>68.026985950666386</c:v>
                </c:pt>
                <c:pt idx="26">
                  <c:v>59.884180602895903</c:v>
                </c:pt>
                <c:pt idx="27">
                  <c:v>53.425248109662995</c:v>
                </c:pt>
                <c:pt idx="28">
                  <c:v>48.177050099822743</c:v>
                </c:pt>
                <c:pt idx="29">
                  <c:v>43.828525798848155</c:v>
                </c:pt>
                <c:pt idx="30">
                  <c:v>40.166765346757181</c:v>
                </c:pt>
                <c:pt idx="31">
                  <c:v>37.04112762343096</c:v>
                </c:pt>
                <c:pt idx="32">
                  <c:v>34.34202697578877</c:v>
                </c:pt>
                <c:pt idx="33">
                  <c:v>31.987838907701605</c:v>
                </c:pt>
                <c:pt idx="34">
                  <c:v>29.916516847387438</c:v>
                </c:pt>
                <c:pt idx="35">
                  <c:v>28.080054412681843</c:v>
                </c:pt>
                <c:pt idx="36">
                  <c:v>26.440726693410991</c:v>
                </c:pt>
                <c:pt idx="37">
                  <c:v>24.968477668602638</c:v>
                </c:pt>
                <c:pt idx="38">
                  <c:v>23.639065742478401</c:v>
                </c:pt>
                <c:pt idx="39">
                  <c:v>22.432722583435506</c:v>
                </c:pt>
                <c:pt idx="40">
                  <c:v>21.333166817055403</c:v>
                </c:pt>
                <c:pt idx="41">
                  <c:v>20.326867661388533</c:v>
                </c:pt>
                <c:pt idx="42">
                  <c:v>19.402487604176699</c:v>
                </c:pt>
                <c:pt idx="43">
                  <c:v>18.550455311730357</c:v>
                </c:pt>
                <c:pt idx="44">
                  <c:v>17.762634596681437</c:v>
                </c:pt>
                <c:pt idx="45">
                  <c:v>17.03206514948798</c:v>
                </c:pt>
                <c:pt idx="46">
                  <c:v>16.352757516197034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0.01</c:v>
                </c:pt>
                <c:pt idx="71">
                  <c:v>0.01</c:v>
                </c:pt>
                <c:pt idx="72">
                  <c:v>0.01</c:v>
                </c:pt>
                <c:pt idx="73">
                  <c:v>0.01</c:v>
                </c:pt>
                <c:pt idx="74">
                  <c:v>0.01</c:v>
                </c:pt>
                <c:pt idx="75">
                  <c:v>0.01</c:v>
                </c:pt>
                <c:pt idx="76">
                  <c:v>0.01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0.01</c:v>
                </c:pt>
                <c:pt idx="88">
                  <c:v>0.01</c:v>
                </c:pt>
                <c:pt idx="89">
                  <c:v>0.01</c:v>
                </c:pt>
                <c:pt idx="90">
                  <c:v>0.01</c:v>
                </c:pt>
                <c:pt idx="91">
                  <c:v>0.01</c:v>
                </c:pt>
                <c:pt idx="92">
                  <c:v>0.01</c:v>
                </c:pt>
                <c:pt idx="93">
                  <c:v>0.01</c:v>
                </c:pt>
                <c:pt idx="94">
                  <c:v>0.01</c:v>
                </c:pt>
                <c:pt idx="95">
                  <c:v>0.01</c:v>
                </c:pt>
                <c:pt idx="96">
                  <c:v>0.01</c:v>
                </c:pt>
                <c:pt idx="97">
                  <c:v>0.01</c:v>
                </c:pt>
                <c:pt idx="98">
                  <c:v>0.01</c:v>
                </c:pt>
                <c:pt idx="99">
                  <c:v>0.01</c:v>
                </c:pt>
                <c:pt idx="100">
                  <c:v>0.01</c:v>
                </c:pt>
                <c:pt idx="101">
                  <c:v>0.01</c:v>
                </c:pt>
                <c:pt idx="102">
                  <c:v>0.01</c:v>
                </c:pt>
                <c:pt idx="103">
                  <c:v>0.01</c:v>
                </c:pt>
                <c:pt idx="104">
                  <c:v>0.01</c:v>
                </c:pt>
                <c:pt idx="105">
                  <c:v>0.01</c:v>
                </c:pt>
                <c:pt idx="106">
                  <c:v>0.01</c:v>
                </c:pt>
                <c:pt idx="107">
                  <c:v>0.01</c:v>
                </c:pt>
                <c:pt idx="108">
                  <c:v>0.01</c:v>
                </c:pt>
                <c:pt idx="109">
                  <c:v>0.01</c:v>
                </c:pt>
                <c:pt idx="110">
                  <c:v>0.01</c:v>
                </c:pt>
                <c:pt idx="111">
                  <c:v>0.01</c:v>
                </c:pt>
                <c:pt idx="112">
                  <c:v>0.01</c:v>
                </c:pt>
                <c:pt idx="113">
                  <c:v>0.01</c:v>
                </c:pt>
                <c:pt idx="114">
                  <c:v>0.01</c:v>
                </c:pt>
                <c:pt idx="115">
                  <c:v>0.01</c:v>
                </c:pt>
                <c:pt idx="116">
                  <c:v>0.01</c:v>
                </c:pt>
                <c:pt idx="117">
                  <c:v>0.01</c:v>
                </c:pt>
                <c:pt idx="118">
                  <c:v>0.01</c:v>
                </c:pt>
                <c:pt idx="119">
                  <c:v>0.01</c:v>
                </c:pt>
                <c:pt idx="120">
                  <c:v>0.01</c:v>
                </c:pt>
                <c:pt idx="121">
                  <c:v>0.01</c:v>
                </c:pt>
                <c:pt idx="122">
                  <c:v>0.01</c:v>
                </c:pt>
                <c:pt idx="123">
                  <c:v>0.01</c:v>
                </c:pt>
                <c:pt idx="124">
                  <c:v>0.01</c:v>
                </c:pt>
                <c:pt idx="125">
                  <c:v>0.01</c:v>
                </c:pt>
                <c:pt idx="126">
                  <c:v>0.01</c:v>
                </c:pt>
                <c:pt idx="127">
                  <c:v>0.01</c:v>
                </c:pt>
                <c:pt idx="128">
                  <c:v>0.01</c:v>
                </c:pt>
                <c:pt idx="129">
                  <c:v>0.01</c:v>
                </c:pt>
                <c:pt idx="130">
                  <c:v>0.01</c:v>
                </c:pt>
                <c:pt idx="131">
                  <c:v>0.01</c:v>
                </c:pt>
                <c:pt idx="132">
                  <c:v>0.01</c:v>
                </c:pt>
                <c:pt idx="133">
                  <c:v>0.01</c:v>
                </c:pt>
                <c:pt idx="134">
                  <c:v>0.01</c:v>
                </c:pt>
                <c:pt idx="135">
                  <c:v>0.01</c:v>
                </c:pt>
                <c:pt idx="136">
                  <c:v>0.01</c:v>
                </c:pt>
                <c:pt idx="137">
                  <c:v>0.01</c:v>
                </c:pt>
                <c:pt idx="138">
                  <c:v>0.01</c:v>
                </c:pt>
                <c:pt idx="139">
                  <c:v>0.01</c:v>
                </c:pt>
                <c:pt idx="140">
                  <c:v>0.01</c:v>
                </c:pt>
                <c:pt idx="141">
                  <c:v>0.01</c:v>
                </c:pt>
                <c:pt idx="142">
                  <c:v>0.01</c:v>
                </c:pt>
                <c:pt idx="143">
                  <c:v>0.01</c:v>
                </c:pt>
                <c:pt idx="144">
                  <c:v>0.01</c:v>
                </c:pt>
                <c:pt idx="145">
                  <c:v>0.01</c:v>
                </c:pt>
                <c:pt idx="146">
                  <c:v>0.01</c:v>
                </c:pt>
                <c:pt idx="147">
                  <c:v>0.01</c:v>
                </c:pt>
                <c:pt idx="148">
                  <c:v>0.01</c:v>
                </c:pt>
                <c:pt idx="149">
                  <c:v>0.01</c:v>
                </c:pt>
                <c:pt idx="150">
                  <c:v>0.01</c:v>
                </c:pt>
                <c:pt idx="151">
                  <c:v>0.01</c:v>
                </c:pt>
                <c:pt idx="152">
                  <c:v>0.01</c:v>
                </c:pt>
                <c:pt idx="153">
                  <c:v>0.01</c:v>
                </c:pt>
                <c:pt idx="154">
                  <c:v>0.01</c:v>
                </c:pt>
                <c:pt idx="155">
                  <c:v>0.01</c:v>
                </c:pt>
                <c:pt idx="156">
                  <c:v>0.01</c:v>
                </c:pt>
                <c:pt idx="157">
                  <c:v>0.01</c:v>
                </c:pt>
                <c:pt idx="158">
                  <c:v>0.01</c:v>
                </c:pt>
                <c:pt idx="159">
                  <c:v>0.01</c:v>
                </c:pt>
                <c:pt idx="160">
                  <c:v>0.01</c:v>
                </c:pt>
                <c:pt idx="161">
                  <c:v>0.01</c:v>
                </c:pt>
                <c:pt idx="162">
                  <c:v>0.01</c:v>
                </c:pt>
                <c:pt idx="163">
                  <c:v>0.01</c:v>
                </c:pt>
                <c:pt idx="164">
                  <c:v>0.01</c:v>
                </c:pt>
                <c:pt idx="165">
                  <c:v>0.01</c:v>
                </c:pt>
                <c:pt idx="166">
                  <c:v>0.01</c:v>
                </c:pt>
                <c:pt idx="167">
                  <c:v>0.01</c:v>
                </c:pt>
                <c:pt idx="168">
                  <c:v>0.01</c:v>
                </c:pt>
                <c:pt idx="169">
                  <c:v>0.01</c:v>
                </c:pt>
                <c:pt idx="170">
                  <c:v>0.01</c:v>
                </c:pt>
                <c:pt idx="171">
                  <c:v>0.01</c:v>
                </c:pt>
                <c:pt idx="172">
                  <c:v>0.01</c:v>
                </c:pt>
                <c:pt idx="173">
                  <c:v>0.01</c:v>
                </c:pt>
                <c:pt idx="174">
                  <c:v>0.01</c:v>
                </c:pt>
                <c:pt idx="175">
                  <c:v>0.01</c:v>
                </c:pt>
                <c:pt idx="176">
                  <c:v>0.01</c:v>
                </c:pt>
                <c:pt idx="177">
                  <c:v>0.01</c:v>
                </c:pt>
                <c:pt idx="178">
                  <c:v>0.01</c:v>
                </c:pt>
                <c:pt idx="179">
                  <c:v>0.01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E1-40BE-83B4-0C799FAAB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941103"/>
        <c:axId val="2053941935"/>
        <c:extLst/>
      </c:scatterChart>
      <c:valAx>
        <c:axId val="205394110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corrente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935"/>
        <c:crosses val="autoZero"/>
        <c:crossBetween val="midCat"/>
      </c:valAx>
      <c:valAx>
        <c:axId val="20539419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Tempo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6350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3941103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0_1">
  <dgm:title val=""/>
  <dgm:desc val=""/>
  <dgm:catLst>
    <dgm:cat type="mainScheme" pri="10100"/>
  </dgm:catLst>
  <dgm:styleLbl name="node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lnNode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vennNode1">
    <dgm:fillClrLst meth="repeat">
      <a:schemeClr val="lt1">
        <a:alpha val="50000"/>
      </a:schemeClr>
    </dgm:fillClrLst>
    <dgm:linClrLst meth="repeat">
      <a:schemeClr val="dk1">
        <a:shade val="80000"/>
      </a:schemeClr>
    </dgm:linClrLst>
    <dgm:effectClrLst/>
    <dgm:txLinClrLst/>
    <dgm:txFillClrLst/>
    <dgm:txEffectClrLst/>
  </dgm:styleLbl>
  <dgm:styleLbl name="node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dk1">
        <a:tint val="40000"/>
      </a:schemeClr>
    </dgm:fillClrLst>
    <dgm:linClrLst meth="repeat">
      <a:schemeClr val="dk1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f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bgSib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sibTrans1D1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1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2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3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4">
    <dgm:fillClrLst meth="repeat">
      <a:schemeClr val="lt1"/>
    </dgm:fillClrLst>
    <dgm:linClrLst meth="repeat">
      <a:schemeClr val="dk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parChTrans2D1">
    <dgm:fillClrLst meth="repeat">
      <a:schemeClr val="dk1">
        <a:tint val="60000"/>
      </a:schemeClr>
    </dgm:fillClrLst>
    <dgm:linClrLst meth="repeat">
      <a:schemeClr val="dk1">
        <a:tint val="60000"/>
      </a:schemeClr>
    </dgm:linClrLst>
    <dgm:effectClrLst/>
    <dgm:txLinClrLst/>
    <dgm:txFillClrLst/>
    <dgm:txEffectClrLst/>
  </dgm:styleLbl>
  <dgm:styleLbl name="parChTrans2D2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3">
    <dgm:fillClrLst meth="repeat">
      <a:schemeClr val="dk1"/>
    </dgm:fillClrLst>
    <dgm:linClrLst meth="repeat">
      <a:schemeClr val="dk1"/>
    </dgm:linClrLst>
    <dgm:effectClrLst/>
    <dgm:txLinClrLst/>
    <dgm:txFillClrLst/>
    <dgm:txEffectClrLst/>
  </dgm:styleLbl>
  <dgm:styleLbl name="parChTrans2D4">
    <dgm:fillClrLst meth="repeat">
      <a:schemeClr val="dk1"/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dk1"/>
    </dgm:fillClrLst>
    <dgm:linClrLst meth="repeat">
      <a:schemeClr val="dk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dk1"/>
    </dgm:fillClrLst>
    <dgm:linClrLst meth="repeat">
      <a:schemeClr val="dk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dk1">
        <a:alpha val="4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lt1">
        <a:alpha val="90000"/>
        <a:tint val="40000"/>
      </a:schemeClr>
    </dgm:fillClrLst>
    <dgm:linClrLst meth="repeat">
      <a:schemeClr val="dk1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dk1">
        <a:alpha val="90000"/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dk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dk1">
        <a:shade val="8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dk1">
        <a:tint val="50000"/>
        <a:alpha val="4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dk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7B5F709C-6F8C-4A7C-89D1-9D0FCDE7AE85}" type="doc">
      <dgm:prSet loTypeId="urn:microsoft.com/office/officeart/2005/8/layout/bProcess3" loCatId="process" qsTypeId="urn:microsoft.com/office/officeart/2005/8/quickstyle/simple1" qsCatId="simple" csTypeId="urn:microsoft.com/office/officeart/2005/8/colors/accent0_1" csCatId="mainScheme" phldr="1"/>
      <dgm:spPr/>
      <dgm:t>
        <a:bodyPr/>
        <a:lstStyle/>
        <a:p>
          <a:endParaRPr lang="pt-BR"/>
        </a:p>
      </dgm:t>
    </dgm:pt>
    <dgm:pt modelId="{3FAA8CA9-9DED-4E3F-88B5-E19537B71B1B}">
      <dgm:prSet phldrT="[Texto]"/>
      <dgm:spPr/>
      <dgm:t>
        <a:bodyPr/>
        <a:lstStyle/>
        <a:p>
          <a:r>
            <a:rPr lang="pt-BR"/>
            <a:t>Levantamento das informações básicas</a:t>
          </a:r>
        </a:p>
      </dgm:t>
    </dgm:pt>
    <dgm:pt modelId="{D0BEFC05-3050-42FC-8D22-EEAEF0F9A262}" type="parTrans" cxnId="{F1002E02-7595-402E-A987-302F66211481}">
      <dgm:prSet/>
      <dgm:spPr/>
      <dgm:t>
        <a:bodyPr/>
        <a:lstStyle/>
        <a:p>
          <a:endParaRPr lang="pt-BR"/>
        </a:p>
      </dgm:t>
    </dgm:pt>
    <dgm:pt modelId="{84617236-7E00-4560-8C28-0AB54CA6B05A}" type="sibTrans" cxnId="{F1002E02-7595-402E-A987-302F66211481}">
      <dgm:prSet/>
      <dgm:spPr/>
      <dgm:t>
        <a:bodyPr/>
        <a:lstStyle/>
        <a:p>
          <a:endParaRPr lang="pt-BR"/>
        </a:p>
      </dgm:t>
    </dgm:pt>
    <dgm:pt modelId="{BD1EF9C6-942D-4F4B-A52E-AEAEC8BDC900}">
      <dgm:prSet phldrT="[Texto]"/>
      <dgm:spPr/>
      <dgm:t>
        <a:bodyPr/>
        <a:lstStyle/>
        <a:p>
          <a:r>
            <a:rPr lang="pt-BR"/>
            <a:t>Conversão dos dados em PU</a:t>
          </a:r>
        </a:p>
      </dgm:t>
    </dgm:pt>
    <dgm:pt modelId="{83E4A3B1-9059-4002-8FBF-46E322201D47}" type="parTrans" cxnId="{01BF4D85-28C6-41E4-ADFD-9EF887FD97A3}">
      <dgm:prSet/>
      <dgm:spPr/>
      <dgm:t>
        <a:bodyPr/>
        <a:lstStyle/>
        <a:p>
          <a:endParaRPr lang="pt-BR"/>
        </a:p>
      </dgm:t>
    </dgm:pt>
    <dgm:pt modelId="{18A9B855-3AA9-40EA-B328-7AE00948B981}" type="sibTrans" cxnId="{01BF4D85-28C6-41E4-ADFD-9EF887FD97A3}">
      <dgm:prSet/>
      <dgm:spPr/>
      <dgm:t>
        <a:bodyPr/>
        <a:lstStyle/>
        <a:p>
          <a:endParaRPr lang="pt-BR"/>
        </a:p>
      </dgm:t>
    </dgm:pt>
    <dgm:pt modelId="{FF604078-2CAF-4198-A11A-ECC492FA0388}">
      <dgm:prSet/>
      <dgm:spPr/>
      <dgm:t>
        <a:bodyPr/>
        <a:lstStyle/>
        <a:p>
          <a:r>
            <a:rPr lang="pt-BR"/>
            <a:t>Levantamento do ajuste da proteção da concessionária</a:t>
          </a:r>
        </a:p>
      </dgm:t>
    </dgm:pt>
    <dgm:pt modelId="{91F2E732-ED0F-4729-9523-35E6E2B6BCFE}" type="parTrans" cxnId="{4BBBB46D-1F19-4251-9B9F-B8BE118747E2}">
      <dgm:prSet/>
      <dgm:spPr/>
      <dgm:t>
        <a:bodyPr/>
        <a:lstStyle/>
        <a:p>
          <a:endParaRPr lang="pt-BR"/>
        </a:p>
      </dgm:t>
    </dgm:pt>
    <dgm:pt modelId="{C6DC5AFC-F3F7-4543-8751-4B973A500513}" type="sibTrans" cxnId="{4BBBB46D-1F19-4251-9B9F-B8BE118747E2}">
      <dgm:prSet/>
      <dgm:spPr/>
      <dgm:t>
        <a:bodyPr/>
        <a:lstStyle/>
        <a:p>
          <a:endParaRPr lang="pt-BR"/>
        </a:p>
      </dgm:t>
    </dgm:pt>
    <dgm:pt modelId="{6CEAA4A9-00E8-4D1E-9881-4D4EC2F2B3F9}">
      <dgm:prSet/>
      <dgm:spPr/>
      <dgm:t>
        <a:bodyPr/>
        <a:lstStyle/>
        <a:p>
          <a:r>
            <a:rPr lang="pt-BR"/>
            <a:t>Cálculo das correntes de falta</a:t>
          </a:r>
        </a:p>
      </dgm:t>
    </dgm:pt>
    <dgm:pt modelId="{AE9851FC-8730-4FCF-A8BF-C8A56A1ACA31}" type="parTrans" cxnId="{1F5E6621-1C1A-4E4C-998B-2AE915E1332E}">
      <dgm:prSet/>
      <dgm:spPr/>
      <dgm:t>
        <a:bodyPr/>
        <a:lstStyle/>
        <a:p>
          <a:endParaRPr lang="pt-BR"/>
        </a:p>
      </dgm:t>
    </dgm:pt>
    <dgm:pt modelId="{4FE6724C-7E9B-4EB2-9DBE-D155301CB436}" type="sibTrans" cxnId="{1F5E6621-1C1A-4E4C-998B-2AE915E1332E}">
      <dgm:prSet/>
      <dgm:spPr/>
      <dgm:t>
        <a:bodyPr/>
        <a:lstStyle/>
        <a:p>
          <a:endParaRPr lang="pt-BR"/>
        </a:p>
      </dgm:t>
    </dgm:pt>
    <dgm:pt modelId="{DA2B1BA2-0830-4718-9B31-7EA0AF24F354}">
      <dgm:prSet/>
      <dgm:spPr/>
      <dgm:t>
        <a:bodyPr/>
        <a:lstStyle/>
        <a:p>
          <a:r>
            <a:rPr lang="pt-BR"/>
            <a:t>Dimensionamento dos TC de proteção</a:t>
          </a:r>
        </a:p>
      </dgm:t>
    </dgm:pt>
    <dgm:pt modelId="{CD10FCBE-A135-4433-8432-FC5E7AC4C173}" type="parTrans" cxnId="{2974DD89-6110-481A-86AC-40C8D010E3CD}">
      <dgm:prSet/>
      <dgm:spPr/>
      <dgm:t>
        <a:bodyPr/>
        <a:lstStyle/>
        <a:p>
          <a:endParaRPr lang="pt-BR"/>
        </a:p>
      </dgm:t>
    </dgm:pt>
    <dgm:pt modelId="{4E9003F1-E3D4-482A-B605-9CCAC1100203}" type="sibTrans" cxnId="{2974DD89-6110-481A-86AC-40C8D010E3CD}">
      <dgm:prSet/>
      <dgm:spPr/>
      <dgm:t>
        <a:bodyPr/>
        <a:lstStyle/>
        <a:p>
          <a:endParaRPr lang="pt-BR"/>
        </a:p>
      </dgm:t>
    </dgm:pt>
    <dgm:pt modelId="{EC965DCC-B18B-4384-A3D3-E80636F558A3}">
      <dgm:prSet/>
      <dgm:spPr/>
      <dgm:t>
        <a:bodyPr/>
        <a:lstStyle/>
        <a:p>
          <a:r>
            <a:rPr lang="pt-BR"/>
            <a:t>Dimensionamento da unidade temporizada e instantanea de fase</a:t>
          </a:r>
        </a:p>
      </dgm:t>
    </dgm:pt>
    <dgm:pt modelId="{3E53046C-DEE7-43D5-9104-77D0A8589F63}" type="parTrans" cxnId="{F184ADCD-E4A4-44A2-8094-50BD33746361}">
      <dgm:prSet/>
      <dgm:spPr/>
      <dgm:t>
        <a:bodyPr/>
        <a:lstStyle/>
        <a:p>
          <a:endParaRPr lang="pt-BR"/>
        </a:p>
      </dgm:t>
    </dgm:pt>
    <dgm:pt modelId="{11364022-BA10-46C3-B4E8-158ED42C63BC}" type="sibTrans" cxnId="{F184ADCD-E4A4-44A2-8094-50BD33746361}">
      <dgm:prSet/>
      <dgm:spPr/>
      <dgm:t>
        <a:bodyPr/>
        <a:lstStyle/>
        <a:p>
          <a:endParaRPr lang="pt-BR"/>
        </a:p>
      </dgm:t>
    </dgm:pt>
    <dgm:pt modelId="{732A180D-49F7-42F9-A623-51847DF5D7C7}">
      <dgm:prSet/>
      <dgm:spPr/>
      <dgm:t>
        <a:bodyPr/>
        <a:lstStyle/>
        <a:p>
          <a:r>
            <a:rPr lang="pt-BR"/>
            <a:t>Dimensionamento da unidade temporizada e instantanea de neutro</a:t>
          </a:r>
        </a:p>
      </dgm:t>
    </dgm:pt>
    <dgm:pt modelId="{DC2EB9A4-EE86-4C71-AB79-E1C8EA7198C9}" type="parTrans" cxnId="{AD4C16A6-1F9D-44B2-98C1-3AB6C68E7B66}">
      <dgm:prSet/>
      <dgm:spPr/>
      <dgm:t>
        <a:bodyPr/>
        <a:lstStyle/>
        <a:p>
          <a:endParaRPr lang="pt-BR"/>
        </a:p>
      </dgm:t>
    </dgm:pt>
    <dgm:pt modelId="{BB154B78-AE3B-482F-8AF8-BC264581D133}" type="sibTrans" cxnId="{AD4C16A6-1F9D-44B2-98C1-3AB6C68E7B66}">
      <dgm:prSet/>
      <dgm:spPr/>
      <dgm:t>
        <a:bodyPr/>
        <a:lstStyle/>
        <a:p>
          <a:endParaRPr lang="pt-BR"/>
        </a:p>
      </dgm:t>
    </dgm:pt>
    <dgm:pt modelId="{5F44BCCC-0550-4109-B0E7-01B8DA80981D}">
      <dgm:prSet/>
      <dgm:spPr/>
      <dgm:t>
        <a:bodyPr/>
        <a:lstStyle/>
        <a:p>
          <a:r>
            <a:rPr lang="pt-BR"/>
            <a:t>Plotagem das curvas dos relés</a:t>
          </a:r>
        </a:p>
      </dgm:t>
    </dgm:pt>
    <dgm:pt modelId="{64173C12-02BB-42C3-B3F1-6B3ADBB34F5D}" type="parTrans" cxnId="{E51C0965-68DF-457E-8A97-8E4255D18F06}">
      <dgm:prSet/>
      <dgm:spPr/>
      <dgm:t>
        <a:bodyPr/>
        <a:lstStyle/>
        <a:p>
          <a:endParaRPr lang="pt-BR"/>
        </a:p>
      </dgm:t>
    </dgm:pt>
    <dgm:pt modelId="{FC45ADB6-2440-482F-8DCA-5CF64DEA3F1E}" type="sibTrans" cxnId="{E51C0965-68DF-457E-8A97-8E4255D18F06}">
      <dgm:prSet/>
      <dgm:spPr/>
      <dgm:t>
        <a:bodyPr/>
        <a:lstStyle/>
        <a:p>
          <a:endParaRPr lang="pt-BR"/>
        </a:p>
      </dgm:t>
    </dgm:pt>
    <dgm:pt modelId="{F7614035-ED69-4463-80EC-46717A617C47}">
      <dgm:prSet/>
      <dgm:spPr/>
      <dgm:t>
        <a:bodyPr/>
        <a:lstStyle/>
        <a:p>
          <a:r>
            <a:rPr lang="pt-BR"/>
            <a:t>Verificação da coordenação e seletividade</a:t>
          </a:r>
        </a:p>
      </dgm:t>
    </dgm:pt>
    <dgm:pt modelId="{F14DAA84-DA3F-4332-8835-EAC7B76B16A5}" type="parTrans" cxnId="{EDAC30B2-2AE2-497A-9C80-E3C742AB210D}">
      <dgm:prSet/>
      <dgm:spPr/>
      <dgm:t>
        <a:bodyPr/>
        <a:lstStyle/>
        <a:p>
          <a:endParaRPr lang="pt-BR"/>
        </a:p>
      </dgm:t>
    </dgm:pt>
    <dgm:pt modelId="{C6D8EBAC-98F1-49A2-AFBE-B6857CC29F25}" type="sibTrans" cxnId="{EDAC30B2-2AE2-497A-9C80-E3C742AB210D}">
      <dgm:prSet/>
      <dgm:spPr/>
      <dgm:t>
        <a:bodyPr/>
        <a:lstStyle/>
        <a:p>
          <a:endParaRPr lang="pt-BR"/>
        </a:p>
      </dgm:t>
    </dgm:pt>
    <dgm:pt modelId="{1696BE95-CDDE-4ACC-A78D-9F701795A454}">
      <dgm:prSet phldrT="[Texto]"/>
      <dgm:spPr/>
      <dgm:t>
        <a:bodyPr/>
        <a:lstStyle/>
        <a:p>
          <a:r>
            <a:rPr lang="pt-BR"/>
            <a:t>Cálculo dos parâmetros da rede e transformador</a:t>
          </a:r>
        </a:p>
      </dgm:t>
    </dgm:pt>
    <dgm:pt modelId="{E8AD4DFF-1E4D-4C9E-8861-B7D6C16FD589}" type="sibTrans" cxnId="{1338EF54-8C0B-452C-8E01-38B8C7FC6804}">
      <dgm:prSet/>
      <dgm:spPr/>
      <dgm:t>
        <a:bodyPr/>
        <a:lstStyle/>
        <a:p>
          <a:endParaRPr lang="pt-BR"/>
        </a:p>
      </dgm:t>
    </dgm:pt>
    <dgm:pt modelId="{F60D7461-A38E-4A7E-A800-68BF6DD370AA}" type="parTrans" cxnId="{1338EF54-8C0B-452C-8E01-38B8C7FC6804}">
      <dgm:prSet/>
      <dgm:spPr/>
      <dgm:t>
        <a:bodyPr/>
        <a:lstStyle/>
        <a:p>
          <a:endParaRPr lang="pt-BR"/>
        </a:p>
      </dgm:t>
    </dgm:pt>
    <dgm:pt modelId="{8C360531-1723-4CDD-8932-55D94B33DF3D}" type="pres">
      <dgm:prSet presAssocID="{7B5F709C-6F8C-4A7C-89D1-9D0FCDE7AE85}" presName="Name0" presStyleCnt="0">
        <dgm:presLayoutVars>
          <dgm:dir/>
          <dgm:resizeHandles val="exact"/>
        </dgm:presLayoutVars>
      </dgm:prSet>
      <dgm:spPr/>
      <dgm:t>
        <a:bodyPr/>
        <a:lstStyle/>
        <a:p>
          <a:endParaRPr lang="pt-BR"/>
        </a:p>
      </dgm:t>
    </dgm:pt>
    <dgm:pt modelId="{3E6C8ADC-769B-48BF-BDF8-C1404AB5F285}" type="pres">
      <dgm:prSet presAssocID="{3FAA8CA9-9DED-4E3F-88B5-E19537B71B1B}" presName="node" presStyleLbl="node1" presStyleIdx="0" presStyleCnt="1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9321576E-BF5C-47AC-85D2-A1D4F511AE02}" type="pres">
      <dgm:prSet presAssocID="{84617236-7E00-4560-8C28-0AB54CA6B05A}" presName="sibTrans" presStyleLbl="sibTrans1D1" presStyleIdx="0" presStyleCnt="9"/>
      <dgm:spPr/>
      <dgm:t>
        <a:bodyPr/>
        <a:lstStyle/>
        <a:p>
          <a:endParaRPr lang="pt-BR"/>
        </a:p>
      </dgm:t>
    </dgm:pt>
    <dgm:pt modelId="{651249CA-399F-42BF-AEC9-A8084242F971}" type="pres">
      <dgm:prSet presAssocID="{84617236-7E00-4560-8C28-0AB54CA6B05A}" presName="connectorText" presStyleLbl="sibTrans1D1" presStyleIdx="0" presStyleCnt="9"/>
      <dgm:spPr/>
      <dgm:t>
        <a:bodyPr/>
        <a:lstStyle/>
        <a:p>
          <a:endParaRPr lang="pt-BR"/>
        </a:p>
      </dgm:t>
    </dgm:pt>
    <dgm:pt modelId="{6792E872-0D07-43C4-91AD-D8CFFAAC438B}" type="pres">
      <dgm:prSet presAssocID="{1696BE95-CDDE-4ACC-A78D-9F701795A454}" presName="node" presStyleLbl="node1" presStyleIdx="1" presStyleCnt="1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56E19D9A-ED70-4831-B7D1-F29C599D1AB3}" type="pres">
      <dgm:prSet presAssocID="{E8AD4DFF-1E4D-4C9E-8861-B7D6C16FD589}" presName="sibTrans" presStyleLbl="sibTrans1D1" presStyleIdx="1" presStyleCnt="9"/>
      <dgm:spPr/>
      <dgm:t>
        <a:bodyPr/>
        <a:lstStyle/>
        <a:p>
          <a:endParaRPr lang="pt-BR"/>
        </a:p>
      </dgm:t>
    </dgm:pt>
    <dgm:pt modelId="{C8934AE8-609F-4FC7-987D-D6C6724CAE86}" type="pres">
      <dgm:prSet presAssocID="{E8AD4DFF-1E4D-4C9E-8861-B7D6C16FD589}" presName="connectorText" presStyleLbl="sibTrans1D1" presStyleIdx="1" presStyleCnt="9"/>
      <dgm:spPr/>
      <dgm:t>
        <a:bodyPr/>
        <a:lstStyle/>
        <a:p>
          <a:endParaRPr lang="pt-BR"/>
        </a:p>
      </dgm:t>
    </dgm:pt>
    <dgm:pt modelId="{909F7D11-8A35-40C4-B660-783D1DCBB89B}" type="pres">
      <dgm:prSet presAssocID="{BD1EF9C6-942D-4F4B-A52E-AEAEC8BDC900}" presName="node" presStyleLbl="node1" presStyleIdx="2" presStyleCnt="1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E7049A0F-B285-4287-B095-4B343FF739A6}" type="pres">
      <dgm:prSet presAssocID="{18A9B855-3AA9-40EA-B328-7AE00948B981}" presName="sibTrans" presStyleLbl="sibTrans1D1" presStyleIdx="2" presStyleCnt="9"/>
      <dgm:spPr/>
      <dgm:t>
        <a:bodyPr/>
        <a:lstStyle/>
        <a:p>
          <a:endParaRPr lang="pt-BR"/>
        </a:p>
      </dgm:t>
    </dgm:pt>
    <dgm:pt modelId="{A7F6CB6B-72E0-48B9-9007-8DDF514113CA}" type="pres">
      <dgm:prSet presAssocID="{18A9B855-3AA9-40EA-B328-7AE00948B981}" presName="connectorText" presStyleLbl="sibTrans1D1" presStyleIdx="2" presStyleCnt="9"/>
      <dgm:spPr/>
      <dgm:t>
        <a:bodyPr/>
        <a:lstStyle/>
        <a:p>
          <a:endParaRPr lang="pt-BR"/>
        </a:p>
      </dgm:t>
    </dgm:pt>
    <dgm:pt modelId="{86645CA2-EBEC-4295-8C22-6559A901CCAA}" type="pres">
      <dgm:prSet presAssocID="{FF604078-2CAF-4198-A11A-ECC492FA0388}" presName="node" presStyleLbl="node1" presStyleIdx="3" presStyleCnt="1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6F164B9C-7EB0-41A1-AFAE-3702F147D3A5}" type="pres">
      <dgm:prSet presAssocID="{C6DC5AFC-F3F7-4543-8751-4B973A500513}" presName="sibTrans" presStyleLbl="sibTrans1D1" presStyleIdx="3" presStyleCnt="9"/>
      <dgm:spPr/>
      <dgm:t>
        <a:bodyPr/>
        <a:lstStyle/>
        <a:p>
          <a:endParaRPr lang="pt-BR"/>
        </a:p>
      </dgm:t>
    </dgm:pt>
    <dgm:pt modelId="{BA47C3FB-25E7-4648-B7E6-7FB929AF76F1}" type="pres">
      <dgm:prSet presAssocID="{C6DC5AFC-F3F7-4543-8751-4B973A500513}" presName="connectorText" presStyleLbl="sibTrans1D1" presStyleIdx="3" presStyleCnt="9"/>
      <dgm:spPr/>
      <dgm:t>
        <a:bodyPr/>
        <a:lstStyle/>
        <a:p>
          <a:endParaRPr lang="pt-BR"/>
        </a:p>
      </dgm:t>
    </dgm:pt>
    <dgm:pt modelId="{7BBC09FC-A006-444F-A427-36CBFF2C4FDF}" type="pres">
      <dgm:prSet presAssocID="{6CEAA4A9-00E8-4D1E-9881-4D4EC2F2B3F9}" presName="node" presStyleLbl="node1" presStyleIdx="4" presStyleCnt="1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9D5EEE3A-38C2-4CA2-878A-FE8F9C98F95F}" type="pres">
      <dgm:prSet presAssocID="{4FE6724C-7E9B-4EB2-9DBE-D155301CB436}" presName="sibTrans" presStyleLbl="sibTrans1D1" presStyleIdx="4" presStyleCnt="9"/>
      <dgm:spPr/>
      <dgm:t>
        <a:bodyPr/>
        <a:lstStyle/>
        <a:p>
          <a:endParaRPr lang="pt-BR"/>
        </a:p>
      </dgm:t>
    </dgm:pt>
    <dgm:pt modelId="{0E1B9E3D-83E4-44DB-BD22-07C33276AFED}" type="pres">
      <dgm:prSet presAssocID="{4FE6724C-7E9B-4EB2-9DBE-D155301CB436}" presName="connectorText" presStyleLbl="sibTrans1D1" presStyleIdx="4" presStyleCnt="9"/>
      <dgm:spPr/>
      <dgm:t>
        <a:bodyPr/>
        <a:lstStyle/>
        <a:p>
          <a:endParaRPr lang="pt-BR"/>
        </a:p>
      </dgm:t>
    </dgm:pt>
    <dgm:pt modelId="{4DD4A541-8638-42FA-8A78-529EA0A53DC1}" type="pres">
      <dgm:prSet presAssocID="{DA2B1BA2-0830-4718-9B31-7EA0AF24F354}" presName="node" presStyleLbl="node1" presStyleIdx="5" presStyleCnt="1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9CC74D07-B5A9-4135-81DE-B547D9BAC70D}" type="pres">
      <dgm:prSet presAssocID="{4E9003F1-E3D4-482A-B605-9CCAC1100203}" presName="sibTrans" presStyleLbl="sibTrans1D1" presStyleIdx="5" presStyleCnt="9"/>
      <dgm:spPr/>
      <dgm:t>
        <a:bodyPr/>
        <a:lstStyle/>
        <a:p>
          <a:endParaRPr lang="pt-BR"/>
        </a:p>
      </dgm:t>
    </dgm:pt>
    <dgm:pt modelId="{6261C39C-2606-4759-81CF-9D2E24A7100F}" type="pres">
      <dgm:prSet presAssocID="{4E9003F1-E3D4-482A-B605-9CCAC1100203}" presName="connectorText" presStyleLbl="sibTrans1D1" presStyleIdx="5" presStyleCnt="9"/>
      <dgm:spPr/>
      <dgm:t>
        <a:bodyPr/>
        <a:lstStyle/>
        <a:p>
          <a:endParaRPr lang="pt-BR"/>
        </a:p>
      </dgm:t>
    </dgm:pt>
    <dgm:pt modelId="{4161A0CD-C8E7-4BD1-8A5D-31CC838F3F3B}" type="pres">
      <dgm:prSet presAssocID="{EC965DCC-B18B-4384-A3D3-E80636F558A3}" presName="node" presStyleLbl="node1" presStyleIdx="6" presStyleCnt="1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8555DCD0-47C6-49E7-8A91-E3E8B2ACD381}" type="pres">
      <dgm:prSet presAssocID="{11364022-BA10-46C3-B4E8-158ED42C63BC}" presName="sibTrans" presStyleLbl="sibTrans1D1" presStyleIdx="6" presStyleCnt="9"/>
      <dgm:spPr/>
      <dgm:t>
        <a:bodyPr/>
        <a:lstStyle/>
        <a:p>
          <a:endParaRPr lang="pt-BR"/>
        </a:p>
      </dgm:t>
    </dgm:pt>
    <dgm:pt modelId="{D0BA961D-D53F-4C27-A077-275DFC2CDD2E}" type="pres">
      <dgm:prSet presAssocID="{11364022-BA10-46C3-B4E8-158ED42C63BC}" presName="connectorText" presStyleLbl="sibTrans1D1" presStyleIdx="6" presStyleCnt="9"/>
      <dgm:spPr/>
      <dgm:t>
        <a:bodyPr/>
        <a:lstStyle/>
        <a:p>
          <a:endParaRPr lang="pt-BR"/>
        </a:p>
      </dgm:t>
    </dgm:pt>
    <dgm:pt modelId="{8817A57E-F2B9-4D4A-97C2-BE62BF9D134B}" type="pres">
      <dgm:prSet presAssocID="{732A180D-49F7-42F9-A623-51847DF5D7C7}" presName="node" presStyleLbl="node1" presStyleIdx="7" presStyleCnt="1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BE877BD0-63FA-453E-8311-205664C50A72}" type="pres">
      <dgm:prSet presAssocID="{BB154B78-AE3B-482F-8AF8-BC264581D133}" presName="sibTrans" presStyleLbl="sibTrans1D1" presStyleIdx="7" presStyleCnt="9"/>
      <dgm:spPr/>
      <dgm:t>
        <a:bodyPr/>
        <a:lstStyle/>
        <a:p>
          <a:endParaRPr lang="pt-BR"/>
        </a:p>
      </dgm:t>
    </dgm:pt>
    <dgm:pt modelId="{A85B7584-EB9D-4124-8C47-5694F438FC33}" type="pres">
      <dgm:prSet presAssocID="{BB154B78-AE3B-482F-8AF8-BC264581D133}" presName="connectorText" presStyleLbl="sibTrans1D1" presStyleIdx="7" presStyleCnt="9"/>
      <dgm:spPr/>
      <dgm:t>
        <a:bodyPr/>
        <a:lstStyle/>
        <a:p>
          <a:endParaRPr lang="pt-BR"/>
        </a:p>
      </dgm:t>
    </dgm:pt>
    <dgm:pt modelId="{3E493E8A-3E43-4894-A798-6AFFEB4A46A9}" type="pres">
      <dgm:prSet presAssocID="{5F44BCCC-0550-4109-B0E7-01B8DA80981D}" presName="node" presStyleLbl="node1" presStyleIdx="8" presStyleCnt="1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  <dgm:pt modelId="{ABC604F3-08C8-4F76-B9A6-8768CEBFDF6F}" type="pres">
      <dgm:prSet presAssocID="{FC45ADB6-2440-482F-8DCA-5CF64DEA3F1E}" presName="sibTrans" presStyleLbl="sibTrans1D1" presStyleIdx="8" presStyleCnt="9"/>
      <dgm:spPr/>
      <dgm:t>
        <a:bodyPr/>
        <a:lstStyle/>
        <a:p>
          <a:endParaRPr lang="pt-BR"/>
        </a:p>
      </dgm:t>
    </dgm:pt>
    <dgm:pt modelId="{B1079B3E-0CE9-4885-A025-81DC57EBD821}" type="pres">
      <dgm:prSet presAssocID="{FC45ADB6-2440-482F-8DCA-5CF64DEA3F1E}" presName="connectorText" presStyleLbl="sibTrans1D1" presStyleIdx="8" presStyleCnt="9"/>
      <dgm:spPr/>
      <dgm:t>
        <a:bodyPr/>
        <a:lstStyle/>
        <a:p>
          <a:endParaRPr lang="pt-BR"/>
        </a:p>
      </dgm:t>
    </dgm:pt>
    <dgm:pt modelId="{B44E1D14-801D-4D5D-81E8-688926846102}" type="pres">
      <dgm:prSet presAssocID="{F7614035-ED69-4463-80EC-46717A617C47}" presName="node" presStyleLbl="node1" presStyleIdx="9" presStyleCnt="10">
        <dgm:presLayoutVars>
          <dgm:bulletEnabled val="1"/>
        </dgm:presLayoutVars>
      </dgm:prSet>
      <dgm:spPr/>
      <dgm:t>
        <a:bodyPr/>
        <a:lstStyle/>
        <a:p>
          <a:endParaRPr lang="pt-BR"/>
        </a:p>
      </dgm:t>
    </dgm:pt>
  </dgm:ptLst>
  <dgm:cxnLst>
    <dgm:cxn modelId="{D1B2267B-D7AF-4C2E-B09C-1A2A2CF77FC3}" type="presOf" srcId="{BD1EF9C6-942D-4F4B-A52E-AEAEC8BDC900}" destId="{909F7D11-8A35-40C4-B660-783D1DCBB89B}" srcOrd="0" destOrd="0" presId="urn:microsoft.com/office/officeart/2005/8/layout/bProcess3"/>
    <dgm:cxn modelId="{0C1F6152-BFB2-4185-A07E-D9E032E08B2A}" type="presOf" srcId="{18A9B855-3AA9-40EA-B328-7AE00948B981}" destId="{E7049A0F-B285-4287-B095-4B343FF739A6}" srcOrd="0" destOrd="0" presId="urn:microsoft.com/office/officeart/2005/8/layout/bProcess3"/>
    <dgm:cxn modelId="{467AB89F-C63D-452F-B1C6-4EC23FD8A46B}" type="presOf" srcId="{84617236-7E00-4560-8C28-0AB54CA6B05A}" destId="{651249CA-399F-42BF-AEC9-A8084242F971}" srcOrd="1" destOrd="0" presId="urn:microsoft.com/office/officeart/2005/8/layout/bProcess3"/>
    <dgm:cxn modelId="{7C3677AD-96E3-4727-A246-05AF8897DC1B}" type="presOf" srcId="{E8AD4DFF-1E4D-4C9E-8861-B7D6C16FD589}" destId="{C8934AE8-609F-4FC7-987D-D6C6724CAE86}" srcOrd="1" destOrd="0" presId="urn:microsoft.com/office/officeart/2005/8/layout/bProcess3"/>
    <dgm:cxn modelId="{4B9E2199-58AA-4B95-856E-451166183D60}" type="presOf" srcId="{5F44BCCC-0550-4109-B0E7-01B8DA80981D}" destId="{3E493E8A-3E43-4894-A798-6AFFEB4A46A9}" srcOrd="0" destOrd="0" presId="urn:microsoft.com/office/officeart/2005/8/layout/bProcess3"/>
    <dgm:cxn modelId="{E2CAEF9C-6A8D-4FA8-A9E2-3023C2D8DD8D}" type="presOf" srcId="{1696BE95-CDDE-4ACC-A78D-9F701795A454}" destId="{6792E872-0D07-43C4-91AD-D8CFFAAC438B}" srcOrd="0" destOrd="0" presId="urn:microsoft.com/office/officeart/2005/8/layout/bProcess3"/>
    <dgm:cxn modelId="{F184ADCD-E4A4-44A2-8094-50BD33746361}" srcId="{7B5F709C-6F8C-4A7C-89D1-9D0FCDE7AE85}" destId="{EC965DCC-B18B-4384-A3D3-E80636F558A3}" srcOrd="6" destOrd="0" parTransId="{3E53046C-DEE7-43D5-9104-77D0A8589F63}" sibTransId="{11364022-BA10-46C3-B4E8-158ED42C63BC}"/>
    <dgm:cxn modelId="{E51C0965-68DF-457E-8A97-8E4255D18F06}" srcId="{7B5F709C-6F8C-4A7C-89D1-9D0FCDE7AE85}" destId="{5F44BCCC-0550-4109-B0E7-01B8DA80981D}" srcOrd="8" destOrd="0" parTransId="{64173C12-02BB-42C3-B3F1-6B3ADBB34F5D}" sibTransId="{FC45ADB6-2440-482F-8DCA-5CF64DEA3F1E}"/>
    <dgm:cxn modelId="{FFD3D616-9E9D-4616-8CC7-9AAA284CE366}" type="presOf" srcId="{84617236-7E00-4560-8C28-0AB54CA6B05A}" destId="{9321576E-BF5C-47AC-85D2-A1D4F511AE02}" srcOrd="0" destOrd="0" presId="urn:microsoft.com/office/officeart/2005/8/layout/bProcess3"/>
    <dgm:cxn modelId="{2974DD89-6110-481A-86AC-40C8D010E3CD}" srcId="{7B5F709C-6F8C-4A7C-89D1-9D0FCDE7AE85}" destId="{DA2B1BA2-0830-4718-9B31-7EA0AF24F354}" srcOrd="5" destOrd="0" parTransId="{CD10FCBE-A135-4433-8432-FC5E7AC4C173}" sibTransId="{4E9003F1-E3D4-482A-B605-9CCAC1100203}"/>
    <dgm:cxn modelId="{1FA40232-E142-44CA-8D9E-B787BDFA9534}" type="presOf" srcId="{FC45ADB6-2440-482F-8DCA-5CF64DEA3F1E}" destId="{B1079B3E-0CE9-4885-A025-81DC57EBD821}" srcOrd="1" destOrd="0" presId="urn:microsoft.com/office/officeart/2005/8/layout/bProcess3"/>
    <dgm:cxn modelId="{AD4C16A6-1F9D-44B2-98C1-3AB6C68E7B66}" srcId="{7B5F709C-6F8C-4A7C-89D1-9D0FCDE7AE85}" destId="{732A180D-49F7-42F9-A623-51847DF5D7C7}" srcOrd="7" destOrd="0" parTransId="{DC2EB9A4-EE86-4C71-AB79-E1C8EA7198C9}" sibTransId="{BB154B78-AE3B-482F-8AF8-BC264581D133}"/>
    <dgm:cxn modelId="{67DBA6A2-86A8-4930-BD6D-5408CB44722A}" type="presOf" srcId="{BB154B78-AE3B-482F-8AF8-BC264581D133}" destId="{A85B7584-EB9D-4124-8C47-5694F438FC33}" srcOrd="1" destOrd="0" presId="urn:microsoft.com/office/officeart/2005/8/layout/bProcess3"/>
    <dgm:cxn modelId="{82EBFE12-38E9-4AAA-83A3-8C3036BD3138}" type="presOf" srcId="{4FE6724C-7E9B-4EB2-9DBE-D155301CB436}" destId="{9D5EEE3A-38C2-4CA2-878A-FE8F9C98F95F}" srcOrd="0" destOrd="0" presId="urn:microsoft.com/office/officeart/2005/8/layout/bProcess3"/>
    <dgm:cxn modelId="{D6627BC9-5812-4595-95EA-B414D57ABFA2}" type="presOf" srcId="{3FAA8CA9-9DED-4E3F-88B5-E19537B71B1B}" destId="{3E6C8ADC-769B-48BF-BDF8-C1404AB5F285}" srcOrd="0" destOrd="0" presId="urn:microsoft.com/office/officeart/2005/8/layout/bProcess3"/>
    <dgm:cxn modelId="{453AEF7A-37CE-4352-95B8-4F4F435B9B07}" type="presOf" srcId="{732A180D-49F7-42F9-A623-51847DF5D7C7}" destId="{8817A57E-F2B9-4D4A-97C2-BE62BF9D134B}" srcOrd="0" destOrd="0" presId="urn:microsoft.com/office/officeart/2005/8/layout/bProcess3"/>
    <dgm:cxn modelId="{3C5B7AB5-7A29-4289-89C9-5327F6B8D955}" type="presOf" srcId="{C6DC5AFC-F3F7-4543-8751-4B973A500513}" destId="{6F164B9C-7EB0-41A1-AFAE-3702F147D3A5}" srcOrd="0" destOrd="0" presId="urn:microsoft.com/office/officeart/2005/8/layout/bProcess3"/>
    <dgm:cxn modelId="{EC4947AD-9736-45A3-97EA-6511D7285968}" type="presOf" srcId="{18A9B855-3AA9-40EA-B328-7AE00948B981}" destId="{A7F6CB6B-72E0-48B9-9007-8DDF514113CA}" srcOrd="1" destOrd="0" presId="urn:microsoft.com/office/officeart/2005/8/layout/bProcess3"/>
    <dgm:cxn modelId="{D7E5C229-ADA9-4C58-B28F-5BAA0219518B}" type="presOf" srcId="{4E9003F1-E3D4-482A-B605-9CCAC1100203}" destId="{6261C39C-2606-4759-81CF-9D2E24A7100F}" srcOrd="1" destOrd="0" presId="urn:microsoft.com/office/officeart/2005/8/layout/bProcess3"/>
    <dgm:cxn modelId="{01BF4D85-28C6-41E4-ADFD-9EF887FD97A3}" srcId="{7B5F709C-6F8C-4A7C-89D1-9D0FCDE7AE85}" destId="{BD1EF9C6-942D-4F4B-A52E-AEAEC8BDC900}" srcOrd="2" destOrd="0" parTransId="{83E4A3B1-9059-4002-8FBF-46E322201D47}" sibTransId="{18A9B855-3AA9-40EA-B328-7AE00948B981}"/>
    <dgm:cxn modelId="{EDAC30B2-2AE2-497A-9C80-E3C742AB210D}" srcId="{7B5F709C-6F8C-4A7C-89D1-9D0FCDE7AE85}" destId="{F7614035-ED69-4463-80EC-46717A617C47}" srcOrd="9" destOrd="0" parTransId="{F14DAA84-DA3F-4332-8835-EAC7B76B16A5}" sibTransId="{C6D8EBAC-98F1-49A2-AFBE-B6857CC29F25}"/>
    <dgm:cxn modelId="{37645E1B-5C49-46F1-B12E-6221A03B562D}" type="presOf" srcId="{C6DC5AFC-F3F7-4543-8751-4B973A500513}" destId="{BA47C3FB-25E7-4648-B7E6-7FB929AF76F1}" srcOrd="1" destOrd="0" presId="urn:microsoft.com/office/officeart/2005/8/layout/bProcess3"/>
    <dgm:cxn modelId="{A4F370AD-F56D-43A6-A873-94423C876506}" type="presOf" srcId="{7B5F709C-6F8C-4A7C-89D1-9D0FCDE7AE85}" destId="{8C360531-1723-4CDD-8932-55D94B33DF3D}" srcOrd="0" destOrd="0" presId="urn:microsoft.com/office/officeart/2005/8/layout/bProcess3"/>
    <dgm:cxn modelId="{1F5E6621-1C1A-4E4C-998B-2AE915E1332E}" srcId="{7B5F709C-6F8C-4A7C-89D1-9D0FCDE7AE85}" destId="{6CEAA4A9-00E8-4D1E-9881-4D4EC2F2B3F9}" srcOrd="4" destOrd="0" parTransId="{AE9851FC-8730-4FCF-A8BF-C8A56A1ACA31}" sibTransId="{4FE6724C-7E9B-4EB2-9DBE-D155301CB436}"/>
    <dgm:cxn modelId="{DF3D9105-4C39-4B61-8165-3809F02B6FD2}" type="presOf" srcId="{DA2B1BA2-0830-4718-9B31-7EA0AF24F354}" destId="{4DD4A541-8638-42FA-8A78-529EA0A53DC1}" srcOrd="0" destOrd="0" presId="urn:microsoft.com/office/officeart/2005/8/layout/bProcess3"/>
    <dgm:cxn modelId="{28A7F909-AC82-4F51-9E5B-E50CE7204151}" type="presOf" srcId="{FC45ADB6-2440-482F-8DCA-5CF64DEA3F1E}" destId="{ABC604F3-08C8-4F76-B9A6-8768CEBFDF6F}" srcOrd="0" destOrd="0" presId="urn:microsoft.com/office/officeart/2005/8/layout/bProcess3"/>
    <dgm:cxn modelId="{98C822F6-9360-443E-B9F7-4646AB82CE5B}" type="presOf" srcId="{EC965DCC-B18B-4384-A3D3-E80636F558A3}" destId="{4161A0CD-C8E7-4BD1-8A5D-31CC838F3F3B}" srcOrd="0" destOrd="0" presId="urn:microsoft.com/office/officeart/2005/8/layout/bProcess3"/>
    <dgm:cxn modelId="{D5612DA7-8989-420A-973E-CB130EA5FADF}" type="presOf" srcId="{4FE6724C-7E9B-4EB2-9DBE-D155301CB436}" destId="{0E1B9E3D-83E4-44DB-BD22-07C33276AFED}" srcOrd="1" destOrd="0" presId="urn:microsoft.com/office/officeart/2005/8/layout/bProcess3"/>
    <dgm:cxn modelId="{03BC397F-442D-482C-B3E7-B3A888E503D2}" type="presOf" srcId="{11364022-BA10-46C3-B4E8-158ED42C63BC}" destId="{D0BA961D-D53F-4C27-A077-275DFC2CDD2E}" srcOrd="1" destOrd="0" presId="urn:microsoft.com/office/officeart/2005/8/layout/bProcess3"/>
    <dgm:cxn modelId="{4BBBB46D-1F19-4251-9B9F-B8BE118747E2}" srcId="{7B5F709C-6F8C-4A7C-89D1-9D0FCDE7AE85}" destId="{FF604078-2CAF-4198-A11A-ECC492FA0388}" srcOrd="3" destOrd="0" parTransId="{91F2E732-ED0F-4729-9523-35E6E2B6BCFE}" sibTransId="{C6DC5AFC-F3F7-4543-8751-4B973A500513}"/>
    <dgm:cxn modelId="{6C40E47B-9A0D-42C1-8EEF-11158E607CF1}" type="presOf" srcId="{11364022-BA10-46C3-B4E8-158ED42C63BC}" destId="{8555DCD0-47C6-49E7-8A91-E3E8B2ACD381}" srcOrd="0" destOrd="0" presId="urn:microsoft.com/office/officeart/2005/8/layout/bProcess3"/>
    <dgm:cxn modelId="{F1002E02-7595-402E-A987-302F66211481}" srcId="{7B5F709C-6F8C-4A7C-89D1-9D0FCDE7AE85}" destId="{3FAA8CA9-9DED-4E3F-88B5-E19537B71B1B}" srcOrd="0" destOrd="0" parTransId="{D0BEFC05-3050-42FC-8D22-EEAEF0F9A262}" sibTransId="{84617236-7E00-4560-8C28-0AB54CA6B05A}"/>
    <dgm:cxn modelId="{B74DC416-7399-425C-9AC6-B1F3EFAD660C}" type="presOf" srcId="{4E9003F1-E3D4-482A-B605-9CCAC1100203}" destId="{9CC74D07-B5A9-4135-81DE-B547D9BAC70D}" srcOrd="0" destOrd="0" presId="urn:microsoft.com/office/officeart/2005/8/layout/bProcess3"/>
    <dgm:cxn modelId="{1338EF54-8C0B-452C-8E01-38B8C7FC6804}" srcId="{7B5F709C-6F8C-4A7C-89D1-9D0FCDE7AE85}" destId="{1696BE95-CDDE-4ACC-A78D-9F701795A454}" srcOrd="1" destOrd="0" parTransId="{F60D7461-A38E-4A7E-A800-68BF6DD370AA}" sibTransId="{E8AD4DFF-1E4D-4C9E-8861-B7D6C16FD589}"/>
    <dgm:cxn modelId="{CB8CADA4-6A21-4660-990D-985875252BF7}" type="presOf" srcId="{BB154B78-AE3B-482F-8AF8-BC264581D133}" destId="{BE877BD0-63FA-453E-8311-205664C50A72}" srcOrd="0" destOrd="0" presId="urn:microsoft.com/office/officeart/2005/8/layout/bProcess3"/>
    <dgm:cxn modelId="{E7090B4F-442A-401D-B36F-0B275FBBF969}" type="presOf" srcId="{F7614035-ED69-4463-80EC-46717A617C47}" destId="{B44E1D14-801D-4D5D-81E8-688926846102}" srcOrd="0" destOrd="0" presId="urn:microsoft.com/office/officeart/2005/8/layout/bProcess3"/>
    <dgm:cxn modelId="{F8834399-979A-47F4-A00C-6FF0267EF6CE}" type="presOf" srcId="{FF604078-2CAF-4198-A11A-ECC492FA0388}" destId="{86645CA2-EBEC-4295-8C22-6559A901CCAA}" srcOrd="0" destOrd="0" presId="urn:microsoft.com/office/officeart/2005/8/layout/bProcess3"/>
    <dgm:cxn modelId="{7F332909-B3A2-493D-B33C-C98381EE5109}" type="presOf" srcId="{6CEAA4A9-00E8-4D1E-9881-4D4EC2F2B3F9}" destId="{7BBC09FC-A006-444F-A427-36CBFF2C4FDF}" srcOrd="0" destOrd="0" presId="urn:microsoft.com/office/officeart/2005/8/layout/bProcess3"/>
    <dgm:cxn modelId="{3AA7DB3D-C781-4062-AB01-455650CA0F3B}" type="presOf" srcId="{E8AD4DFF-1E4D-4C9E-8861-B7D6C16FD589}" destId="{56E19D9A-ED70-4831-B7D1-F29C599D1AB3}" srcOrd="0" destOrd="0" presId="urn:microsoft.com/office/officeart/2005/8/layout/bProcess3"/>
    <dgm:cxn modelId="{F3A54EC0-5D3A-4E25-A3CF-4D3240A2490A}" type="presParOf" srcId="{8C360531-1723-4CDD-8932-55D94B33DF3D}" destId="{3E6C8ADC-769B-48BF-BDF8-C1404AB5F285}" srcOrd="0" destOrd="0" presId="urn:microsoft.com/office/officeart/2005/8/layout/bProcess3"/>
    <dgm:cxn modelId="{737425E3-AD3F-414A-ADCB-A44D2280E24E}" type="presParOf" srcId="{8C360531-1723-4CDD-8932-55D94B33DF3D}" destId="{9321576E-BF5C-47AC-85D2-A1D4F511AE02}" srcOrd="1" destOrd="0" presId="urn:microsoft.com/office/officeart/2005/8/layout/bProcess3"/>
    <dgm:cxn modelId="{1BD1FDF3-0469-4FF9-8C6D-6F2C04D55C6E}" type="presParOf" srcId="{9321576E-BF5C-47AC-85D2-A1D4F511AE02}" destId="{651249CA-399F-42BF-AEC9-A8084242F971}" srcOrd="0" destOrd="0" presId="urn:microsoft.com/office/officeart/2005/8/layout/bProcess3"/>
    <dgm:cxn modelId="{DD0F55C6-6EFF-4A22-856A-902C35C5D158}" type="presParOf" srcId="{8C360531-1723-4CDD-8932-55D94B33DF3D}" destId="{6792E872-0D07-43C4-91AD-D8CFFAAC438B}" srcOrd="2" destOrd="0" presId="urn:microsoft.com/office/officeart/2005/8/layout/bProcess3"/>
    <dgm:cxn modelId="{8CC58EC5-52EF-4901-8BC3-2F873C4083EC}" type="presParOf" srcId="{8C360531-1723-4CDD-8932-55D94B33DF3D}" destId="{56E19D9A-ED70-4831-B7D1-F29C599D1AB3}" srcOrd="3" destOrd="0" presId="urn:microsoft.com/office/officeart/2005/8/layout/bProcess3"/>
    <dgm:cxn modelId="{B83196A8-C358-483E-A83B-ED050D9447EA}" type="presParOf" srcId="{56E19D9A-ED70-4831-B7D1-F29C599D1AB3}" destId="{C8934AE8-609F-4FC7-987D-D6C6724CAE86}" srcOrd="0" destOrd="0" presId="urn:microsoft.com/office/officeart/2005/8/layout/bProcess3"/>
    <dgm:cxn modelId="{8D7012C9-AD6E-4B5F-8630-49354D780118}" type="presParOf" srcId="{8C360531-1723-4CDD-8932-55D94B33DF3D}" destId="{909F7D11-8A35-40C4-B660-783D1DCBB89B}" srcOrd="4" destOrd="0" presId="urn:microsoft.com/office/officeart/2005/8/layout/bProcess3"/>
    <dgm:cxn modelId="{C3815CE2-6284-42A5-A8F3-A0D42BCDBD9A}" type="presParOf" srcId="{8C360531-1723-4CDD-8932-55D94B33DF3D}" destId="{E7049A0F-B285-4287-B095-4B343FF739A6}" srcOrd="5" destOrd="0" presId="urn:microsoft.com/office/officeart/2005/8/layout/bProcess3"/>
    <dgm:cxn modelId="{D3FBE48D-6242-43FB-9725-F7C02BCD8C52}" type="presParOf" srcId="{E7049A0F-B285-4287-B095-4B343FF739A6}" destId="{A7F6CB6B-72E0-48B9-9007-8DDF514113CA}" srcOrd="0" destOrd="0" presId="urn:microsoft.com/office/officeart/2005/8/layout/bProcess3"/>
    <dgm:cxn modelId="{DA18DAF0-54C5-431D-83D7-6B299C0CEF15}" type="presParOf" srcId="{8C360531-1723-4CDD-8932-55D94B33DF3D}" destId="{86645CA2-EBEC-4295-8C22-6559A901CCAA}" srcOrd="6" destOrd="0" presId="urn:microsoft.com/office/officeart/2005/8/layout/bProcess3"/>
    <dgm:cxn modelId="{C8C3C648-27F1-4179-81F5-B7BC25ACE1FD}" type="presParOf" srcId="{8C360531-1723-4CDD-8932-55D94B33DF3D}" destId="{6F164B9C-7EB0-41A1-AFAE-3702F147D3A5}" srcOrd="7" destOrd="0" presId="urn:microsoft.com/office/officeart/2005/8/layout/bProcess3"/>
    <dgm:cxn modelId="{8060A9DB-1AD9-4750-97C0-5DD6FF7251B2}" type="presParOf" srcId="{6F164B9C-7EB0-41A1-AFAE-3702F147D3A5}" destId="{BA47C3FB-25E7-4648-B7E6-7FB929AF76F1}" srcOrd="0" destOrd="0" presId="urn:microsoft.com/office/officeart/2005/8/layout/bProcess3"/>
    <dgm:cxn modelId="{E296BB85-AD64-49F8-B66F-7C234756DB69}" type="presParOf" srcId="{8C360531-1723-4CDD-8932-55D94B33DF3D}" destId="{7BBC09FC-A006-444F-A427-36CBFF2C4FDF}" srcOrd="8" destOrd="0" presId="urn:microsoft.com/office/officeart/2005/8/layout/bProcess3"/>
    <dgm:cxn modelId="{865738FF-2C58-41E8-853A-48D88FF8B141}" type="presParOf" srcId="{8C360531-1723-4CDD-8932-55D94B33DF3D}" destId="{9D5EEE3A-38C2-4CA2-878A-FE8F9C98F95F}" srcOrd="9" destOrd="0" presId="urn:microsoft.com/office/officeart/2005/8/layout/bProcess3"/>
    <dgm:cxn modelId="{BCB29C1B-6118-4731-BB92-7433BDEA72DF}" type="presParOf" srcId="{9D5EEE3A-38C2-4CA2-878A-FE8F9C98F95F}" destId="{0E1B9E3D-83E4-44DB-BD22-07C33276AFED}" srcOrd="0" destOrd="0" presId="urn:microsoft.com/office/officeart/2005/8/layout/bProcess3"/>
    <dgm:cxn modelId="{7D2BD420-25A5-42DA-9357-50D65120F9E3}" type="presParOf" srcId="{8C360531-1723-4CDD-8932-55D94B33DF3D}" destId="{4DD4A541-8638-42FA-8A78-529EA0A53DC1}" srcOrd="10" destOrd="0" presId="urn:microsoft.com/office/officeart/2005/8/layout/bProcess3"/>
    <dgm:cxn modelId="{D1048945-812A-449C-8C12-378FAF49EC58}" type="presParOf" srcId="{8C360531-1723-4CDD-8932-55D94B33DF3D}" destId="{9CC74D07-B5A9-4135-81DE-B547D9BAC70D}" srcOrd="11" destOrd="0" presId="urn:microsoft.com/office/officeart/2005/8/layout/bProcess3"/>
    <dgm:cxn modelId="{4FD8D202-6DA7-452F-81C6-CFF1EB044093}" type="presParOf" srcId="{9CC74D07-B5A9-4135-81DE-B547D9BAC70D}" destId="{6261C39C-2606-4759-81CF-9D2E24A7100F}" srcOrd="0" destOrd="0" presId="urn:microsoft.com/office/officeart/2005/8/layout/bProcess3"/>
    <dgm:cxn modelId="{A1E7A53B-A110-4C69-B857-93ECACE37FAC}" type="presParOf" srcId="{8C360531-1723-4CDD-8932-55D94B33DF3D}" destId="{4161A0CD-C8E7-4BD1-8A5D-31CC838F3F3B}" srcOrd="12" destOrd="0" presId="urn:microsoft.com/office/officeart/2005/8/layout/bProcess3"/>
    <dgm:cxn modelId="{751169BB-7461-4E52-80BA-CB7DA0670EA4}" type="presParOf" srcId="{8C360531-1723-4CDD-8932-55D94B33DF3D}" destId="{8555DCD0-47C6-49E7-8A91-E3E8B2ACD381}" srcOrd="13" destOrd="0" presId="urn:microsoft.com/office/officeart/2005/8/layout/bProcess3"/>
    <dgm:cxn modelId="{114CA026-CB44-4A91-A322-7ADE8D197BC5}" type="presParOf" srcId="{8555DCD0-47C6-49E7-8A91-E3E8B2ACD381}" destId="{D0BA961D-D53F-4C27-A077-275DFC2CDD2E}" srcOrd="0" destOrd="0" presId="urn:microsoft.com/office/officeart/2005/8/layout/bProcess3"/>
    <dgm:cxn modelId="{B3F06EEB-AEAF-448A-88A2-753FDFF23B56}" type="presParOf" srcId="{8C360531-1723-4CDD-8932-55D94B33DF3D}" destId="{8817A57E-F2B9-4D4A-97C2-BE62BF9D134B}" srcOrd="14" destOrd="0" presId="urn:microsoft.com/office/officeart/2005/8/layout/bProcess3"/>
    <dgm:cxn modelId="{31ACD323-5AA9-426F-99DE-1D697C3BB6CB}" type="presParOf" srcId="{8C360531-1723-4CDD-8932-55D94B33DF3D}" destId="{BE877BD0-63FA-453E-8311-205664C50A72}" srcOrd="15" destOrd="0" presId="urn:microsoft.com/office/officeart/2005/8/layout/bProcess3"/>
    <dgm:cxn modelId="{CB42E77D-287E-4B7B-AAF3-3AF427D7A160}" type="presParOf" srcId="{BE877BD0-63FA-453E-8311-205664C50A72}" destId="{A85B7584-EB9D-4124-8C47-5694F438FC33}" srcOrd="0" destOrd="0" presId="urn:microsoft.com/office/officeart/2005/8/layout/bProcess3"/>
    <dgm:cxn modelId="{CF25C543-9615-4E3A-8DE4-7F8DB3C968CB}" type="presParOf" srcId="{8C360531-1723-4CDD-8932-55D94B33DF3D}" destId="{3E493E8A-3E43-4894-A798-6AFFEB4A46A9}" srcOrd="16" destOrd="0" presId="urn:microsoft.com/office/officeart/2005/8/layout/bProcess3"/>
    <dgm:cxn modelId="{AEFD9EE1-7B61-4B72-95F1-51094DC94F36}" type="presParOf" srcId="{8C360531-1723-4CDD-8932-55D94B33DF3D}" destId="{ABC604F3-08C8-4F76-B9A6-8768CEBFDF6F}" srcOrd="17" destOrd="0" presId="urn:microsoft.com/office/officeart/2005/8/layout/bProcess3"/>
    <dgm:cxn modelId="{9F1698D7-5566-40AC-BDF9-5FD294B9D29E}" type="presParOf" srcId="{ABC604F3-08C8-4F76-B9A6-8768CEBFDF6F}" destId="{B1079B3E-0CE9-4885-A025-81DC57EBD821}" srcOrd="0" destOrd="0" presId="urn:microsoft.com/office/officeart/2005/8/layout/bProcess3"/>
    <dgm:cxn modelId="{5C2BAA1A-9FB4-44A5-8C43-E4036D3618F3}" type="presParOf" srcId="{8C360531-1723-4CDD-8932-55D94B33DF3D}" destId="{B44E1D14-801D-4D5D-81E8-688926846102}" srcOrd="18" destOrd="0" presId="urn:microsoft.com/office/officeart/2005/8/layout/bProcess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9321576E-BF5C-47AC-85D2-A1D4F511AE02}">
      <dsp:nvSpPr>
        <dsp:cNvPr id="0" name=""/>
        <dsp:cNvSpPr/>
      </dsp:nvSpPr>
      <dsp:spPr>
        <a:xfrm>
          <a:off x="1876150" y="1117260"/>
          <a:ext cx="400184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45720"/>
              </a:moveTo>
              <a:lnTo>
                <a:pt x="400184" y="45720"/>
              </a:lnTo>
            </a:path>
          </a:pathLst>
        </a:custGeom>
        <a:noFill/>
        <a:ln w="6350" cap="flat" cmpd="sng" algn="ctr">
          <a:solidFill>
            <a:schemeClr val="dk1">
              <a:hueOff val="0"/>
              <a:satOff val="0"/>
              <a:lumOff val="0"/>
              <a:alphaOff val="0"/>
            </a:schemeClr>
          </a:solidFill>
          <a:prstDash val="solid"/>
          <a:miter lim="800000"/>
          <a:tailEnd type="arrow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500" kern="1200"/>
        </a:p>
      </dsp:txBody>
      <dsp:txXfrm>
        <a:off x="2065473" y="1160826"/>
        <a:ext cx="21539" cy="4307"/>
      </dsp:txXfrm>
    </dsp:sp>
    <dsp:sp modelId="{3E6C8ADC-769B-48BF-BDF8-C1404AB5F285}">
      <dsp:nvSpPr>
        <dsp:cNvPr id="0" name=""/>
        <dsp:cNvSpPr/>
      </dsp:nvSpPr>
      <dsp:spPr>
        <a:xfrm>
          <a:off x="4975" y="601088"/>
          <a:ext cx="1872975" cy="1123785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Levantamento das informações básicas</a:t>
          </a:r>
        </a:p>
      </dsp:txBody>
      <dsp:txXfrm>
        <a:off x="4975" y="601088"/>
        <a:ext cx="1872975" cy="1123785"/>
      </dsp:txXfrm>
    </dsp:sp>
    <dsp:sp modelId="{56E19D9A-ED70-4831-B7D1-F29C599D1AB3}">
      <dsp:nvSpPr>
        <dsp:cNvPr id="0" name=""/>
        <dsp:cNvSpPr/>
      </dsp:nvSpPr>
      <dsp:spPr>
        <a:xfrm>
          <a:off x="4179910" y="1117260"/>
          <a:ext cx="400184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45720"/>
              </a:moveTo>
              <a:lnTo>
                <a:pt x="400184" y="45720"/>
              </a:lnTo>
            </a:path>
          </a:pathLst>
        </a:custGeom>
        <a:noFill/>
        <a:ln w="6350" cap="flat" cmpd="sng" algn="ctr">
          <a:solidFill>
            <a:schemeClr val="dk1">
              <a:hueOff val="0"/>
              <a:satOff val="0"/>
              <a:lumOff val="0"/>
              <a:alphaOff val="0"/>
            </a:schemeClr>
          </a:solidFill>
          <a:prstDash val="solid"/>
          <a:miter lim="800000"/>
          <a:tailEnd type="arrow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500" kern="1200"/>
        </a:p>
      </dsp:txBody>
      <dsp:txXfrm>
        <a:off x="4369233" y="1160826"/>
        <a:ext cx="21539" cy="4307"/>
      </dsp:txXfrm>
    </dsp:sp>
    <dsp:sp modelId="{6792E872-0D07-43C4-91AD-D8CFFAAC438B}">
      <dsp:nvSpPr>
        <dsp:cNvPr id="0" name=""/>
        <dsp:cNvSpPr/>
      </dsp:nvSpPr>
      <dsp:spPr>
        <a:xfrm>
          <a:off x="2308735" y="601088"/>
          <a:ext cx="1872975" cy="1123785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Cálculo dos parâmetros da rede e transformador</a:t>
          </a:r>
        </a:p>
      </dsp:txBody>
      <dsp:txXfrm>
        <a:off x="2308735" y="601088"/>
        <a:ext cx="1872975" cy="1123785"/>
      </dsp:txXfrm>
    </dsp:sp>
    <dsp:sp modelId="{E7049A0F-B285-4287-B095-4B343FF739A6}">
      <dsp:nvSpPr>
        <dsp:cNvPr id="0" name=""/>
        <dsp:cNvSpPr/>
      </dsp:nvSpPr>
      <dsp:spPr>
        <a:xfrm>
          <a:off x="941463" y="1723073"/>
          <a:ext cx="4607519" cy="400184"/>
        </a:xfrm>
        <a:custGeom>
          <a:avLst/>
          <a:gdLst/>
          <a:ahLst/>
          <a:cxnLst/>
          <a:rect l="0" t="0" r="0" b="0"/>
          <a:pathLst>
            <a:path>
              <a:moveTo>
                <a:pt x="4607519" y="0"/>
              </a:moveTo>
              <a:lnTo>
                <a:pt x="4607519" y="217192"/>
              </a:lnTo>
              <a:lnTo>
                <a:pt x="0" y="217192"/>
              </a:lnTo>
              <a:lnTo>
                <a:pt x="0" y="400184"/>
              </a:lnTo>
            </a:path>
          </a:pathLst>
        </a:custGeom>
        <a:noFill/>
        <a:ln w="6350" cap="flat" cmpd="sng" algn="ctr">
          <a:solidFill>
            <a:schemeClr val="dk1">
              <a:hueOff val="0"/>
              <a:satOff val="0"/>
              <a:lumOff val="0"/>
              <a:alphaOff val="0"/>
            </a:schemeClr>
          </a:solidFill>
          <a:prstDash val="solid"/>
          <a:miter lim="800000"/>
          <a:tailEnd type="arrow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500" kern="1200"/>
        </a:p>
      </dsp:txBody>
      <dsp:txXfrm>
        <a:off x="3129532" y="1921011"/>
        <a:ext cx="231380" cy="4307"/>
      </dsp:txXfrm>
    </dsp:sp>
    <dsp:sp modelId="{909F7D11-8A35-40C4-B660-783D1DCBB89B}">
      <dsp:nvSpPr>
        <dsp:cNvPr id="0" name=""/>
        <dsp:cNvSpPr/>
      </dsp:nvSpPr>
      <dsp:spPr>
        <a:xfrm>
          <a:off x="4612495" y="601088"/>
          <a:ext cx="1872975" cy="1123785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Conversão dos dados em PU</a:t>
          </a:r>
        </a:p>
      </dsp:txBody>
      <dsp:txXfrm>
        <a:off x="4612495" y="601088"/>
        <a:ext cx="1872975" cy="1123785"/>
      </dsp:txXfrm>
    </dsp:sp>
    <dsp:sp modelId="{6F164B9C-7EB0-41A1-AFAE-3702F147D3A5}">
      <dsp:nvSpPr>
        <dsp:cNvPr id="0" name=""/>
        <dsp:cNvSpPr/>
      </dsp:nvSpPr>
      <dsp:spPr>
        <a:xfrm>
          <a:off x="1876150" y="2671830"/>
          <a:ext cx="400184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45720"/>
              </a:moveTo>
              <a:lnTo>
                <a:pt x="400184" y="45720"/>
              </a:lnTo>
            </a:path>
          </a:pathLst>
        </a:custGeom>
        <a:noFill/>
        <a:ln w="6350" cap="flat" cmpd="sng" algn="ctr">
          <a:solidFill>
            <a:schemeClr val="dk1">
              <a:hueOff val="0"/>
              <a:satOff val="0"/>
              <a:lumOff val="0"/>
              <a:alphaOff val="0"/>
            </a:schemeClr>
          </a:solidFill>
          <a:prstDash val="solid"/>
          <a:miter lim="800000"/>
          <a:tailEnd type="arrow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500" kern="1200"/>
        </a:p>
      </dsp:txBody>
      <dsp:txXfrm>
        <a:off x="2065473" y="2715396"/>
        <a:ext cx="21539" cy="4307"/>
      </dsp:txXfrm>
    </dsp:sp>
    <dsp:sp modelId="{86645CA2-EBEC-4295-8C22-6559A901CCAA}">
      <dsp:nvSpPr>
        <dsp:cNvPr id="0" name=""/>
        <dsp:cNvSpPr/>
      </dsp:nvSpPr>
      <dsp:spPr>
        <a:xfrm>
          <a:off x="4975" y="2155657"/>
          <a:ext cx="1872975" cy="1123785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Levantamento do ajuste da proteção da concessionária</a:t>
          </a:r>
        </a:p>
      </dsp:txBody>
      <dsp:txXfrm>
        <a:off x="4975" y="2155657"/>
        <a:ext cx="1872975" cy="1123785"/>
      </dsp:txXfrm>
    </dsp:sp>
    <dsp:sp modelId="{9D5EEE3A-38C2-4CA2-878A-FE8F9C98F95F}">
      <dsp:nvSpPr>
        <dsp:cNvPr id="0" name=""/>
        <dsp:cNvSpPr/>
      </dsp:nvSpPr>
      <dsp:spPr>
        <a:xfrm>
          <a:off x="4179910" y="2671830"/>
          <a:ext cx="400184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45720"/>
              </a:moveTo>
              <a:lnTo>
                <a:pt x="400184" y="45720"/>
              </a:lnTo>
            </a:path>
          </a:pathLst>
        </a:custGeom>
        <a:noFill/>
        <a:ln w="6350" cap="flat" cmpd="sng" algn="ctr">
          <a:solidFill>
            <a:schemeClr val="dk1">
              <a:hueOff val="0"/>
              <a:satOff val="0"/>
              <a:lumOff val="0"/>
              <a:alphaOff val="0"/>
            </a:schemeClr>
          </a:solidFill>
          <a:prstDash val="solid"/>
          <a:miter lim="800000"/>
          <a:tailEnd type="arrow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500" kern="1200"/>
        </a:p>
      </dsp:txBody>
      <dsp:txXfrm>
        <a:off x="4369233" y="2715396"/>
        <a:ext cx="21539" cy="4307"/>
      </dsp:txXfrm>
    </dsp:sp>
    <dsp:sp modelId="{7BBC09FC-A006-444F-A427-36CBFF2C4FDF}">
      <dsp:nvSpPr>
        <dsp:cNvPr id="0" name=""/>
        <dsp:cNvSpPr/>
      </dsp:nvSpPr>
      <dsp:spPr>
        <a:xfrm>
          <a:off x="2308735" y="2155657"/>
          <a:ext cx="1872975" cy="1123785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Cálculo das correntes de falta</a:t>
          </a:r>
        </a:p>
      </dsp:txBody>
      <dsp:txXfrm>
        <a:off x="2308735" y="2155657"/>
        <a:ext cx="1872975" cy="1123785"/>
      </dsp:txXfrm>
    </dsp:sp>
    <dsp:sp modelId="{9CC74D07-B5A9-4135-81DE-B547D9BAC70D}">
      <dsp:nvSpPr>
        <dsp:cNvPr id="0" name=""/>
        <dsp:cNvSpPr/>
      </dsp:nvSpPr>
      <dsp:spPr>
        <a:xfrm>
          <a:off x="941463" y="3277642"/>
          <a:ext cx="4607519" cy="400184"/>
        </a:xfrm>
        <a:custGeom>
          <a:avLst/>
          <a:gdLst/>
          <a:ahLst/>
          <a:cxnLst/>
          <a:rect l="0" t="0" r="0" b="0"/>
          <a:pathLst>
            <a:path>
              <a:moveTo>
                <a:pt x="4607519" y="0"/>
              </a:moveTo>
              <a:lnTo>
                <a:pt x="4607519" y="217192"/>
              </a:lnTo>
              <a:lnTo>
                <a:pt x="0" y="217192"/>
              </a:lnTo>
              <a:lnTo>
                <a:pt x="0" y="400184"/>
              </a:lnTo>
            </a:path>
          </a:pathLst>
        </a:custGeom>
        <a:noFill/>
        <a:ln w="6350" cap="flat" cmpd="sng" algn="ctr">
          <a:solidFill>
            <a:schemeClr val="dk1">
              <a:hueOff val="0"/>
              <a:satOff val="0"/>
              <a:lumOff val="0"/>
              <a:alphaOff val="0"/>
            </a:schemeClr>
          </a:solidFill>
          <a:prstDash val="solid"/>
          <a:miter lim="800000"/>
          <a:tailEnd type="arrow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500" kern="1200"/>
        </a:p>
      </dsp:txBody>
      <dsp:txXfrm>
        <a:off x="3129532" y="3475581"/>
        <a:ext cx="231380" cy="4307"/>
      </dsp:txXfrm>
    </dsp:sp>
    <dsp:sp modelId="{4DD4A541-8638-42FA-8A78-529EA0A53DC1}">
      <dsp:nvSpPr>
        <dsp:cNvPr id="0" name=""/>
        <dsp:cNvSpPr/>
      </dsp:nvSpPr>
      <dsp:spPr>
        <a:xfrm>
          <a:off x="4612495" y="2155657"/>
          <a:ext cx="1872975" cy="1123785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Dimensionamento dos TC de proteção</a:t>
          </a:r>
        </a:p>
      </dsp:txBody>
      <dsp:txXfrm>
        <a:off x="4612495" y="2155657"/>
        <a:ext cx="1872975" cy="1123785"/>
      </dsp:txXfrm>
    </dsp:sp>
    <dsp:sp modelId="{8555DCD0-47C6-49E7-8A91-E3E8B2ACD381}">
      <dsp:nvSpPr>
        <dsp:cNvPr id="0" name=""/>
        <dsp:cNvSpPr/>
      </dsp:nvSpPr>
      <dsp:spPr>
        <a:xfrm>
          <a:off x="1876150" y="4226399"/>
          <a:ext cx="400184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45720"/>
              </a:moveTo>
              <a:lnTo>
                <a:pt x="400184" y="45720"/>
              </a:lnTo>
            </a:path>
          </a:pathLst>
        </a:custGeom>
        <a:noFill/>
        <a:ln w="6350" cap="flat" cmpd="sng" algn="ctr">
          <a:solidFill>
            <a:schemeClr val="dk1">
              <a:hueOff val="0"/>
              <a:satOff val="0"/>
              <a:lumOff val="0"/>
              <a:alphaOff val="0"/>
            </a:schemeClr>
          </a:solidFill>
          <a:prstDash val="solid"/>
          <a:miter lim="800000"/>
          <a:tailEnd type="arrow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500" kern="1200"/>
        </a:p>
      </dsp:txBody>
      <dsp:txXfrm>
        <a:off x="2065473" y="4269965"/>
        <a:ext cx="21539" cy="4307"/>
      </dsp:txXfrm>
    </dsp:sp>
    <dsp:sp modelId="{4161A0CD-C8E7-4BD1-8A5D-31CC838F3F3B}">
      <dsp:nvSpPr>
        <dsp:cNvPr id="0" name=""/>
        <dsp:cNvSpPr/>
      </dsp:nvSpPr>
      <dsp:spPr>
        <a:xfrm>
          <a:off x="4975" y="3710227"/>
          <a:ext cx="1872975" cy="1123785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Dimensionamento da unidade temporizada e instantanea de fase</a:t>
          </a:r>
        </a:p>
      </dsp:txBody>
      <dsp:txXfrm>
        <a:off x="4975" y="3710227"/>
        <a:ext cx="1872975" cy="1123785"/>
      </dsp:txXfrm>
    </dsp:sp>
    <dsp:sp modelId="{BE877BD0-63FA-453E-8311-205664C50A72}">
      <dsp:nvSpPr>
        <dsp:cNvPr id="0" name=""/>
        <dsp:cNvSpPr/>
      </dsp:nvSpPr>
      <dsp:spPr>
        <a:xfrm>
          <a:off x="4179910" y="4226399"/>
          <a:ext cx="400184" cy="91440"/>
        </a:xfrm>
        <a:custGeom>
          <a:avLst/>
          <a:gdLst/>
          <a:ahLst/>
          <a:cxnLst/>
          <a:rect l="0" t="0" r="0" b="0"/>
          <a:pathLst>
            <a:path>
              <a:moveTo>
                <a:pt x="0" y="45720"/>
              </a:moveTo>
              <a:lnTo>
                <a:pt x="400184" y="45720"/>
              </a:lnTo>
            </a:path>
          </a:pathLst>
        </a:custGeom>
        <a:noFill/>
        <a:ln w="6350" cap="flat" cmpd="sng" algn="ctr">
          <a:solidFill>
            <a:schemeClr val="dk1">
              <a:hueOff val="0"/>
              <a:satOff val="0"/>
              <a:lumOff val="0"/>
              <a:alphaOff val="0"/>
            </a:schemeClr>
          </a:solidFill>
          <a:prstDash val="solid"/>
          <a:miter lim="800000"/>
          <a:tailEnd type="arrow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500" kern="1200"/>
        </a:p>
      </dsp:txBody>
      <dsp:txXfrm>
        <a:off x="4369233" y="4269965"/>
        <a:ext cx="21539" cy="4307"/>
      </dsp:txXfrm>
    </dsp:sp>
    <dsp:sp modelId="{8817A57E-F2B9-4D4A-97C2-BE62BF9D134B}">
      <dsp:nvSpPr>
        <dsp:cNvPr id="0" name=""/>
        <dsp:cNvSpPr/>
      </dsp:nvSpPr>
      <dsp:spPr>
        <a:xfrm>
          <a:off x="2308735" y="3710227"/>
          <a:ext cx="1872975" cy="1123785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Dimensionamento da unidade temporizada e instantanea de neutro</a:t>
          </a:r>
        </a:p>
      </dsp:txBody>
      <dsp:txXfrm>
        <a:off x="2308735" y="3710227"/>
        <a:ext cx="1872975" cy="1123785"/>
      </dsp:txXfrm>
    </dsp:sp>
    <dsp:sp modelId="{ABC604F3-08C8-4F76-B9A6-8768CEBFDF6F}">
      <dsp:nvSpPr>
        <dsp:cNvPr id="0" name=""/>
        <dsp:cNvSpPr/>
      </dsp:nvSpPr>
      <dsp:spPr>
        <a:xfrm>
          <a:off x="941463" y="4832212"/>
          <a:ext cx="4607519" cy="400184"/>
        </a:xfrm>
        <a:custGeom>
          <a:avLst/>
          <a:gdLst/>
          <a:ahLst/>
          <a:cxnLst/>
          <a:rect l="0" t="0" r="0" b="0"/>
          <a:pathLst>
            <a:path>
              <a:moveTo>
                <a:pt x="4607519" y="0"/>
              </a:moveTo>
              <a:lnTo>
                <a:pt x="4607519" y="217192"/>
              </a:lnTo>
              <a:lnTo>
                <a:pt x="0" y="217192"/>
              </a:lnTo>
              <a:lnTo>
                <a:pt x="0" y="400184"/>
              </a:lnTo>
            </a:path>
          </a:pathLst>
        </a:custGeom>
        <a:noFill/>
        <a:ln w="6350" cap="flat" cmpd="sng" algn="ctr">
          <a:solidFill>
            <a:schemeClr val="dk1">
              <a:hueOff val="0"/>
              <a:satOff val="0"/>
              <a:lumOff val="0"/>
              <a:alphaOff val="0"/>
            </a:schemeClr>
          </a:solidFill>
          <a:prstDash val="solid"/>
          <a:miter lim="800000"/>
          <a:tailEnd type="arrow"/>
        </a:ln>
        <a:effectLst/>
      </dsp:spPr>
      <dsp:style>
        <a:lnRef idx="1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2700" tIns="0" rIns="12700" bIns="0" numCol="1" spcCol="1270" anchor="ctr" anchorCtr="0">
          <a:noAutofit/>
        </a:bodyPr>
        <a:lstStyle/>
        <a:p>
          <a:pPr lvl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pt-BR" sz="500" kern="1200"/>
        </a:p>
      </dsp:txBody>
      <dsp:txXfrm>
        <a:off x="3129532" y="5030150"/>
        <a:ext cx="231380" cy="4307"/>
      </dsp:txXfrm>
    </dsp:sp>
    <dsp:sp modelId="{3E493E8A-3E43-4894-A798-6AFFEB4A46A9}">
      <dsp:nvSpPr>
        <dsp:cNvPr id="0" name=""/>
        <dsp:cNvSpPr/>
      </dsp:nvSpPr>
      <dsp:spPr>
        <a:xfrm>
          <a:off x="4612495" y="3710227"/>
          <a:ext cx="1872975" cy="1123785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Plotagem das curvas dos relés</a:t>
          </a:r>
        </a:p>
      </dsp:txBody>
      <dsp:txXfrm>
        <a:off x="4612495" y="3710227"/>
        <a:ext cx="1872975" cy="1123785"/>
      </dsp:txXfrm>
    </dsp:sp>
    <dsp:sp modelId="{B44E1D14-801D-4D5D-81E8-688926846102}">
      <dsp:nvSpPr>
        <dsp:cNvPr id="0" name=""/>
        <dsp:cNvSpPr/>
      </dsp:nvSpPr>
      <dsp:spPr>
        <a:xfrm>
          <a:off x="4975" y="5264796"/>
          <a:ext cx="1872975" cy="1123785"/>
        </a:xfrm>
        <a:prstGeom prst="rect">
          <a:avLst/>
        </a:prstGeom>
        <a:solidFill>
          <a:schemeClr val="l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dk1">
              <a:shade val="80000"/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99568" tIns="99568" rIns="99568" bIns="99568" numCol="1" spcCol="1270" anchor="ctr" anchorCtr="0">
          <a:noAutofit/>
        </a:bodyPr>
        <a:lstStyle/>
        <a:p>
          <a:pPr lvl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400" kern="1200"/>
            <a:t>Verificação da coordenação e seletividade</a:t>
          </a:r>
        </a:p>
      </dsp:txBody>
      <dsp:txXfrm>
        <a:off x="4975" y="5264796"/>
        <a:ext cx="1872975" cy="112378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bProcess3">
  <dgm:title val=""/>
  <dgm:desc val=""/>
  <dgm:catLst>
    <dgm:cat type="process" pri="18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axis="self" func="var" arg="dir" op="equ" val="norm">
        <dgm:alg type="snake">
          <dgm:param type="grDir" val="tL"/>
          <dgm:param type="flowDir" val="row"/>
          <dgm:param type="contDir" val="sameDir"/>
          <dgm:param type="bkpt" val="endCnv"/>
        </dgm:alg>
      </dgm:if>
      <dgm:else name="Name3">
        <dgm:alg type="snake">
          <dgm:param type="grDir" val="tR"/>
          <dgm:param type="flowDir" val="row"/>
          <dgm:param type="contDir" val="sameDir"/>
          <dgm:param type="bkpt" val="endCnv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w" for="ch" forName="sibTrans" refType="w" refFor="ch" refPtType="node" op="equ" fact="0.23"/>
      <dgm:constr type="sp" refType="w" refFor="ch" refForName="sibTrans" op="equ"/>
      <dgm:constr type="userB" for="des" forName="connectorText" refType="sp"/>
      <dgm:constr type="primFontSz" for="ch" ptType="node" op="equ" val="65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ect" r:blip="">
          <dgm:adjLst/>
        </dgm:shape>
        <dgm:presOf axis="desOrSelf" ptType="node"/>
        <dgm:constrLst>
          <dgm:constr type="h" refType="w" fact="0.6"/>
        </dgm:constrLst>
        <dgm:ruleLst>
          <dgm:rule type="primFontSz" val="5" fact="NaN" max="NaN"/>
        </dgm:ruleLst>
      </dgm:layoutNode>
      <dgm:forEach name="sibTransForEach" axis="followSib" ptType="sibTrans" cnt="1">
        <dgm:layoutNode name="sibTrans">
          <dgm:choose name="Name4">
            <dgm:if name="Name5" axis="self" func="var" arg="dir" op="equ" val="norm">
              <dgm:alg type="conn">
                <dgm:param type="connRout" val="bend"/>
                <dgm:param type="dim" val="1D"/>
                <dgm:param type="begPts" val="midR bCtr"/>
                <dgm:param type="endPts" val="midL tCtr"/>
              </dgm:alg>
            </dgm:if>
            <dgm:else name="Name6">
              <dgm:alg type="conn">
                <dgm:param type="connRout" val="bend"/>
                <dgm:param type="dim" val="1D"/>
                <dgm:param type="begPts" val="midL bCtr"/>
                <dgm:param type="endPts" val="midR tCtr"/>
              </dgm:alg>
            </dgm:else>
          </dgm:choose>
          <dgm:shape xmlns:r="http://schemas.openxmlformats.org/officeDocument/2006/relationships" type="conn" r:blip="" zOrderOff="-2">
            <dgm:adjLst/>
          </dgm:shape>
          <dgm:presOf axis="self"/>
          <dgm:constrLst>
            <dgm:constr type="begPad" val="-0.05"/>
            <dgm:constr type="endPad" val="0.9"/>
            <dgm:constr type="userA" for="ch" refType="connDist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rect" r:blip="" hideGeom="1">
              <dgm:adjLst/>
            </dgm:shape>
            <dgm:presOf axis="self"/>
            <dgm:constrLst>
              <dgm:constr type="userA"/>
              <dgm:constr type="userB"/>
              <dgm:constr type="w" refType="userA" fact="0.05"/>
              <dgm:constr type="h" refType="userB" fact="0.01"/>
              <dgm:constr type="lMarg" val="1"/>
              <dgm:constr type="rMarg" val="1"/>
              <dgm:constr type="tMarg"/>
              <dgm:constr type="bMarg"/>
            </dgm:constrLst>
            <dgm:ruleLst>
              <dgm:rule type="w" val="NaN" fact="0.6" max="NaN"/>
              <dgm:rule type="h" val="NaN" fact="0.6" max="NaN"/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7" Type="http://schemas.openxmlformats.org/officeDocument/2006/relationships/chart" Target="../charts/chart2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chart" Target="../charts/chart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76201</xdr:colOff>
      <xdr:row>0</xdr:row>
      <xdr:rowOff>0</xdr:rowOff>
    </xdr:from>
    <xdr:to>
      <xdr:col>36</xdr:col>
      <xdr:colOff>313765</xdr:colOff>
      <xdr:row>25</xdr:row>
      <xdr:rowOff>142876</xdr:rowOff>
    </xdr:to>
    <xdr:graphicFrame macro="">
      <xdr:nvGraphicFramePr>
        <xdr:cNvPr id="3" name="Diagrama 2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oneCellAnchor>
    <xdr:from>
      <xdr:col>2</xdr:col>
      <xdr:colOff>217456</xdr:colOff>
      <xdr:row>4</xdr:row>
      <xdr:rowOff>179863</xdr:rowOff>
    </xdr:from>
    <xdr:ext cx="1029834" cy="3530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/>
            <xdr:cNvSpPr txBox="1"/>
          </xdr:nvSpPr>
          <xdr:spPr>
            <a:xfrm>
              <a:off x="922306" y="1322863"/>
              <a:ext cx="1029834" cy="3530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𝐼𝑏𝑎𝑠𝑒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𝑃𝑏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e>
                        </m:rad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𝑉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CaixaDeTexto 1"/>
            <xdr:cNvSpPr txBox="1"/>
          </xdr:nvSpPr>
          <xdr:spPr>
            <a:xfrm>
              <a:off x="922306" y="1322863"/>
              <a:ext cx="1029834" cy="3530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𝐼𝑏𝑎𝑠𝑒=𝑃𝑏/(√3∗𝑉1)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314325</xdr:colOff>
      <xdr:row>6</xdr:row>
      <xdr:rowOff>33337</xdr:rowOff>
    </xdr:from>
    <xdr:ext cx="685059" cy="338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/>
            <xdr:cNvSpPr txBox="1"/>
          </xdr:nvSpPr>
          <xdr:spPr>
            <a:xfrm>
              <a:off x="1019175" y="1738312"/>
              <a:ext cx="685059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𝑍𝑏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1=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𝑃𝑏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CaixaDeTexto 3"/>
            <xdr:cNvSpPr txBox="1"/>
          </xdr:nvSpPr>
          <xdr:spPr>
            <a:xfrm>
              <a:off x="1019175" y="1738312"/>
              <a:ext cx="685059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𝑍𝑏1=〖𝑉1〗^2/𝑃𝑏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266700</xdr:colOff>
      <xdr:row>8</xdr:row>
      <xdr:rowOff>14287</xdr:rowOff>
    </xdr:from>
    <xdr:ext cx="682303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/>
            <xdr:cNvSpPr txBox="1"/>
          </xdr:nvSpPr>
          <xdr:spPr>
            <a:xfrm>
              <a:off x="971550" y="2319337"/>
              <a:ext cx="682303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𝑍𝑏𝑐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𝑍𝑐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𝑍𝑏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CaixaDeTexto 4"/>
            <xdr:cNvSpPr txBox="1"/>
          </xdr:nvSpPr>
          <xdr:spPr>
            <a:xfrm>
              <a:off x="971550" y="2319337"/>
              <a:ext cx="682303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𝑍𝑏𝑐=𝑍𝑐/𝑍𝑏1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76200</xdr:colOff>
      <xdr:row>19</xdr:row>
      <xdr:rowOff>28575</xdr:rowOff>
    </xdr:from>
    <xdr:ext cx="1201739" cy="3214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/>
            <xdr:cNvSpPr txBox="1"/>
          </xdr:nvSpPr>
          <xdr:spPr>
            <a:xfrm>
              <a:off x="781050" y="4600575"/>
              <a:ext cx="1201739" cy="3214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𝑍𝑐𝑝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1=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𝑍𝑏𝑝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𝐿𝑎𝑚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𝑍𝑏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1∗1000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CaixaDeTexto 5"/>
            <xdr:cNvSpPr txBox="1"/>
          </xdr:nvSpPr>
          <xdr:spPr>
            <a:xfrm>
              <a:off x="781050" y="4600575"/>
              <a:ext cx="1201739" cy="3214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𝑍𝑐𝑝1=(𝑍𝑏𝑝∗𝐿𝑎𝑚)/(𝑍𝑏1∗1000)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104775</xdr:colOff>
      <xdr:row>21</xdr:row>
      <xdr:rowOff>47625</xdr:rowOff>
    </xdr:from>
    <xdr:ext cx="1201739" cy="3214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/>
            <xdr:cNvSpPr txBox="1"/>
          </xdr:nvSpPr>
          <xdr:spPr>
            <a:xfrm>
              <a:off x="809625" y="5334000"/>
              <a:ext cx="1201739" cy="3214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𝑍𝑐𝑝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1=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𝑍𝑏𝑧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𝐿𝑎𝑚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𝑍𝑏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1∗1000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" name="CaixaDeTexto 6"/>
            <xdr:cNvSpPr txBox="1"/>
          </xdr:nvSpPr>
          <xdr:spPr>
            <a:xfrm>
              <a:off x="809625" y="5334000"/>
              <a:ext cx="1201739" cy="3214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𝑍𝑐𝑝1=(𝑍𝑏𝑧∗𝐿𝑎𝑚)/(𝑍𝑏1∗1000)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152400</xdr:colOff>
      <xdr:row>27</xdr:row>
      <xdr:rowOff>19050</xdr:rowOff>
    </xdr:from>
    <xdr:ext cx="1094146" cy="34964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/>
            <xdr:cNvSpPr txBox="1"/>
          </xdr:nvSpPr>
          <xdr:spPr>
            <a:xfrm>
              <a:off x="857250" y="6858000"/>
              <a:ext cx="1094146" cy="349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𝐼𝑡𝑟𝑎𝑓𝑜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𝑆𝑛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e>
                        </m:rad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𝑉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CaixaDeTexto 7"/>
            <xdr:cNvSpPr txBox="1"/>
          </xdr:nvSpPr>
          <xdr:spPr>
            <a:xfrm>
              <a:off x="857250" y="6858000"/>
              <a:ext cx="1094146" cy="34964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𝐼𝑡𝑟𝑎𝑓𝑜=𝑆𝑛/(√3∗𝑉1)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104775</xdr:colOff>
      <xdr:row>28</xdr:row>
      <xdr:rowOff>9525</xdr:rowOff>
    </xdr:from>
    <xdr:ext cx="1236685" cy="3398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/>
            <xdr:cNvSpPr txBox="1"/>
          </xdr:nvSpPr>
          <xdr:spPr>
            <a:xfrm>
              <a:off x="809625" y="7267575"/>
              <a:ext cx="1236685" cy="3398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𝑍𝑡𝑟𝑎𝑓𝑜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𝑉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𝑆𝑛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𝑍𝑐𝑐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9" name="CaixaDeTexto 8"/>
            <xdr:cNvSpPr txBox="1"/>
          </xdr:nvSpPr>
          <xdr:spPr>
            <a:xfrm>
              <a:off x="809625" y="7267575"/>
              <a:ext cx="1236685" cy="3398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𝑍𝑡𝑟𝑎𝑓𝑜=〖𝑉1〗^2/𝑆𝑛∗𝑍𝑐𝑐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47625</xdr:colOff>
      <xdr:row>29</xdr:row>
      <xdr:rowOff>9525</xdr:rowOff>
    </xdr:from>
    <xdr:ext cx="1175130" cy="4675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/>
            <xdr:cNvSpPr txBox="1"/>
          </xdr:nvSpPr>
          <xdr:spPr>
            <a:xfrm>
              <a:off x="752475" y="7648575"/>
              <a:ext cx="1175130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𝑅𝑡𝑟𝑎𝑓𝑜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𝑃𝑐𝑢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num>
                      <m:den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𝐼𝑡𝑟𝑎𝑓𝑜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0" name="CaixaDeTexto 9"/>
            <xdr:cNvSpPr txBox="1"/>
          </xdr:nvSpPr>
          <xdr:spPr>
            <a:xfrm>
              <a:off x="752475" y="7648575"/>
              <a:ext cx="1175130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𝑅𝑡𝑟𝑎𝑓𝑜=(𝑃𝑐𝑢/3)/〖𝐼𝑡𝑟𝑎𝑓𝑜〗^2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247650</xdr:colOff>
      <xdr:row>30</xdr:row>
      <xdr:rowOff>23812</xdr:rowOff>
    </xdr:from>
    <xdr:ext cx="1704975" cy="3735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/>
            <xdr:cNvSpPr txBox="1"/>
          </xdr:nvSpPr>
          <xdr:spPr>
            <a:xfrm>
              <a:off x="600075" y="8167687"/>
              <a:ext cx="1704975" cy="373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𝑋𝑡𝑟𝑎𝑓𝑜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𝑍𝑡𝑟𝑎𝑓𝑜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𝑅𝑡𝑟𝑎𝑓𝑜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1" name="CaixaDeTexto 10"/>
            <xdr:cNvSpPr txBox="1"/>
          </xdr:nvSpPr>
          <xdr:spPr>
            <a:xfrm>
              <a:off x="600075" y="8167687"/>
              <a:ext cx="1704975" cy="373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𝑋𝑡𝑟𝑎𝑓𝑜=√(〖𝑍𝑡𝑟𝑎𝑓𝑜〗^2−〖𝑅𝑡𝑟𝑎𝑓𝑜〗^2 )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38101</xdr:colOff>
      <xdr:row>31</xdr:row>
      <xdr:rowOff>9525</xdr:rowOff>
    </xdr:from>
    <xdr:ext cx="1543050" cy="5619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ixaDeTexto 11"/>
            <xdr:cNvSpPr txBox="1"/>
          </xdr:nvSpPr>
          <xdr:spPr>
            <a:xfrm>
              <a:off x="742951" y="8582025"/>
              <a:ext cx="1543050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𝑍𝑡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𝑅𝑡𝑟𝑎𝑓𝑜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𝑍𝑏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𝑋𝑡𝑟𝑎𝑓𝑜</m:t>
                            </m:r>
                          </m:num>
                          <m:den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𝑍𝑏</m:t>
                            </m:r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den>
                        </m:f>
                      </m:e>
                    </m:d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𝑖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CaixaDeTexto 11"/>
            <xdr:cNvSpPr txBox="1"/>
          </xdr:nvSpPr>
          <xdr:spPr>
            <a:xfrm>
              <a:off x="742951" y="8582025"/>
              <a:ext cx="1543050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𝑍𝑡=𝑅𝑡𝑟𝑎𝑓𝑜/𝑍𝑏1+(𝑋𝑡𝑟𝑎𝑓𝑜/𝑍𝑏1)∗𝑖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114300</xdr:colOff>
      <xdr:row>49</xdr:row>
      <xdr:rowOff>95250</xdr:rowOff>
    </xdr:from>
    <xdr:ext cx="116281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ixaDeTexto 12"/>
            <xdr:cNvSpPr txBox="1"/>
          </xdr:nvSpPr>
          <xdr:spPr>
            <a:xfrm>
              <a:off x="819150" y="9467850"/>
              <a:ext cx="116281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𝑍𝑝𝑎𝑐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𝑍𝑐𝑝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𝑍𝑏𝑝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3" name="CaixaDeTexto 12"/>
            <xdr:cNvSpPr txBox="1"/>
          </xdr:nvSpPr>
          <xdr:spPr>
            <a:xfrm>
              <a:off x="819150" y="9467850"/>
              <a:ext cx="116281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𝑍𝑝𝑎𝑐=𝑍𝑐𝑝+𝑍𝑏𝑝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95250</xdr:colOff>
      <xdr:row>50</xdr:row>
      <xdr:rowOff>76200</xdr:rowOff>
    </xdr:from>
    <xdr:ext cx="12083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ixaDeTexto 13"/>
            <xdr:cNvSpPr txBox="1"/>
          </xdr:nvSpPr>
          <xdr:spPr>
            <a:xfrm>
              <a:off x="800100" y="9801225"/>
              <a:ext cx="12083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𝑍𝑧𝑎𝑐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𝑍𝑏𝑧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𝑍𝑐𝑧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4" name="CaixaDeTexto 13"/>
            <xdr:cNvSpPr txBox="1"/>
          </xdr:nvSpPr>
          <xdr:spPr>
            <a:xfrm>
              <a:off x="800100" y="9801225"/>
              <a:ext cx="12083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𝑍𝑧𝑎𝑐=𝑍𝑏𝑧+𝑍𝑐𝑧1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304800</xdr:colOff>
      <xdr:row>51</xdr:row>
      <xdr:rowOff>14287</xdr:rowOff>
    </xdr:from>
    <xdr:ext cx="804323" cy="3499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aixaDeTexto 14"/>
            <xdr:cNvSpPr txBox="1"/>
          </xdr:nvSpPr>
          <xdr:spPr>
            <a:xfrm>
              <a:off x="1009650" y="10120312"/>
              <a:ext cx="804323" cy="349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𝐼𝑐𝑐𝑡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𝐼𝑏𝑎𝑠𝑒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𝑍𝑝𝑎𝑐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CaixaDeTexto 14"/>
            <xdr:cNvSpPr txBox="1"/>
          </xdr:nvSpPr>
          <xdr:spPr>
            <a:xfrm>
              <a:off x="1009650" y="10120312"/>
              <a:ext cx="804323" cy="349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𝐼𝑐𝑐𝑡=𝐼𝑏𝑎𝑠𝑒/𝑍𝑝𝑎𝑐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228600</xdr:colOff>
      <xdr:row>52</xdr:row>
      <xdr:rowOff>9525</xdr:rowOff>
    </xdr:from>
    <xdr:ext cx="1021946" cy="3549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aixaDeTexto 15"/>
            <xdr:cNvSpPr txBox="1"/>
          </xdr:nvSpPr>
          <xdr:spPr>
            <a:xfrm>
              <a:off x="933450" y="10496550"/>
              <a:ext cx="1021946" cy="3549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𝐼𝑐𝑐𝑏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e>
                        </m:rad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𝐼𝑐𝑐𝑡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6" name="CaixaDeTexto 15"/>
            <xdr:cNvSpPr txBox="1"/>
          </xdr:nvSpPr>
          <xdr:spPr>
            <a:xfrm>
              <a:off x="933450" y="10496550"/>
              <a:ext cx="1021946" cy="3549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𝐼𝑐𝑐𝑏=√3/2∗𝐼𝑐𝑐𝑡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323850</xdr:colOff>
      <xdr:row>53</xdr:row>
      <xdr:rowOff>38100</xdr:rowOff>
    </xdr:from>
    <xdr:ext cx="1638300" cy="3524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aixaDeTexto 16"/>
            <xdr:cNvSpPr txBox="1"/>
          </xdr:nvSpPr>
          <xdr:spPr>
            <a:xfrm>
              <a:off x="676275" y="10915650"/>
              <a:ext cx="1638300" cy="3524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𝐼𝑐𝑐𝑓𝑡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3∗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𝐼𝑏𝑎𝑠𝑒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|2∗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𝑍𝑝𝑎𝑐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𝑍𝑧𝑎𝑐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|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7" name="CaixaDeTexto 16"/>
            <xdr:cNvSpPr txBox="1"/>
          </xdr:nvSpPr>
          <xdr:spPr>
            <a:xfrm>
              <a:off x="676275" y="10915650"/>
              <a:ext cx="1638300" cy="3524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𝐼𝑐𝑐𝑓𝑡=(3∗𝐼𝑏𝑎𝑠𝑒)/(|2∗𝑍𝑝𝑎𝑐+𝑍𝑧𝑎𝑐|)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9525</xdr:colOff>
      <xdr:row>54</xdr:row>
      <xdr:rowOff>19048</xdr:rowOff>
    </xdr:from>
    <xdr:ext cx="1685925" cy="468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aixaDeTexto 17"/>
            <xdr:cNvSpPr txBox="1"/>
          </xdr:nvSpPr>
          <xdr:spPr>
            <a:xfrm>
              <a:off x="714375" y="11410948"/>
              <a:ext cx="1685925" cy="468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000" b="0" i="1">
                        <a:latin typeface="Cambria Math" panose="02040503050406030204" pitchFamily="18" charset="0"/>
                      </a:rPr>
                      <m:t>𝐼𝑐𝑐𝑓𝑡𝑚</m:t>
                    </m:r>
                    <m:r>
                      <a:rPr lang="pt-BR" sz="1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3∗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𝐼𝑏𝑎𝑠𝑒</m:t>
                        </m:r>
                      </m:num>
                      <m:den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|2∗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𝑍𝑝𝑎𝑐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𝑍𝑧𝑎𝑐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+3∗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𝑍𝑏𝑐</m:t>
                        </m:r>
                        <m:r>
                          <a:rPr lang="pt-BR" sz="1000" b="0" i="1">
                            <a:latin typeface="Cambria Math" panose="02040503050406030204" pitchFamily="18" charset="0"/>
                          </a:rPr>
                          <m:t>|</m:t>
                        </m:r>
                      </m:den>
                    </m:f>
                  </m:oMath>
                </m:oMathPara>
              </a14:m>
              <a:endParaRPr lang="en-GB" sz="1000"/>
            </a:p>
          </xdr:txBody>
        </xdr:sp>
      </mc:Choice>
      <mc:Fallback xmlns="">
        <xdr:sp macro="" textlink="">
          <xdr:nvSpPr>
            <xdr:cNvPr id="18" name="CaixaDeTexto 17"/>
            <xdr:cNvSpPr txBox="1"/>
          </xdr:nvSpPr>
          <xdr:spPr>
            <a:xfrm>
              <a:off x="714375" y="11410948"/>
              <a:ext cx="1685925" cy="468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000" b="0" i="0">
                  <a:latin typeface="Cambria Math" panose="02040503050406030204" pitchFamily="18" charset="0"/>
                </a:rPr>
                <a:t>𝐼𝑐𝑐𝑓𝑡𝑚=(3∗𝐼𝑏𝑎𝑠𝑒)/(|2∗𝑍𝑝𝑎𝑐+𝑍𝑧𝑎𝑐+3∗𝑍𝑏𝑐|)</a:t>
              </a:r>
              <a:endParaRPr lang="en-GB" sz="1000"/>
            </a:p>
          </xdr:txBody>
        </xdr:sp>
      </mc:Fallback>
    </mc:AlternateContent>
    <xdr:clientData/>
  </xdr:oneCellAnchor>
  <xdr:oneCellAnchor>
    <xdr:from>
      <xdr:col>2</xdr:col>
      <xdr:colOff>28575</xdr:colOff>
      <xdr:row>55</xdr:row>
      <xdr:rowOff>4762</xdr:rowOff>
    </xdr:from>
    <xdr:ext cx="1504949" cy="5098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ixaDeTexto 18"/>
            <xdr:cNvSpPr txBox="1"/>
          </xdr:nvSpPr>
          <xdr:spPr>
            <a:xfrm>
              <a:off x="733425" y="11939587"/>
              <a:ext cx="1504949" cy="5098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𝐹𝐴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1+2∗</m:t>
                        </m:r>
                        <m:sSup>
                          <m:sSupPr>
                            <m:ctrlPr>
                              <a:rPr lang="pt-BR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(</m:t>
                            </m:r>
                            <m:f>
                              <m:f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240</m:t>
                                </m:r>
                              </m:den>
                            </m:f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)/(</m:t>
                            </m:r>
                            <m:f>
                              <m:fPr>
                                <m:ctrlP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𝑋</m:t>
                                </m:r>
                              </m:num>
                              <m:den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377∗</m:t>
                                </m:r>
                                <m:r>
                                  <a:rPr lang="pt-BR" sz="11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den>
                            </m:f>
                            <m:r>
                              <a:rPr lang="pt-BR" sz="1100" b="0" i="1">
                                <a:latin typeface="Cambria Math" panose="02040503050406030204" pitchFamily="18" charset="0"/>
                              </a:rPr>
                              <m:t>)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9" name="CaixaDeTexto 18"/>
            <xdr:cNvSpPr txBox="1"/>
          </xdr:nvSpPr>
          <xdr:spPr>
            <a:xfrm>
              <a:off x="733425" y="11939587"/>
              <a:ext cx="1504949" cy="5098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𝐹𝐴=√(1+2∗𝑒^((2/240)/(𝑋/(377∗𝑅)))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247650</xdr:colOff>
      <xdr:row>59</xdr:row>
      <xdr:rowOff>33337</xdr:rowOff>
    </xdr:from>
    <xdr:ext cx="966290" cy="3227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aixaDeTexto 19"/>
            <xdr:cNvSpPr txBox="1"/>
          </xdr:nvSpPr>
          <xdr:spPr>
            <a:xfrm>
              <a:off x="952500" y="13034962"/>
              <a:ext cx="966290" cy="3227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𝐼𝑡𝑐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 ≥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pt-BR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⁡[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𝐼𝑐𝑐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]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𝐹𝑆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0" name="CaixaDeTexto 19"/>
            <xdr:cNvSpPr txBox="1"/>
          </xdr:nvSpPr>
          <xdr:spPr>
            <a:xfrm>
              <a:off x="952500" y="13034962"/>
              <a:ext cx="966290" cy="3227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𝐼𝑡𝑐 ≥</a:t>
              </a:r>
              <a:r>
                <a:rPr lang="pt-B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(max⁡[𝐼𝑐𝑐])/𝐹𝑆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133350</xdr:colOff>
      <xdr:row>66</xdr:row>
      <xdr:rowOff>14287</xdr:rowOff>
    </xdr:from>
    <xdr:ext cx="1128066" cy="32072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aixaDeTexto 20"/>
            <xdr:cNvSpPr txBox="1"/>
          </xdr:nvSpPr>
          <xdr:spPr>
            <a:xfrm>
              <a:off x="838200" y="13663612"/>
              <a:ext cx="1128066" cy="3207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𝐼𝑡𝑓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𝐾𝑓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𝐼𝑡𝑟𝑎𝑓𝑜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𝑅𝑇𝐶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1" name="CaixaDeTexto 20"/>
            <xdr:cNvSpPr txBox="1"/>
          </xdr:nvSpPr>
          <xdr:spPr>
            <a:xfrm>
              <a:off x="838200" y="13663612"/>
              <a:ext cx="1128066" cy="32072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t-BR" sz="1100" b="0" i="0">
                  <a:latin typeface="Cambria Math" panose="02040503050406030204" pitchFamily="18" charset="0"/>
                </a:rPr>
                <a:t>𝐼𝑡𝑓=(𝐾𝑓∗𝐼𝑡𝑟𝑎𝑓𝑜)/𝑅𝑇𝐶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133350</xdr:colOff>
      <xdr:row>79</xdr:row>
      <xdr:rowOff>14287</xdr:rowOff>
    </xdr:from>
    <xdr:ext cx="990207" cy="321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aixaDeTexto 22"/>
            <xdr:cNvSpPr txBox="1"/>
          </xdr:nvSpPr>
          <xdr:spPr>
            <a:xfrm>
              <a:off x="838200" y="20445412"/>
              <a:ext cx="990207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𝐼𝑡𝑛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𝐾𝑛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𝐼𝑎𝑡𝑓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𝑅𝑇𝐶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3" name="CaixaDeTexto 22"/>
            <xdr:cNvSpPr txBox="1"/>
          </xdr:nvSpPr>
          <xdr:spPr>
            <a:xfrm>
              <a:off x="838200" y="20445412"/>
              <a:ext cx="990207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𝐼𝑡𝑛=(𝐾𝑛∗𝐼𝑎𝑡𝑓)/𝑅𝑇𝐶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247650</xdr:colOff>
      <xdr:row>62</xdr:row>
      <xdr:rowOff>9525</xdr:rowOff>
    </xdr:from>
    <xdr:ext cx="921599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aixaDeTexto 21"/>
            <xdr:cNvSpPr txBox="1"/>
          </xdr:nvSpPr>
          <xdr:spPr>
            <a:xfrm>
              <a:off x="952500" y="18164175"/>
              <a:ext cx="921599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𝐸𝑠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𝐼𝑐𝑐𝑎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∗</m:t>
                        </m:r>
                        <m:r>
                          <a:rPr lang="pt-B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𝑍𝑟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𝑅𝑇𝐶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2" name="CaixaDeTexto 21"/>
            <xdr:cNvSpPr txBox="1"/>
          </xdr:nvSpPr>
          <xdr:spPr>
            <a:xfrm>
              <a:off x="952500" y="18164175"/>
              <a:ext cx="921599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𝐸𝑠=(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𝐼𝑐𝑐𝑎∗𝑍𝑟</a:t>
              </a:r>
              <a:r>
                <a:rPr lang="pt-B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pt-BR" sz="1100" b="0" i="0">
                  <a:latin typeface="Cambria Math" panose="02040503050406030204" pitchFamily="18" charset="0"/>
                </a:rPr>
                <a:t>𝑅𝑇𝐶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299758</xdr:colOff>
      <xdr:row>74</xdr:row>
      <xdr:rowOff>30256</xdr:rowOff>
    </xdr:from>
    <xdr:ext cx="1493184" cy="3169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aixaDeTexto 23"/>
            <xdr:cNvSpPr txBox="1"/>
          </xdr:nvSpPr>
          <xdr:spPr>
            <a:xfrm>
              <a:off x="647140" y="20985256"/>
              <a:ext cx="1493184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𝐼𝑡𝑑𝑓𝑝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𝐹𝑎𝑗𝑢𝑠𝑡𝑒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𝐼𝑐𝑐𝑡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𝑅𝑇𝐶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4" name="CaixaDeTexto 23"/>
            <xdr:cNvSpPr txBox="1"/>
          </xdr:nvSpPr>
          <xdr:spPr>
            <a:xfrm>
              <a:off x="647140" y="20985256"/>
              <a:ext cx="1493184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𝐼𝑡𝑑𝑓𝑝=(𝐹𝑎𝑗𝑢𝑠𝑡𝑒∗𝐼𝑐𝑐𝑡)/𝑅𝑇𝐶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</xdr:col>
      <xdr:colOff>342900</xdr:colOff>
      <xdr:row>87</xdr:row>
      <xdr:rowOff>9525</xdr:rowOff>
    </xdr:from>
    <xdr:ext cx="1508875" cy="321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aixaDeTexto 24"/>
            <xdr:cNvSpPr txBox="1"/>
          </xdr:nvSpPr>
          <xdr:spPr>
            <a:xfrm>
              <a:off x="695325" y="24393525"/>
              <a:ext cx="1508875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1100" b="0" i="1">
                        <a:latin typeface="Cambria Math" panose="02040503050406030204" pitchFamily="18" charset="0"/>
                      </a:rPr>
                      <m:t>𝐼𝑡𝑑𝑛𝑝</m:t>
                    </m:r>
                    <m:r>
                      <a:rPr lang="pt-B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𝐹𝑎𝑗𝑢𝑠𝑡𝑒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𝐼𝑐𝑐𝑓𝑡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𝑅𝑇𝐶</m:t>
                        </m:r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5" name="CaixaDeTexto 24"/>
            <xdr:cNvSpPr txBox="1"/>
          </xdr:nvSpPr>
          <xdr:spPr>
            <a:xfrm>
              <a:off x="695325" y="24393525"/>
              <a:ext cx="1508875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100" b="0" i="0">
                  <a:latin typeface="Cambria Math" panose="02040503050406030204" pitchFamily="18" charset="0"/>
                </a:rPr>
                <a:t>𝐼𝑡𝑑𝑛𝑝=(𝐹𝑎𝑗𝑢𝑠𝑡𝑒∗𝐼𝑐𝑐𝑓𝑡)/𝑅𝑇𝐶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0</xdr:col>
      <xdr:colOff>114300</xdr:colOff>
      <xdr:row>90</xdr:row>
      <xdr:rowOff>123825</xdr:rowOff>
    </xdr:from>
    <xdr:to>
      <xdr:col>17</xdr:col>
      <xdr:colOff>257735</xdr:colOff>
      <xdr:row>115</xdr:row>
      <xdr:rowOff>179294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135031</xdr:colOff>
      <xdr:row>116</xdr:row>
      <xdr:rowOff>91888</xdr:rowOff>
    </xdr:from>
    <xdr:to>
      <xdr:col>17</xdr:col>
      <xdr:colOff>249331</xdr:colOff>
      <xdr:row>146</xdr:row>
      <xdr:rowOff>168088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475130</xdr:colOff>
      <xdr:row>4</xdr:row>
      <xdr:rowOff>67233</xdr:rowOff>
    </xdr:from>
    <xdr:to>
      <xdr:col>30</xdr:col>
      <xdr:colOff>134472</xdr:colOff>
      <xdr:row>34</xdr:row>
      <xdr:rowOff>1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192181</xdr:colOff>
      <xdr:row>4</xdr:row>
      <xdr:rowOff>61067</xdr:rowOff>
    </xdr:from>
    <xdr:to>
      <xdr:col>45</xdr:col>
      <xdr:colOff>291354</xdr:colOff>
      <xdr:row>33</xdr:row>
      <xdr:rowOff>168087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514910</xdr:colOff>
      <xdr:row>28</xdr:row>
      <xdr:rowOff>108698</xdr:rowOff>
    </xdr:from>
    <xdr:to>
      <xdr:col>31</xdr:col>
      <xdr:colOff>212912</xdr:colOff>
      <xdr:row>42</xdr:row>
      <xdr:rowOff>112059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508745</xdr:colOff>
      <xdr:row>2</xdr:row>
      <xdr:rowOff>22410</xdr:rowOff>
    </xdr:from>
    <xdr:to>
      <xdr:col>31</xdr:col>
      <xdr:colOff>224118</xdr:colOff>
      <xdr:row>28</xdr:row>
      <xdr:rowOff>67235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169769</xdr:colOff>
      <xdr:row>1</xdr:row>
      <xdr:rowOff>105893</xdr:rowOff>
    </xdr:from>
    <xdr:to>
      <xdr:col>46</xdr:col>
      <xdr:colOff>22412</xdr:colOff>
      <xdr:row>28</xdr:row>
      <xdr:rowOff>67235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R98"/>
  <sheetViews>
    <sheetView tabSelected="1" view="pageLayout" topLeftCell="A70" zoomScale="85" zoomScaleNormal="100" zoomScalePageLayoutView="85" workbookViewId="0">
      <selection activeCell="G41" sqref="G41:N41"/>
    </sheetView>
  </sheetViews>
  <sheetFormatPr defaultColWidth="4.85546875" defaultRowHeight="15" x14ac:dyDescent="0.25"/>
  <cols>
    <col min="1" max="14" width="4.85546875" style="13"/>
    <col min="15" max="16" width="6.42578125" style="13" customWidth="1"/>
    <col min="17" max="16384" width="4.85546875" style="13"/>
  </cols>
  <sheetData>
    <row r="1" spans="1:18" x14ac:dyDescent="0.25">
      <c r="A1" s="47" t="s">
        <v>43</v>
      </c>
      <c r="B1" s="47"/>
      <c r="C1" s="47" t="s">
        <v>44</v>
      </c>
      <c r="D1" s="47"/>
      <c r="E1" s="47"/>
      <c r="F1" s="47"/>
      <c r="G1" s="47" t="s">
        <v>45</v>
      </c>
      <c r="H1" s="47"/>
      <c r="I1" s="47"/>
      <c r="J1" s="47"/>
      <c r="K1" s="47"/>
      <c r="L1" s="47"/>
      <c r="M1" s="47"/>
      <c r="N1" s="47"/>
      <c r="O1" s="55" t="s">
        <v>46</v>
      </c>
      <c r="P1" s="55"/>
      <c r="Q1" s="47" t="s">
        <v>47</v>
      </c>
      <c r="R1" s="47"/>
    </row>
    <row r="2" spans="1:18" ht="30" customHeight="1" x14ac:dyDescent="0.25">
      <c r="A2" s="56" t="s">
        <v>104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22" t="s">
        <v>92</v>
      </c>
      <c r="P2" s="27" t="s">
        <v>93</v>
      </c>
      <c r="Q2" s="38"/>
      <c r="R2" s="41"/>
    </row>
    <row r="3" spans="1:18" x14ac:dyDescent="0.25">
      <c r="A3" s="38" t="s">
        <v>48</v>
      </c>
      <c r="B3" s="38"/>
      <c r="C3" s="38"/>
      <c r="D3" s="38"/>
      <c r="E3" s="38"/>
      <c r="F3" s="38"/>
      <c r="G3" s="38" t="s">
        <v>49</v>
      </c>
      <c r="H3" s="38"/>
      <c r="I3" s="38"/>
      <c r="J3" s="38"/>
      <c r="K3" s="38"/>
      <c r="L3" s="38"/>
      <c r="M3" s="38"/>
      <c r="N3" s="38"/>
      <c r="O3" s="46">
        <v>13.8</v>
      </c>
      <c r="P3" s="46"/>
      <c r="Q3" s="38" t="s">
        <v>50</v>
      </c>
      <c r="R3" s="38"/>
    </row>
    <row r="4" spans="1:18" ht="15" customHeight="1" x14ac:dyDescent="0.25">
      <c r="A4" s="38" t="s">
        <v>51</v>
      </c>
      <c r="B4" s="38"/>
      <c r="C4" s="38"/>
      <c r="D4" s="38"/>
      <c r="E4" s="38"/>
      <c r="F4" s="38"/>
      <c r="G4" s="38" t="s">
        <v>52</v>
      </c>
      <c r="H4" s="38"/>
      <c r="I4" s="38"/>
      <c r="J4" s="38"/>
      <c r="K4" s="38"/>
      <c r="L4" s="38"/>
      <c r="M4" s="38"/>
      <c r="N4" s="38"/>
      <c r="O4" s="38">
        <v>380</v>
      </c>
      <c r="P4" s="38"/>
      <c r="Q4" s="38" t="s">
        <v>53</v>
      </c>
      <c r="R4" s="38"/>
    </row>
    <row r="5" spans="1:18" x14ac:dyDescent="0.25">
      <c r="A5" s="38" t="s">
        <v>54</v>
      </c>
      <c r="B5" s="38"/>
      <c r="C5" s="38"/>
      <c r="D5" s="38"/>
      <c r="E5" s="38"/>
      <c r="F5" s="38"/>
      <c r="G5" s="38" t="s">
        <v>55</v>
      </c>
      <c r="H5" s="38"/>
      <c r="I5" s="38"/>
      <c r="J5" s="38"/>
      <c r="K5" s="38"/>
      <c r="L5" s="38"/>
      <c r="M5" s="38"/>
      <c r="N5" s="38"/>
      <c r="O5" s="38">
        <v>100</v>
      </c>
      <c r="P5" s="38"/>
      <c r="Q5" s="38" t="s">
        <v>56</v>
      </c>
      <c r="R5" s="38"/>
    </row>
    <row r="6" spans="1:18" ht="29.25" customHeight="1" x14ac:dyDescent="0.25">
      <c r="A6" s="46" t="s">
        <v>57</v>
      </c>
      <c r="B6" s="46"/>
      <c r="C6" s="46"/>
      <c r="D6" s="46"/>
      <c r="E6" s="46"/>
      <c r="F6" s="46"/>
      <c r="G6" s="46" t="s">
        <v>58</v>
      </c>
      <c r="H6" s="46"/>
      <c r="I6" s="46"/>
      <c r="J6" s="46"/>
      <c r="K6" s="46"/>
      <c r="L6" s="46"/>
      <c r="M6" s="46"/>
      <c r="N6" s="46"/>
      <c r="O6" s="54">
        <f>1000*O5/(SQRT(3)*O3)</f>
        <v>4183.6976028233748</v>
      </c>
      <c r="P6" s="54"/>
      <c r="Q6" s="46" t="s">
        <v>59</v>
      </c>
      <c r="R6" s="46"/>
    </row>
    <row r="7" spans="1:18" s="15" customFormat="1" ht="32.25" customHeight="1" x14ac:dyDescent="0.25">
      <c r="A7" s="38" t="s">
        <v>101</v>
      </c>
      <c r="B7" s="38"/>
      <c r="C7" s="38"/>
      <c r="D7" s="38"/>
      <c r="E7" s="38"/>
      <c r="F7" s="38"/>
      <c r="G7" s="38" t="s">
        <v>102</v>
      </c>
      <c r="H7" s="38"/>
      <c r="I7" s="38"/>
      <c r="J7" s="38"/>
      <c r="K7" s="38"/>
      <c r="L7" s="38"/>
      <c r="M7" s="38"/>
      <c r="N7" s="38"/>
      <c r="O7" s="38">
        <f>(O3*1000)^2/(O5*1000000)</f>
        <v>1.9044000000000001</v>
      </c>
      <c r="P7" s="38"/>
      <c r="Q7" s="38" t="s">
        <v>103</v>
      </c>
      <c r="R7" s="38"/>
    </row>
    <row r="8" spans="1:18" s="18" customFormat="1" x14ac:dyDescent="0.25">
      <c r="A8" s="38" t="s">
        <v>113</v>
      </c>
      <c r="B8" s="38"/>
      <c r="C8" s="38"/>
      <c r="D8" s="38"/>
      <c r="E8" s="38"/>
      <c r="F8" s="38"/>
      <c r="G8" s="38" t="s">
        <v>114</v>
      </c>
      <c r="H8" s="38"/>
      <c r="I8" s="38"/>
      <c r="J8" s="38"/>
      <c r="K8" s="38"/>
      <c r="L8" s="38"/>
      <c r="M8" s="38"/>
      <c r="N8" s="38"/>
      <c r="O8" s="20">
        <v>0</v>
      </c>
      <c r="P8" s="20">
        <v>100</v>
      </c>
      <c r="Q8" s="38" t="s">
        <v>103</v>
      </c>
      <c r="R8" s="38"/>
    </row>
    <row r="9" spans="1:18" s="18" customFormat="1" ht="28.5" customHeight="1" x14ac:dyDescent="0.25">
      <c r="A9" s="38" t="s">
        <v>115</v>
      </c>
      <c r="B9" s="38"/>
      <c r="C9" s="38"/>
      <c r="D9" s="38"/>
      <c r="E9" s="38"/>
      <c r="F9" s="38"/>
      <c r="G9" s="38" t="s">
        <v>116</v>
      </c>
      <c r="H9" s="38"/>
      <c r="I9" s="38"/>
      <c r="J9" s="38"/>
      <c r="K9" s="38"/>
      <c r="L9" s="38"/>
      <c r="M9" s="38"/>
      <c r="N9" s="38"/>
      <c r="O9" s="20">
        <f>O8/O7</f>
        <v>0</v>
      </c>
      <c r="P9" s="20">
        <f>P8/O7</f>
        <v>52.509976895610166</v>
      </c>
      <c r="Q9" s="38" t="s">
        <v>67</v>
      </c>
      <c r="R9" s="38"/>
    </row>
    <row r="10" spans="1:18" ht="30" customHeight="1" x14ac:dyDescent="0.25">
      <c r="A10" s="53" t="s">
        <v>68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</row>
    <row r="11" spans="1:18" x14ac:dyDescent="0.25">
      <c r="A11" s="38" t="s">
        <v>60</v>
      </c>
      <c r="B11" s="38"/>
      <c r="C11" s="38"/>
      <c r="D11" s="38"/>
      <c r="E11" s="38"/>
      <c r="F11" s="38"/>
      <c r="G11" s="38" t="s">
        <v>61</v>
      </c>
      <c r="H11" s="38"/>
      <c r="I11" s="38"/>
      <c r="J11" s="38"/>
      <c r="K11" s="38"/>
      <c r="L11" s="38"/>
      <c r="M11" s="38"/>
      <c r="N11" s="38"/>
      <c r="O11" s="16">
        <v>0.21629999999999999</v>
      </c>
      <c r="P11" s="16">
        <v>0.82</v>
      </c>
      <c r="Q11" s="38" t="s">
        <v>67</v>
      </c>
      <c r="R11" s="38"/>
    </row>
    <row r="12" spans="1:18" x14ac:dyDescent="0.25">
      <c r="A12" s="38" t="s">
        <v>64</v>
      </c>
      <c r="B12" s="38"/>
      <c r="C12" s="38"/>
      <c r="D12" s="38"/>
      <c r="E12" s="38"/>
      <c r="F12" s="38"/>
      <c r="G12" s="38" t="s">
        <v>62</v>
      </c>
      <c r="H12" s="38"/>
      <c r="I12" s="38"/>
      <c r="J12" s="38"/>
      <c r="K12" s="38"/>
      <c r="L12" s="38"/>
      <c r="M12" s="38"/>
      <c r="N12" s="38"/>
      <c r="O12" s="16">
        <v>0.21629999999999999</v>
      </c>
      <c r="P12" s="16">
        <v>0.82</v>
      </c>
      <c r="Q12" s="38" t="s">
        <v>67</v>
      </c>
      <c r="R12" s="38"/>
    </row>
    <row r="13" spans="1:18" x14ac:dyDescent="0.25">
      <c r="A13" s="52" t="s">
        <v>65</v>
      </c>
      <c r="B13" s="52"/>
      <c r="C13" s="52"/>
      <c r="D13" s="52"/>
      <c r="E13" s="52"/>
      <c r="F13" s="52"/>
      <c r="G13" s="52" t="s">
        <v>63</v>
      </c>
      <c r="H13" s="52"/>
      <c r="I13" s="52"/>
      <c r="J13" s="52"/>
      <c r="K13" s="52"/>
      <c r="L13" s="52"/>
      <c r="M13" s="52"/>
      <c r="N13" s="52"/>
      <c r="O13" s="17">
        <v>0</v>
      </c>
      <c r="P13" s="17">
        <v>0.34123399999999998</v>
      </c>
      <c r="Q13" s="52" t="s">
        <v>67</v>
      </c>
      <c r="R13" s="52"/>
    </row>
    <row r="14" spans="1:18" ht="30" customHeight="1" x14ac:dyDescent="0.25">
      <c r="A14" s="47" t="s">
        <v>66</v>
      </c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18" x14ac:dyDescent="0.25">
      <c r="A15" s="38" t="s">
        <v>60</v>
      </c>
      <c r="B15" s="38"/>
      <c r="C15" s="38"/>
      <c r="D15" s="38"/>
      <c r="E15" s="38"/>
      <c r="F15" s="38"/>
      <c r="G15" s="38" t="s">
        <v>61</v>
      </c>
      <c r="H15" s="38"/>
      <c r="I15" s="38"/>
      <c r="J15" s="38"/>
      <c r="K15" s="38"/>
      <c r="L15" s="38"/>
      <c r="M15" s="38"/>
      <c r="N15" s="38"/>
      <c r="O15" s="16">
        <v>0.23910000000000001</v>
      </c>
      <c r="P15" s="16">
        <v>0.379</v>
      </c>
      <c r="Q15" s="38" t="s">
        <v>67</v>
      </c>
      <c r="R15" s="38"/>
    </row>
    <row r="16" spans="1:18" x14ac:dyDescent="0.25">
      <c r="A16" s="38" t="s">
        <v>64</v>
      </c>
      <c r="B16" s="38"/>
      <c r="C16" s="38"/>
      <c r="D16" s="38"/>
      <c r="E16" s="38"/>
      <c r="F16" s="38"/>
      <c r="G16" s="38" t="s">
        <v>62</v>
      </c>
      <c r="H16" s="38"/>
      <c r="I16" s="38"/>
      <c r="J16" s="38"/>
      <c r="K16" s="38"/>
      <c r="L16" s="38"/>
      <c r="M16" s="38"/>
      <c r="N16" s="38"/>
      <c r="O16" s="16">
        <f>O15</f>
        <v>0.23910000000000001</v>
      </c>
      <c r="P16" s="16">
        <f>P15</f>
        <v>0.379</v>
      </c>
      <c r="Q16" s="38" t="s">
        <v>67</v>
      </c>
      <c r="R16" s="38"/>
    </row>
    <row r="17" spans="1:18" x14ac:dyDescent="0.25">
      <c r="A17" s="38" t="s">
        <v>65</v>
      </c>
      <c r="B17" s="38"/>
      <c r="C17" s="38"/>
      <c r="D17" s="38"/>
      <c r="E17" s="38"/>
      <c r="F17" s="38"/>
      <c r="G17" s="38" t="s">
        <v>63</v>
      </c>
      <c r="H17" s="38"/>
      <c r="I17" s="38"/>
      <c r="J17" s="38"/>
      <c r="K17" s="38"/>
      <c r="L17" s="38"/>
      <c r="M17" s="38"/>
      <c r="N17" s="38"/>
      <c r="O17" s="16">
        <v>0.41689999999999999</v>
      </c>
      <c r="P17" s="16">
        <v>1.5559000000000001</v>
      </c>
      <c r="Q17" s="38" t="s">
        <v>67</v>
      </c>
      <c r="R17" s="38"/>
    </row>
    <row r="18" spans="1:18" x14ac:dyDescent="0.25">
      <c r="A18" s="52" t="s">
        <v>69</v>
      </c>
      <c r="B18" s="52"/>
      <c r="C18" s="52"/>
      <c r="D18" s="52"/>
      <c r="E18" s="52"/>
      <c r="F18" s="52"/>
      <c r="G18" s="52" t="s">
        <v>70</v>
      </c>
      <c r="H18" s="52"/>
      <c r="I18" s="52"/>
      <c r="J18" s="52"/>
      <c r="K18" s="52"/>
      <c r="L18" s="52"/>
      <c r="M18" s="52"/>
      <c r="N18" s="52"/>
      <c r="O18" s="38">
        <v>600</v>
      </c>
      <c r="P18" s="38"/>
      <c r="Q18" s="52" t="s">
        <v>71</v>
      </c>
      <c r="R18" s="52"/>
    </row>
    <row r="19" spans="1:18" s="14" customFormat="1" ht="30" customHeight="1" x14ac:dyDescent="0.25">
      <c r="A19" s="47" t="s">
        <v>94</v>
      </c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</row>
    <row r="20" spans="1:18" s="14" customFormat="1" ht="30" customHeight="1" x14ac:dyDescent="0.25">
      <c r="A20" s="38" t="s">
        <v>95</v>
      </c>
      <c r="B20" s="38"/>
      <c r="C20" s="38"/>
      <c r="D20" s="38"/>
      <c r="E20" s="38"/>
      <c r="F20" s="38"/>
      <c r="G20" s="38" t="s">
        <v>98</v>
      </c>
      <c r="H20" s="38"/>
      <c r="I20" s="38"/>
      <c r="J20" s="38"/>
      <c r="K20" s="38"/>
      <c r="L20" s="38"/>
      <c r="M20" s="38"/>
      <c r="N20" s="38"/>
      <c r="O20" s="16">
        <f t="shared" ref="O20:P22" si="0">(O15*$O$18)/($O$7*1000)</f>
        <v>7.5330812854442347E-2</v>
      </c>
      <c r="P20" s="16">
        <f t="shared" si="0"/>
        <v>0.11940768746061751</v>
      </c>
      <c r="Q20" s="38" t="s">
        <v>67</v>
      </c>
      <c r="R20" s="38"/>
    </row>
    <row r="21" spans="1:18" s="14" customFormat="1" ht="26.25" customHeight="1" x14ac:dyDescent="0.25">
      <c r="A21" s="38" t="s">
        <v>96</v>
      </c>
      <c r="B21" s="38"/>
      <c r="C21" s="38" t="s">
        <v>117</v>
      </c>
      <c r="D21" s="38"/>
      <c r="E21" s="38"/>
      <c r="F21" s="38"/>
      <c r="G21" s="38" t="s">
        <v>99</v>
      </c>
      <c r="H21" s="38"/>
      <c r="I21" s="38"/>
      <c r="J21" s="38"/>
      <c r="K21" s="38"/>
      <c r="L21" s="38"/>
      <c r="M21" s="38"/>
      <c r="N21" s="38"/>
      <c r="O21" s="16">
        <f t="shared" si="0"/>
        <v>7.5330812854442347E-2</v>
      </c>
      <c r="P21" s="16">
        <f t="shared" si="0"/>
        <v>0.11940768746061751</v>
      </c>
      <c r="Q21" s="38" t="s">
        <v>67</v>
      </c>
      <c r="R21" s="38"/>
    </row>
    <row r="22" spans="1:18" s="14" customFormat="1" ht="32.25" customHeight="1" x14ac:dyDescent="0.25">
      <c r="A22" s="38" t="s">
        <v>97</v>
      </c>
      <c r="B22" s="38"/>
      <c r="C22" s="38"/>
      <c r="D22" s="38"/>
      <c r="E22" s="38"/>
      <c r="F22" s="38"/>
      <c r="G22" s="38" t="s">
        <v>100</v>
      </c>
      <c r="H22" s="38"/>
      <c r="I22" s="38"/>
      <c r="J22" s="38"/>
      <c r="K22" s="38"/>
      <c r="L22" s="38"/>
      <c r="M22" s="38"/>
      <c r="N22" s="38"/>
      <c r="O22" s="16">
        <f t="shared" si="0"/>
        <v>0.13134845620667926</v>
      </c>
      <c r="P22" s="16">
        <f t="shared" si="0"/>
        <v>0.49020163831127916</v>
      </c>
      <c r="Q22" s="38" t="s">
        <v>67</v>
      </c>
      <c r="R22" s="38"/>
    </row>
    <row r="23" spans="1:18" ht="30" customHeight="1" x14ac:dyDescent="0.25">
      <c r="A23" s="47" t="s">
        <v>72</v>
      </c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</row>
    <row r="24" spans="1:18" x14ac:dyDescent="0.25">
      <c r="A24" s="38" t="s">
        <v>73</v>
      </c>
      <c r="B24" s="38"/>
      <c r="C24" s="38"/>
      <c r="D24" s="38"/>
      <c r="E24" s="38"/>
      <c r="F24" s="38"/>
      <c r="G24" s="38" t="s">
        <v>74</v>
      </c>
      <c r="H24" s="38"/>
      <c r="I24" s="38"/>
      <c r="J24" s="38"/>
      <c r="K24" s="38"/>
      <c r="L24" s="38"/>
      <c r="M24" s="38"/>
      <c r="N24" s="38"/>
      <c r="O24" s="38">
        <v>500</v>
      </c>
      <c r="P24" s="38"/>
      <c r="Q24" s="38" t="s">
        <v>75</v>
      </c>
      <c r="R24" s="38"/>
    </row>
    <row r="25" spans="1:18" x14ac:dyDescent="0.25">
      <c r="A25" s="38" t="s">
        <v>76</v>
      </c>
      <c r="B25" s="38"/>
      <c r="C25" s="38"/>
      <c r="D25" s="38"/>
      <c r="E25" s="38"/>
      <c r="F25" s="38"/>
      <c r="G25" s="38" t="s">
        <v>77</v>
      </c>
      <c r="H25" s="38"/>
      <c r="I25" s="38"/>
      <c r="J25" s="38"/>
      <c r="K25" s="38"/>
      <c r="L25" s="38"/>
      <c r="M25" s="38"/>
      <c r="N25" s="38"/>
      <c r="O25" s="38">
        <v>5.5</v>
      </c>
      <c r="P25" s="38"/>
      <c r="Q25" s="38" t="s">
        <v>78</v>
      </c>
      <c r="R25" s="38"/>
    </row>
    <row r="26" spans="1:18" ht="15.75" customHeight="1" x14ac:dyDescent="0.25">
      <c r="A26" s="38" t="s">
        <v>79</v>
      </c>
      <c r="B26" s="38"/>
      <c r="C26" s="38"/>
      <c r="D26" s="38"/>
      <c r="E26" s="38"/>
      <c r="F26" s="38"/>
      <c r="G26" s="38" t="s">
        <v>80</v>
      </c>
      <c r="H26" s="38"/>
      <c r="I26" s="38"/>
      <c r="J26" s="38"/>
      <c r="K26" s="38"/>
      <c r="L26" s="38"/>
      <c r="M26" s="38"/>
      <c r="N26" s="38"/>
      <c r="O26" s="38">
        <v>6000</v>
      </c>
      <c r="P26" s="38"/>
      <c r="Q26" s="38" t="s">
        <v>81</v>
      </c>
      <c r="R26" s="38"/>
    </row>
    <row r="27" spans="1:18" ht="30" customHeight="1" x14ac:dyDescent="0.25">
      <c r="A27" s="47" t="s">
        <v>82</v>
      </c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</row>
    <row r="28" spans="1:18" ht="33" customHeight="1" x14ac:dyDescent="0.25">
      <c r="A28" s="38" t="s">
        <v>89</v>
      </c>
      <c r="B28" s="38"/>
      <c r="C28" s="38"/>
      <c r="D28" s="38"/>
      <c r="E28" s="38"/>
      <c r="F28" s="38"/>
      <c r="G28" s="38" t="s">
        <v>90</v>
      </c>
      <c r="H28" s="38"/>
      <c r="I28" s="38"/>
      <c r="J28" s="38"/>
      <c r="K28" s="38"/>
      <c r="L28" s="38"/>
      <c r="M28" s="38"/>
      <c r="N28" s="38"/>
      <c r="O28" s="48">
        <f>(O24*1000)/(SQRT(3)*O3*1000)</f>
        <v>20.918488014116875</v>
      </c>
      <c r="P28" s="48"/>
      <c r="Q28" s="38" t="s">
        <v>59</v>
      </c>
      <c r="R28" s="38"/>
    </row>
    <row r="29" spans="1:18" ht="30" customHeight="1" x14ac:dyDescent="0.25">
      <c r="A29" s="38" t="s">
        <v>83</v>
      </c>
      <c r="B29" s="38"/>
      <c r="C29" s="38"/>
      <c r="D29" s="38"/>
      <c r="E29" s="38"/>
      <c r="F29" s="38"/>
      <c r="G29" s="38" t="s">
        <v>84</v>
      </c>
      <c r="H29" s="38"/>
      <c r="I29" s="38"/>
      <c r="J29" s="38"/>
      <c r="K29" s="38"/>
      <c r="L29" s="38"/>
      <c r="M29" s="38"/>
      <c r="N29" s="38"/>
      <c r="O29" s="48">
        <f>((O3*1000)^2/(O24*1000))*(O25/100)</f>
        <v>20.948399999999999</v>
      </c>
      <c r="P29" s="48"/>
      <c r="Q29" s="38" t="s">
        <v>91</v>
      </c>
      <c r="R29" s="38"/>
    </row>
    <row r="30" spans="1:18" ht="39.75" customHeight="1" x14ac:dyDescent="0.25">
      <c r="A30" s="38" t="s">
        <v>85</v>
      </c>
      <c r="B30" s="38"/>
      <c r="C30" s="38"/>
      <c r="D30" s="38"/>
      <c r="E30" s="38"/>
      <c r="F30" s="38"/>
      <c r="G30" s="38" t="s">
        <v>88</v>
      </c>
      <c r="H30" s="38"/>
      <c r="I30" s="38"/>
      <c r="J30" s="38"/>
      <c r="K30" s="38"/>
      <c r="L30" s="38"/>
      <c r="M30" s="38"/>
      <c r="N30" s="38"/>
      <c r="O30" s="48">
        <f>(O26/3)/(O28^2)</f>
        <v>4.5705600000000004</v>
      </c>
      <c r="P30" s="48"/>
      <c r="Q30" s="38" t="s">
        <v>91</v>
      </c>
      <c r="R30" s="38"/>
    </row>
    <row r="31" spans="1:18" ht="33.75" customHeight="1" x14ac:dyDescent="0.25">
      <c r="A31" s="38" t="s">
        <v>86</v>
      </c>
      <c r="B31" s="38"/>
      <c r="C31" s="38"/>
      <c r="D31" s="38"/>
      <c r="E31" s="38"/>
      <c r="F31" s="38"/>
      <c r="G31" s="38" t="s">
        <v>87</v>
      </c>
      <c r="H31" s="38"/>
      <c r="I31" s="38"/>
      <c r="J31" s="38"/>
      <c r="K31" s="38"/>
      <c r="L31" s="38"/>
      <c r="M31" s="38"/>
      <c r="N31" s="38"/>
      <c r="O31" s="48">
        <f>SQRT(O29^2-O30^2)</f>
        <v>20.443714042374982</v>
      </c>
      <c r="P31" s="48"/>
      <c r="Q31" s="38" t="s">
        <v>91</v>
      </c>
      <c r="R31" s="38"/>
    </row>
    <row r="32" spans="1:18" s="15" customFormat="1" ht="48" customHeight="1" x14ac:dyDescent="0.25">
      <c r="A32" s="38" t="s">
        <v>105</v>
      </c>
      <c r="B32" s="38"/>
      <c r="C32" s="38"/>
      <c r="D32" s="38"/>
      <c r="E32" s="38"/>
      <c r="F32" s="38"/>
      <c r="G32" s="38" t="s">
        <v>84</v>
      </c>
      <c r="H32" s="38"/>
      <c r="I32" s="38"/>
      <c r="J32" s="38"/>
      <c r="K32" s="38"/>
      <c r="L32" s="38"/>
      <c r="M32" s="38"/>
      <c r="N32" s="38"/>
      <c r="O32" s="29">
        <f>O30/$O$7</f>
        <v>2.4</v>
      </c>
      <c r="P32" s="29">
        <f>O31/$O$7</f>
        <v>10.734989520255713</v>
      </c>
      <c r="Q32" s="38" t="s">
        <v>67</v>
      </c>
      <c r="R32" s="38"/>
    </row>
    <row r="33" spans="1:18" s="21" customFormat="1" x14ac:dyDescent="0.25">
      <c r="A33" s="38" t="s">
        <v>18</v>
      </c>
      <c r="B33" s="38"/>
      <c r="C33" s="38" t="s">
        <v>157</v>
      </c>
      <c r="D33" s="38"/>
      <c r="E33" s="38"/>
      <c r="F33" s="38"/>
      <c r="G33" s="38" t="s">
        <v>156</v>
      </c>
      <c r="H33" s="38"/>
      <c r="I33" s="38"/>
      <c r="J33" s="38"/>
      <c r="K33" s="38"/>
      <c r="L33" s="38"/>
      <c r="M33" s="38"/>
      <c r="N33" s="38"/>
      <c r="O33" s="48">
        <f>O28*8</f>
        <v>167.347904112935</v>
      </c>
      <c r="P33" s="48"/>
      <c r="Q33" s="38" t="s">
        <v>59</v>
      </c>
      <c r="R33" s="38"/>
    </row>
    <row r="34" spans="1:18" s="21" customFormat="1" x14ac:dyDescent="0.25">
      <c r="A34" s="38" t="s">
        <v>20</v>
      </c>
      <c r="B34" s="38"/>
      <c r="C34" s="38"/>
      <c r="D34" s="38"/>
      <c r="E34" s="38"/>
      <c r="F34" s="38"/>
      <c r="G34" s="38" t="s">
        <v>158</v>
      </c>
      <c r="H34" s="38"/>
      <c r="I34" s="38"/>
      <c r="J34" s="38"/>
      <c r="K34" s="38"/>
      <c r="L34" s="38"/>
      <c r="M34" s="38"/>
      <c r="N34" s="38"/>
      <c r="O34" s="48">
        <v>0.1</v>
      </c>
      <c r="P34" s="48"/>
      <c r="Q34" s="38" t="s">
        <v>139</v>
      </c>
      <c r="R34" s="38"/>
    </row>
    <row r="35" spans="1:18" s="26" customFormat="1" x14ac:dyDescent="0.25">
      <c r="A35" s="38" t="s">
        <v>177</v>
      </c>
      <c r="B35" s="38"/>
      <c r="C35" s="38"/>
      <c r="D35" s="38"/>
      <c r="E35" s="38"/>
      <c r="F35" s="38"/>
      <c r="G35" s="38" t="s">
        <v>178</v>
      </c>
      <c r="H35" s="38"/>
      <c r="I35" s="38"/>
      <c r="J35" s="38"/>
      <c r="K35" s="38"/>
      <c r="L35" s="38"/>
      <c r="M35" s="38"/>
      <c r="N35" s="38"/>
      <c r="O35" s="48">
        <f>O28/(O25/100)</f>
        <v>380.33614571121592</v>
      </c>
      <c r="P35" s="48"/>
      <c r="Q35" s="38" t="s">
        <v>59</v>
      </c>
      <c r="R35" s="38"/>
    </row>
    <row r="36" spans="1:18" s="26" customFormat="1" x14ac:dyDescent="0.25">
      <c r="A36" s="38" t="s">
        <v>179</v>
      </c>
      <c r="B36" s="38"/>
      <c r="C36" s="38"/>
      <c r="D36" s="38"/>
      <c r="E36" s="38"/>
      <c r="F36" s="38"/>
      <c r="G36" s="38" t="s">
        <v>180</v>
      </c>
      <c r="H36" s="38"/>
      <c r="I36" s="38"/>
      <c r="J36" s="38"/>
      <c r="K36" s="38"/>
      <c r="L36" s="38"/>
      <c r="M36" s="38"/>
      <c r="N36" s="38"/>
      <c r="O36" s="48">
        <v>3.5</v>
      </c>
      <c r="P36" s="48"/>
      <c r="Q36" s="38" t="s">
        <v>139</v>
      </c>
      <c r="R36" s="38"/>
    </row>
    <row r="37" spans="1:18" s="30" customFormat="1" ht="30" customHeight="1" x14ac:dyDescent="0.25">
      <c r="A37" s="40" t="s">
        <v>189</v>
      </c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41"/>
    </row>
    <row r="38" spans="1:18" s="19" customFormat="1" x14ac:dyDescent="0.25">
      <c r="A38" s="38"/>
      <c r="B38" s="38"/>
      <c r="C38" s="38" t="s">
        <v>138</v>
      </c>
      <c r="D38" s="38"/>
      <c r="E38" s="38"/>
      <c r="F38" s="38"/>
      <c r="G38" s="38" t="s">
        <v>190</v>
      </c>
      <c r="H38" s="38"/>
      <c r="I38" s="38"/>
      <c r="J38" s="38"/>
      <c r="K38" s="38"/>
      <c r="L38" s="38"/>
      <c r="M38" s="38"/>
      <c r="N38" s="38"/>
      <c r="O38" s="38" t="s">
        <v>5</v>
      </c>
      <c r="P38" s="38"/>
      <c r="Q38" s="38"/>
      <c r="R38" s="38"/>
    </row>
    <row r="39" spans="1:18" s="19" customFormat="1" x14ac:dyDescent="0.25">
      <c r="A39" s="38"/>
      <c r="B39" s="38"/>
      <c r="C39" s="38"/>
      <c r="D39" s="38"/>
      <c r="E39" s="38"/>
      <c r="F39" s="38"/>
      <c r="G39" s="38" t="s">
        <v>192</v>
      </c>
      <c r="H39" s="38"/>
      <c r="I39" s="38"/>
      <c r="J39" s="38"/>
      <c r="K39" s="38"/>
      <c r="L39" s="38"/>
      <c r="M39" s="38"/>
      <c r="N39" s="38"/>
      <c r="O39" s="38">
        <v>300</v>
      </c>
      <c r="P39" s="38"/>
      <c r="Q39" s="38" t="s">
        <v>59</v>
      </c>
      <c r="R39" s="38"/>
    </row>
    <row r="40" spans="1:18" s="19" customFormat="1" x14ac:dyDescent="0.25">
      <c r="A40" s="38"/>
      <c r="B40" s="38"/>
      <c r="C40" s="38"/>
      <c r="D40" s="38"/>
      <c r="E40" s="38"/>
      <c r="F40" s="38"/>
      <c r="G40" s="38" t="s">
        <v>9</v>
      </c>
      <c r="H40" s="38"/>
      <c r="I40" s="38"/>
      <c r="J40" s="38"/>
      <c r="K40" s="38"/>
      <c r="L40" s="38"/>
      <c r="M40" s="38"/>
      <c r="N40" s="38"/>
      <c r="O40" s="38">
        <v>0.315</v>
      </c>
      <c r="P40" s="38"/>
      <c r="Q40" s="38"/>
      <c r="R40" s="38"/>
    </row>
    <row r="41" spans="1:18" s="30" customFormat="1" x14ac:dyDescent="0.25">
      <c r="A41" s="38"/>
      <c r="B41" s="38"/>
      <c r="C41" s="38"/>
      <c r="D41" s="38"/>
      <c r="E41" s="38"/>
      <c r="F41" s="38"/>
      <c r="G41" s="38" t="s">
        <v>193</v>
      </c>
      <c r="H41" s="38"/>
      <c r="I41" s="38"/>
      <c r="J41" s="38"/>
      <c r="K41" s="38"/>
      <c r="L41" s="38"/>
      <c r="M41" s="38"/>
      <c r="N41" s="38"/>
      <c r="O41" s="38">
        <v>0.1</v>
      </c>
      <c r="P41" s="38"/>
      <c r="Q41" s="38" t="s">
        <v>139</v>
      </c>
      <c r="R41" s="38"/>
    </row>
    <row r="42" spans="1:18" s="30" customFormat="1" x14ac:dyDescent="0.25">
      <c r="A42" s="38"/>
      <c r="B42" s="38"/>
      <c r="C42" s="38"/>
      <c r="D42" s="38"/>
      <c r="E42" s="38"/>
      <c r="F42" s="38"/>
      <c r="G42" s="38" t="s">
        <v>194</v>
      </c>
      <c r="H42" s="38"/>
      <c r="I42" s="38"/>
      <c r="J42" s="38"/>
      <c r="K42" s="38"/>
      <c r="L42" s="38"/>
      <c r="M42" s="38"/>
      <c r="N42" s="38"/>
      <c r="O42" s="38">
        <v>4200</v>
      </c>
      <c r="P42" s="38"/>
      <c r="Q42" s="38" t="s">
        <v>59</v>
      </c>
      <c r="R42" s="38"/>
    </row>
    <row r="43" spans="1:18" s="30" customFormat="1" ht="30" customHeight="1" x14ac:dyDescent="0.25">
      <c r="A43" s="47" t="s">
        <v>191</v>
      </c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</row>
    <row r="44" spans="1:18" x14ac:dyDescent="0.25">
      <c r="A44" s="38"/>
      <c r="B44" s="38"/>
      <c r="C44" s="38" t="s">
        <v>138</v>
      </c>
      <c r="D44" s="38"/>
      <c r="E44" s="38"/>
      <c r="F44" s="38"/>
      <c r="G44" s="38" t="s">
        <v>190</v>
      </c>
      <c r="H44" s="38"/>
      <c r="I44" s="38"/>
      <c r="J44" s="38"/>
      <c r="K44" s="38"/>
      <c r="L44" s="38"/>
      <c r="M44" s="38"/>
      <c r="N44" s="38"/>
      <c r="O44" s="38" t="s">
        <v>5</v>
      </c>
      <c r="P44" s="38"/>
      <c r="Q44" s="38"/>
      <c r="R44" s="38"/>
    </row>
    <row r="45" spans="1:18" x14ac:dyDescent="0.25">
      <c r="A45" s="38"/>
      <c r="B45" s="38"/>
      <c r="C45" s="38"/>
      <c r="D45" s="38"/>
      <c r="E45" s="38"/>
      <c r="F45" s="38"/>
      <c r="G45" s="38" t="s">
        <v>192</v>
      </c>
      <c r="H45" s="38"/>
      <c r="I45" s="38"/>
      <c r="J45" s="38"/>
      <c r="K45" s="38"/>
      <c r="L45" s="38"/>
      <c r="M45" s="38"/>
      <c r="N45" s="38"/>
      <c r="O45" s="38">
        <v>24</v>
      </c>
      <c r="P45" s="38"/>
      <c r="Q45" s="38" t="s">
        <v>59</v>
      </c>
      <c r="R45" s="38"/>
    </row>
    <row r="46" spans="1:18" x14ac:dyDescent="0.25">
      <c r="A46" s="38"/>
      <c r="B46" s="38"/>
      <c r="C46" s="38"/>
      <c r="D46" s="38"/>
      <c r="E46" s="38"/>
      <c r="F46" s="38"/>
      <c r="G46" s="38" t="s">
        <v>9</v>
      </c>
      <c r="H46" s="38"/>
      <c r="I46" s="38"/>
      <c r="J46" s="38"/>
      <c r="K46" s="38"/>
      <c r="L46" s="38"/>
      <c r="M46" s="38"/>
      <c r="N46" s="38"/>
      <c r="O46" s="38">
        <v>0.64500000000000002</v>
      </c>
      <c r="P46" s="38"/>
      <c r="Q46" s="38"/>
      <c r="R46" s="38"/>
    </row>
    <row r="47" spans="1:18" s="30" customFormat="1" x14ac:dyDescent="0.25">
      <c r="A47" s="38"/>
      <c r="B47" s="38"/>
      <c r="C47" s="38"/>
      <c r="D47" s="38"/>
      <c r="E47" s="38"/>
      <c r="F47" s="38"/>
      <c r="G47" s="38" t="s">
        <v>193</v>
      </c>
      <c r="H47" s="38"/>
      <c r="I47" s="38"/>
      <c r="J47" s="38"/>
      <c r="K47" s="38"/>
      <c r="L47" s="38"/>
      <c r="M47" s="38"/>
      <c r="N47" s="38"/>
      <c r="O47" s="38">
        <v>0.1</v>
      </c>
      <c r="P47" s="38"/>
      <c r="Q47" s="38" t="s">
        <v>139</v>
      </c>
      <c r="R47" s="38"/>
    </row>
    <row r="48" spans="1:18" s="30" customFormat="1" x14ac:dyDescent="0.25">
      <c r="A48" s="38"/>
      <c r="B48" s="38"/>
      <c r="C48" s="38"/>
      <c r="D48" s="38"/>
      <c r="E48" s="38"/>
      <c r="F48" s="38"/>
      <c r="G48" s="38" t="s">
        <v>194</v>
      </c>
      <c r="H48" s="38"/>
      <c r="I48" s="38"/>
      <c r="J48" s="38"/>
      <c r="K48" s="38"/>
      <c r="L48" s="38"/>
      <c r="M48" s="38"/>
      <c r="N48" s="38"/>
      <c r="O48" s="38">
        <v>2400</v>
      </c>
      <c r="P48" s="38"/>
      <c r="Q48" s="38" t="s">
        <v>59</v>
      </c>
      <c r="R48" s="38"/>
    </row>
    <row r="49" spans="1:18" ht="30" customHeight="1" x14ac:dyDescent="0.25">
      <c r="A49" s="40" t="s">
        <v>110</v>
      </c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41"/>
    </row>
    <row r="50" spans="1:18" ht="27.75" customHeight="1" x14ac:dyDescent="0.25">
      <c r="A50" s="38" t="s">
        <v>119</v>
      </c>
      <c r="B50" s="38"/>
      <c r="C50" s="38"/>
      <c r="D50" s="38"/>
      <c r="E50" s="38"/>
      <c r="F50" s="38"/>
      <c r="G50" s="50" t="s">
        <v>106</v>
      </c>
      <c r="H50" s="50"/>
      <c r="I50" s="50"/>
      <c r="J50" s="50"/>
      <c r="K50" s="50"/>
      <c r="L50" s="50"/>
      <c r="M50" s="50"/>
      <c r="N50" s="50"/>
      <c r="O50" s="16">
        <f>O11+O20</f>
        <v>0.29163081285444237</v>
      </c>
      <c r="P50" s="16">
        <f>P11+P20</f>
        <v>0.93940768746061742</v>
      </c>
      <c r="Q50" s="51" t="s">
        <v>67</v>
      </c>
      <c r="R50" s="51"/>
    </row>
    <row r="51" spans="1:18" s="18" customFormat="1" ht="30" customHeight="1" x14ac:dyDescent="0.25">
      <c r="A51" s="38" t="s">
        <v>118</v>
      </c>
      <c r="B51" s="38"/>
      <c r="C51" s="38"/>
      <c r="D51" s="38"/>
      <c r="E51" s="38"/>
      <c r="F51" s="38"/>
      <c r="G51" s="50" t="s">
        <v>107</v>
      </c>
      <c r="H51" s="50"/>
      <c r="I51" s="50"/>
      <c r="J51" s="50"/>
      <c r="K51" s="50"/>
      <c r="L51" s="50"/>
      <c r="M51" s="50"/>
      <c r="N51" s="50"/>
      <c r="O51" s="16">
        <f>O13+O22</f>
        <v>0.13134845620667926</v>
      </c>
      <c r="P51" s="16">
        <f>P13+P22</f>
        <v>0.83143563831127909</v>
      </c>
      <c r="Q51" s="51" t="s">
        <v>67</v>
      </c>
      <c r="R51" s="51"/>
    </row>
    <row r="52" spans="1:18" ht="30" customHeight="1" x14ac:dyDescent="0.25">
      <c r="A52" s="38" t="s">
        <v>120</v>
      </c>
      <c r="B52" s="38"/>
      <c r="C52" s="38"/>
      <c r="D52" s="38"/>
      <c r="E52" s="38"/>
      <c r="F52" s="38"/>
      <c r="G52" s="38" t="s">
        <v>108</v>
      </c>
      <c r="H52" s="38"/>
      <c r="I52" s="38"/>
      <c r="J52" s="38"/>
      <c r="K52" s="38"/>
      <c r="L52" s="38"/>
      <c r="M52" s="38"/>
      <c r="N52" s="38"/>
      <c r="O52" s="49">
        <f>$O$6/IMABS(COMPLEX(O50,P50))</f>
        <v>4253.3083536317963</v>
      </c>
      <c r="P52" s="49"/>
      <c r="Q52" s="43" t="s">
        <v>59</v>
      </c>
      <c r="R52" s="43"/>
    </row>
    <row r="53" spans="1:18" ht="30.75" customHeight="1" x14ac:dyDescent="0.25">
      <c r="A53" s="38" t="s">
        <v>121</v>
      </c>
      <c r="B53" s="38"/>
      <c r="C53" s="38"/>
      <c r="D53" s="38"/>
      <c r="E53" s="38"/>
      <c r="F53" s="38"/>
      <c r="G53" s="38" t="s">
        <v>109</v>
      </c>
      <c r="H53" s="38"/>
      <c r="I53" s="38"/>
      <c r="J53" s="38"/>
      <c r="K53" s="38"/>
      <c r="L53" s="38"/>
      <c r="M53" s="38"/>
      <c r="N53" s="38"/>
      <c r="O53" s="49">
        <f>(SQRT(3)/2)*O52</f>
        <v>3683.473084373702</v>
      </c>
      <c r="P53" s="49"/>
      <c r="Q53" s="43" t="s">
        <v>59</v>
      </c>
      <c r="R53" s="43"/>
    </row>
    <row r="54" spans="1:18" ht="34.5" customHeight="1" x14ac:dyDescent="0.25">
      <c r="A54" s="38" t="s">
        <v>122</v>
      </c>
      <c r="B54" s="38"/>
      <c r="C54" s="38"/>
      <c r="D54" s="38"/>
      <c r="E54" s="38"/>
      <c r="F54" s="38"/>
      <c r="G54" s="38" t="s">
        <v>111</v>
      </c>
      <c r="H54" s="38"/>
      <c r="I54" s="38"/>
      <c r="J54" s="38"/>
      <c r="K54" s="38"/>
      <c r="L54" s="38"/>
      <c r="M54" s="38"/>
      <c r="N54" s="38"/>
      <c r="O54" s="49">
        <f>(3*$O$6)/IMABS(COMPLEX(2*O50+O51,2*P50+P51))</f>
        <v>4477.9296063817819</v>
      </c>
      <c r="P54" s="49"/>
      <c r="Q54" s="43" t="s">
        <v>59</v>
      </c>
      <c r="R54" s="43"/>
    </row>
    <row r="55" spans="1:18" ht="42.75" customHeight="1" x14ac:dyDescent="0.25">
      <c r="A55" s="38" t="s">
        <v>123</v>
      </c>
      <c r="B55" s="38"/>
      <c r="C55" s="38"/>
      <c r="D55" s="38"/>
      <c r="E55" s="38"/>
      <c r="F55" s="38"/>
      <c r="G55" s="38" t="s">
        <v>112</v>
      </c>
      <c r="H55" s="38"/>
      <c r="I55" s="38"/>
      <c r="J55" s="38"/>
      <c r="K55" s="38"/>
      <c r="L55" s="38"/>
      <c r="M55" s="38"/>
      <c r="N55" s="38"/>
      <c r="O55" s="49">
        <f>(3*$O$6)/IMABS(COMPLEX(2*O50+O51+3*O9,2*P50+P51+3*P9))</f>
        <v>78.325972099303485</v>
      </c>
      <c r="P55" s="49"/>
      <c r="Q55" s="43" t="s">
        <v>59</v>
      </c>
      <c r="R55" s="43"/>
    </row>
    <row r="56" spans="1:18" s="19" customFormat="1" ht="45" customHeight="1" x14ac:dyDescent="0.25">
      <c r="A56" s="38" t="s">
        <v>132</v>
      </c>
      <c r="B56" s="38"/>
      <c r="C56" s="38"/>
      <c r="D56" s="38"/>
      <c r="E56" s="38"/>
      <c r="F56" s="38"/>
      <c r="G56" s="38" t="s">
        <v>133</v>
      </c>
      <c r="H56" s="38"/>
      <c r="I56" s="38"/>
      <c r="J56" s="38"/>
      <c r="K56" s="38"/>
      <c r="L56" s="38"/>
      <c r="M56" s="38"/>
      <c r="N56" s="38"/>
      <c r="O56" s="39">
        <f>SQRT(1+2*EXP(-((2*(1/240))/(P50/(377*O50)))))</f>
        <v>1.324445706620146</v>
      </c>
      <c r="P56" s="39"/>
      <c r="Q56" s="38"/>
      <c r="R56" s="38"/>
    </row>
    <row r="57" spans="1:18" s="19" customFormat="1" x14ac:dyDescent="0.25">
      <c r="A57" s="38" t="s">
        <v>135</v>
      </c>
      <c r="B57" s="38"/>
      <c r="C57" s="38" t="s">
        <v>166</v>
      </c>
      <c r="D57" s="38"/>
      <c r="E57" s="38"/>
      <c r="F57" s="38"/>
      <c r="G57" s="43" t="s">
        <v>136</v>
      </c>
      <c r="H57" s="43"/>
      <c r="I57" s="43"/>
      <c r="J57" s="43"/>
      <c r="K57" s="43"/>
      <c r="L57" s="43"/>
      <c r="M57" s="43"/>
      <c r="N57" s="43"/>
      <c r="O57" s="48">
        <f>O56*O54</f>
        <v>5930.7746417195913</v>
      </c>
      <c r="P57" s="48"/>
      <c r="Q57" s="38" t="s">
        <v>59</v>
      </c>
      <c r="R57" s="38"/>
    </row>
    <row r="58" spans="1:18" s="19" customFormat="1" ht="30" customHeight="1" x14ac:dyDescent="0.25">
      <c r="A58" s="40" t="s">
        <v>195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41"/>
    </row>
    <row r="59" spans="1:18" s="26" customFormat="1" x14ac:dyDescent="0.25">
      <c r="A59" s="38" t="s">
        <v>175</v>
      </c>
      <c r="B59" s="38"/>
      <c r="C59" s="38"/>
      <c r="D59" s="38"/>
      <c r="E59" s="38"/>
      <c r="F59" s="38"/>
      <c r="G59" s="38" t="s">
        <v>176</v>
      </c>
      <c r="H59" s="38"/>
      <c r="I59" s="38"/>
      <c r="J59" s="38"/>
      <c r="K59" s="38"/>
      <c r="L59" s="38"/>
      <c r="M59" s="38"/>
      <c r="N59" s="38"/>
      <c r="O59" s="38">
        <v>20</v>
      </c>
      <c r="P59" s="38"/>
      <c r="Q59" s="38"/>
      <c r="R59" s="38"/>
    </row>
    <row r="60" spans="1:18" x14ac:dyDescent="0.25">
      <c r="A60" s="45" t="s">
        <v>124</v>
      </c>
      <c r="B60" s="45"/>
      <c r="C60" s="45"/>
      <c r="D60" s="45"/>
      <c r="E60" s="45"/>
      <c r="F60" s="45"/>
      <c r="G60" s="43" t="s">
        <v>151</v>
      </c>
      <c r="H60" s="43"/>
      <c r="I60" s="43"/>
      <c r="J60" s="43"/>
      <c r="K60" s="43"/>
      <c r="L60" s="43"/>
      <c r="M60" s="43"/>
      <c r="N60" s="43"/>
      <c r="O60" s="48">
        <f>O57/O59</f>
        <v>296.53873208597958</v>
      </c>
      <c r="P60" s="48"/>
      <c r="Q60" s="38" t="s">
        <v>59</v>
      </c>
      <c r="R60" s="38"/>
    </row>
    <row r="61" spans="1:18" x14ac:dyDescent="0.25">
      <c r="A61" s="46"/>
      <c r="B61" s="46"/>
      <c r="C61" s="46"/>
      <c r="D61" s="46"/>
      <c r="E61" s="46"/>
      <c r="F61" s="46"/>
      <c r="G61" s="38" t="s">
        <v>125</v>
      </c>
      <c r="H61" s="38"/>
      <c r="I61" s="38"/>
      <c r="J61" s="38"/>
      <c r="K61" s="38"/>
      <c r="L61" s="38"/>
      <c r="M61" s="38"/>
      <c r="N61" s="38"/>
      <c r="O61" s="23" t="s">
        <v>126</v>
      </c>
      <c r="P61" s="23">
        <v>60</v>
      </c>
      <c r="Q61" s="38" t="s">
        <v>127</v>
      </c>
      <c r="R61" s="38"/>
    </row>
    <row r="62" spans="1:18" s="26" customFormat="1" x14ac:dyDescent="0.25">
      <c r="A62" s="38" t="s">
        <v>169</v>
      </c>
      <c r="B62" s="38"/>
      <c r="C62" s="38"/>
      <c r="D62" s="38"/>
      <c r="E62" s="38"/>
      <c r="F62" s="38"/>
      <c r="G62" s="38" t="s">
        <v>170</v>
      </c>
      <c r="H62" s="38"/>
      <c r="I62" s="38"/>
      <c r="J62" s="38"/>
      <c r="K62" s="38"/>
      <c r="L62" s="38"/>
      <c r="M62" s="38"/>
      <c r="N62" s="38"/>
      <c r="O62" s="38">
        <v>0.1</v>
      </c>
      <c r="P62" s="38"/>
      <c r="Q62" s="38" t="s">
        <v>103</v>
      </c>
      <c r="R62" s="38"/>
    </row>
    <row r="63" spans="1:18" s="26" customFormat="1" ht="27" customHeight="1" x14ac:dyDescent="0.25">
      <c r="A63" s="38" t="s">
        <v>171</v>
      </c>
      <c r="B63" s="38"/>
      <c r="C63" s="38"/>
      <c r="D63" s="38"/>
      <c r="E63" s="38"/>
      <c r="F63" s="38"/>
      <c r="G63" s="38" t="s">
        <v>172</v>
      </c>
      <c r="H63" s="38"/>
      <c r="I63" s="38"/>
      <c r="J63" s="38"/>
      <c r="K63" s="38"/>
      <c r="L63" s="38"/>
      <c r="M63" s="38"/>
      <c r="N63" s="38"/>
      <c r="O63" s="48">
        <f>(O57*O62)/P61</f>
        <v>9.8846244028659864</v>
      </c>
      <c r="P63" s="48"/>
      <c r="Q63" s="38" t="s">
        <v>53</v>
      </c>
      <c r="R63" s="38"/>
    </row>
    <row r="64" spans="1:18" s="26" customFormat="1" x14ac:dyDescent="0.25">
      <c r="A64" s="38" t="s">
        <v>153</v>
      </c>
      <c r="B64" s="38"/>
      <c r="C64" s="38"/>
      <c r="D64" s="38"/>
      <c r="E64" s="38"/>
      <c r="F64" s="38"/>
      <c r="G64" s="38" t="s">
        <v>174</v>
      </c>
      <c r="H64" s="38"/>
      <c r="I64" s="38"/>
      <c r="J64" s="38"/>
      <c r="K64" s="38"/>
      <c r="L64" s="38"/>
      <c r="M64" s="38"/>
      <c r="N64" s="38"/>
      <c r="O64" s="38" t="s">
        <v>173</v>
      </c>
      <c r="P64" s="38"/>
      <c r="Q64" s="38"/>
      <c r="R64" s="38"/>
    </row>
    <row r="65" spans="1:18" ht="30" customHeight="1" x14ac:dyDescent="0.25">
      <c r="A65" s="40" t="s">
        <v>128</v>
      </c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41"/>
    </row>
    <row r="66" spans="1:18" s="19" customFormat="1" x14ac:dyDescent="0.25">
      <c r="A66" s="38" t="s">
        <v>130</v>
      </c>
      <c r="B66" s="38"/>
      <c r="C66" s="38"/>
      <c r="D66" s="38"/>
      <c r="E66" s="38"/>
      <c r="F66" s="38"/>
      <c r="G66" s="38" t="s">
        <v>131</v>
      </c>
      <c r="H66" s="38"/>
      <c r="I66" s="38"/>
      <c r="J66" s="38"/>
      <c r="K66" s="38"/>
      <c r="L66" s="38"/>
      <c r="M66" s="38"/>
      <c r="N66" s="38"/>
      <c r="O66" s="38">
        <v>1.2</v>
      </c>
      <c r="P66" s="38"/>
      <c r="Q66" s="38"/>
      <c r="R66" s="38"/>
    </row>
    <row r="67" spans="1:18" ht="29.25" customHeight="1" x14ac:dyDescent="0.25">
      <c r="A67" s="38" t="s">
        <v>129</v>
      </c>
      <c r="B67" s="38"/>
      <c r="C67" s="38"/>
      <c r="D67" s="38"/>
      <c r="E67" s="38"/>
      <c r="F67" s="38"/>
      <c r="G67" s="38" t="s">
        <v>145</v>
      </c>
      <c r="H67" s="38"/>
      <c r="I67" s="38"/>
      <c r="J67" s="38"/>
      <c r="K67" s="38"/>
      <c r="L67" s="38"/>
      <c r="M67" s="38"/>
      <c r="N67" s="38"/>
      <c r="O67" s="39">
        <f>(O66*O28)/P61</f>
        <v>0.41836976028233752</v>
      </c>
      <c r="P67" s="39"/>
      <c r="Q67" s="38" t="s">
        <v>59</v>
      </c>
      <c r="R67" s="38"/>
    </row>
    <row r="68" spans="1:18" x14ac:dyDescent="0.25">
      <c r="A68" s="38" t="s">
        <v>134</v>
      </c>
      <c r="B68" s="38"/>
      <c r="C68" s="38" t="s">
        <v>149</v>
      </c>
      <c r="D68" s="38"/>
      <c r="E68" s="38"/>
      <c r="F68" s="38"/>
      <c r="G68" s="38" t="s">
        <v>146</v>
      </c>
      <c r="H68" s="38"/>
      <c r="I68" s="38"/>
      <c r="J68" s="38"/>
      <c r="K68" s="38"/>
      <c r="L68" s="38"/>
      <c r="M68" s="38"/>
      <c r="N68" s="38"/>
      <c r="O68" s="42">
        <f>O67*P61</f>
        <v>25.10218561694025</v>
      </c>
      <c r="P68" s="42"/>
      <c r="Q68" s="38" t="s">
        <v>59</v>
      </c>
      <c r="R68" s="38"/>
    </row>
    <row r="69" spans="1:18" s="19" customFormat="1" x14ac:dyDescent="0.25">
      <c r="A69" s="38" t="s">
        <v>153</v>
      </c>
      <c r="B69" s="38"/>
      <c r="C69" s="43" t="s">
        <v>152</v>
      </c>
      <c r="D69" s="43"/>
      <c r="E69" s="43"/>
      <c r="F69" s="43"/>
      <c r="G69" s="43" t="s">
        <v>200</v>
      </c>
      <c r="H69" s="43"/>
      <c r="I69" s="43"/>
      <c r="J69" s="43"/>
      <c r="K69" s="43"/>
      <c r="L69" s="43"/>
      <c r="M69" s="43"/>
      <c r="N69" s="43"/>
      <c r="O69" s="39">
        <f>Auxiliar!H3</f>
        <v>0.56650021785249438</v>
      </c>
      <c r="P69" s="39"/>
      <c r="Q69" s="38" t="s">
        <v>139</v>
      </c>
      <c r="R69" s="38"/>
    </row>
    <row r="70" spans="1:18" s="19" customFormat="1" x14ac:dyDescent="0.25">
      <c r="A70" s="38" t="s">
        <v>137</v>
      </c>
      <c r="B70" s="38"/>
      <c r="C70" s="38" t="s">
        <v>201</v>
      </c>
      <c r="D70" s="38"/>
      <c r="E70" s="38"/>
      <c r="F70" s="38"/>
      <c r="G70" s="38" t="s">
        <v>143</v>
      </c>
      <c r="H70" s="38"/>
      <c r="I70" s="38"/>
      <c r="J70" s="38"/>
      <c r="K70" s="38"/>
      <c r="L70" s="38"/>
      <c r="M70" s="38"/>
      <c r="N70" s="38"/>
      <c r="O70" s="38">
        <v>0.5</v>
      </c>
      <c r="P70" s="38"/>
      <c r="Q70" s="38" t="s">
        <v>139</v>
      </c>
      <c r="R70" s="38"/>
    </row>
    <row r="71" spans="1:18" s="19" customFormat="1" x14ac:dyDescent="0.25">
      <c r="A71" s="38"/>
      <c r="B71" s="38"/>
      <c r="C71" s="38"/>
      <c r="D71" s="38"/>
      <c r="E71" s="38"/>
      <c r="F71" s="38"/>
      <c r="G71" s="38" t="s">
        <v>190</v>
      </c>
      <c r="H71" s="38"/>
      <c r="I71" s="38"/>
      <c r="J71" s="38"/>
      <c r="K71" s="38"/>
      <c r="L71" s="38"/>
      <c r="M71" s="38"/>
      <c r="N71" s="38"/>
      <c r="O71" s="38" t="s">
        <v>5</v>
      </c>
      <c r="P71" s="38"/>
      <c r="Q71" s="38"/>
      <c r="R71" s="38"/>
    </row>
    <row r="72" spans="1:18" s="19" customFormat="1" x14ac:dyDescent="0.25">
      <c r="A72" s="38" t="s">
        <v>0</v>
      </c>
      <c r="B72" s="38"/>
      <c r="C72" s="38"/>
      <c r="D72" s="38"/>
      <c r="E72" s="38"/>
      <c r="F72" s="38"/>
      <c r="G72" s="38" t="s">
        <v>141</v>
      </c>
      <c r="H72" s="38"/>
      <c r="I72" s="38"/>
      <c r="J72" s="38"/>
      <c r="K72" s="38"/>
      <c r="L72" s="38"/>
      <c r="M72" s="38"/>
      <c r="N72" s="38"/>
      <c r="O72" s="42">
        <f>Auxiliar!Q3</f>
        <v>0.49586432806902692</v>
      </c>
      <c r="P72" s="42"/>
      <c r="Q72" s="38"/>
      <c r="R72" s="38"/>
    </row>
    <row r="73" spans="1:18" s="21" customFormat="1" ht="30" customHeight="1" x14ac:dyDescent="0.25">
      <c r="A73" s="40" t="s">
        <v>150</v>
      </c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41"/>
    </row>
    <row r="74" spans="1:18" s="32" customFormat="1" x14ac:dyDescent="0.25">
      <c r="A74" s="38" t="s">
        <v>196</v>
      </c>
      <c r="B74" s="38"/>
      <c r="C74" s="38"/>
      <c r="D74" s="38"/>
      <c r="E74" s="38"/>
      <c r="F74" s="38"/>
      <c r="G74" s="38" t="s">
        <v>197</v>
      </c>
      <c r="H74" s="38"/>
      <c r="I74" s="38"/>
      <c r="J74" s="38"/>
      <c r="K74" s="38"/>
      <c r="L74" s="38"/>
      <c r="M74" s="38"/>
      <c r="N74" s="38"/>
      <c r="O74" s="58">
        <v>60</v>
      </c>
      <c r="P74" s="58"/>
      <c r="Q74" s="38" t="s">
        <v>78</v>
      </c>
      <c r="R74" s="38"/>
    </row>
    <row r="75" spans="1:18" s="30" customFormat="1" ht="30" customHeight="1" x14ac:dyDescent="0.25">
      <c r="A75" s="38" t="s">
        <v>183</v>
      </c>
      <c r="B75" s="38"/>
      <c r="C75" s="38"/>
      <c r="D75" s="38"/>
      <c r="E75" s="38"/>
      <c r="F75" s="38"/>
      <c r="G75" s="38" t="s">
        <v>181</v>
      </c>
      <c r="H75" s="38"/>
      <c r="I75" s="38"/>
      <c r="J75" s="38"/>
      <c r="K75" s="38"/>
      <c r="L75" s="38"/>
      <c r="M75" s="38"/>
      <c r="N75" s="38"/>
      <c r="O75" s="42">
        <f>(O74*$O$52)/($P$61*100)</f>
        <v>42.533083536317967</v>
      </c>
      <c r="P75" s="42"/>
      <c r="Q75" s="38" t="s">
        <v>59</v>
      </c>
      <c r="R75" s="38"/>
    </row>
    <row r="76" spans="1:18" s="30" customFormat="1" x14ac:dyDescent="0.25">
      <c r="A76" s="38" t="s">
        <v>184</v>
      </c>
      <c r="B76" s="38"/>
      <c r="C76" s="38" t="s">
        <v>185</v>
      </c>
      <c r="D76" s="38"/>
      <c r="E76" s="38"/>
      <c r="F76" s="38"/>
      <c r="G76" s="38" t="s">
        <v>182</v>
      </c>
      <c r="H76" s="38"/>
      <c r="I76" s="38"/>
      <c r="J76" s="38"/>
      <c r="K76" s="38"/>
      <c r="L76" s="38"/>
      <c r="M76" s="38"/>
      <c r="N76" s="38"/>
      <c r="O76" s="48">
        <f>$O$75*$P$61</f>
        <v>2551.9850121790782</v>
      </c>
      <c r="P76" s="48"/>
      <c r="Q76" s="38" t="s">
        <v>59</v>
      </c>
      <c r="R76" s="38"/>
    </row>
    <row r="77" spans="1:18" s="21" customFormat="1" x14ac:dyDescent="0.25">
      <c r="A77" s="38" t="s">
        <v>148</v>
      </c>
      <c r="B77" s="38"/>
      <c r="C77" s="38"/>
      <c r="D77" s="38"/>
      <c r="E77" s="38"/>
      <c r="F77" s="38"/>
      <c r="G77" s="44" t="s">
        <v>147</v>
      </c>
      <c r="H77" s="44"/>
      <c r="I77" s="44"/>
      <c r="J77" s="44"/>
      <c r="K77" s="44"/>
      <c r="L77" s="44"/>
      <c r="M77" s="44"/>
      <c r="N77" s="44"/>
      <c r="O77" s="42">
        <v>0.05</v>
      </c>
      <c r="P77" s="42"/>
      <c r="Q77" s="38" t="s">
        <v>139</v>
      </c>
      <c r="R77" s="38"/>
    </row>
    <row r="78" spans="1:18" ht="30" customHeight="1" x14ac:dyDescent="0.25">
      <c r="A78" s="40" t="s">
        <v>159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41"/>
    </row>
    <row r="79" spans="1:18" x14ac:dyDescent="0.25">
      <c r="A79" s="38" t="s">
        <v>162</v>
      </c>
      <c r="B79" s="38"/>
      <c r="C79" s="38"/>
      <c r="D79" s="38"/>
      <c r="E79" s="38"/>
      <c r="F79" s="38"/>
      <c r="G79" s="38" t="s">
        <v>161</v>
      </c>
      <c r="H79" s="38"/>
      <c r="I79" s="38"/>
      <c r="J79" s="38"/>
      <c r="K79" s="38"/>
      <c r="L79" s="38"/>
      <c r="M79" s="38"/>
      <c r="N79" s="38"/>
      <c r="O79" s="38">
        <v>0.2</v>
      </c>
      <c r="P79" s="38"/>
      <c r="Q79" s="38"/>
      <c r="R79" s="38"/>
    </row>
    <row r="80" spans="1:18" ht="29.25" customHeight="1" x14ac:dyDescent="0.25">
      <c r="A80" s="38" t="s">
        <v>163</v>
      </c>
      <c r="B80" s="38"/>
      <c r="C80" s="38"/>
      <c r="D80" s="38"/>
      <c r="E80" s="38"/>
      <c r="F80" s="38"/>
      <c r="G80" s="38" t="s">
        <v>145</v>
      </c>
      <c r="H80" s="38"/>
      <c r="I80" s="38"/>
      <c r="J80" s="38"/>
      <c r="K80" s="38"/>
      <c r="L80" s="38"/>
      <c r="M80" s="38"/>
      <c r="N80" s="38"/>
      <c r="O80" s="39">
        <f>(O79*O68)/P61</f>
        <v>8.3673952056467507E-2</v>
      </c>
      <c r="P80" s="39"/>
      <c r="Q80" s="38" t="s">
        <v>59</v>
      </c>
      <c r="R80" s="38"/>
    </row>
    <row r="81" spans="1:18" x14ac:dyDescent="0.25">
      <c r="A81" s="38" t="s">
        <v>164</v>
      </c>
      <c r="B81" s="38"/>
      <c r="C81" s="38" t="s">
        <v>149</v>
      </c>
      <c r="D81" s="38"/>
      <c r="E81" s="38"/>
      <c r="F81" s="38"/>
      <c r="G81" s="38" t="s">
        <v>146</v>
      </c>
      <c r="H81" s="38"/>
      <c r="I81" s="38"/>
      <c r="J81" s="38"/>
      <c r="K81" s="38"/>
      <c r="L81" s="38"/>
      <c r="M81" s="38"/>
      <c r="N81" s="38"/>
      <c r="O81" s="42">
        <f>O80*P61</f>
        <v>5.0204371233880503</v>
      </c>
      <c r="P81" s="42"/>
      <c r="Q81" s="38" t="s">
        <v>59</v>
      </c>
      <c r="R81" s="38"/>
    </row>
    <row r="82" spans="1:18" x14ac:dyDescent="0.25">
      <c r="A82" s="38" t="s">
        <v>153</v>
      </c>
      <c r="B82" s="38"/>
      <c r="C82" s="43" t="s">
        <v>152</v>
      </c>
      <c r="D82" s="43"/>
      <c r="E82" s="43"/>
      <c r="F82" s="43"/>
      <c r="G82" s="38" t="s">
        <v>199</v>
      </c>
      <c r="H82" s="38"/>
      <c r="I82" s="38"/>
      <c r="J82" s="38"/>
      <c r="K82" s="38"/>
      <c r="L82" s="38"/>
      <c r="M82" s="38"/>
      <c r="N82" s="38"/>
      <c r="O82" s="39">
        <f>Auxiliar!H8</f>
        <v>3.8467788412143169</v>
      </c>
      <c r="P82" s="39"/>
      <c r="Q82" s="38" t="s">
        <v>139</v>
      </c>
      <c r="R82" s="38"/>
    </row>
    <row r="83" spans="1:18" x14ac:dyDescent="0.25">
      <c r="A83" s="38" t="s">
        <v>137</v>
      </c>
      <c r="B83" s="38"/>
      <c r="C83" s="38" t="s">
        <v>201</v>
      </c>
      <c r="D83" s="38"/>
      <c r="E83" s="38"/>
      <c r="F83" s="38"/>
      <c r="G83" s="38" t="s">
        <v>143</v>
      </c>
      <c r="H83" s="38"/>
      <c r="I83" s="38"/>
      <c r="J83" s="38"/>
      <c r="K83" s="38"/>
      <c r="L83" s="38"/>
      <c r="M83" s="38"/>
      <c r="N83" s="38"/>
      <c r="O83" s="38">
        <v>3.1</v>
      </c>
      <c r="P83" s="38"/>
      <c r="Q83" s="38" t="s">
        <v>139</v>
      </c>
      <c r="R83" s="38"/>
    </row>
    <row r="84" spans="1:18" x14ac:dyDescent="0.25">
      <c r="A84" s="38"/>
      <c r="B84" s="38"/>
      <c r="C84" s="38"/>
      <c r="D84" s="38"/>
      <c r="E84" s="38"/>
      <c r="F84" s="38"/>
      <c r="G84" s="38" t="s">
        <v>140</v>
      </c>
      <c r="H84" s="38"/>
      <c r="I84" s="38"/>
      <c r="J84" s="38"/>
      <c r="K84" s="38"/>
      <c r="L84" s="38"/>
      <c r="M84" s="38"/>
      <c r="N84" s="38"/>
      <c r="O84" s="38" t="s">
        <v>5</v>
      </c>
      <c r="P84" s="38"/>
      <c r="Q84" s="38"/>
      <c r="R84" s="38"/>
    </row>
    <row r="85" spans="1:18" x14ac:dyDescent="0.25">
      <c r="A85" s="38" t="s">
        <v>0</v>
      </c>
      <c r="B85" s="38"/>
      <c r="C85" s="38"/>
      <c r="D85" s="38"/>
      <c r="E85" s="38"/>
      <c r="F85" s="38"/>
      <c r="G85" s="38" t="s">
        <v>141</v>
      </c>
      <c r="H85" s="38"/>
      <c r="I85" s="38"/>
      <c r="J85" s="38"/>
      <c r="K85" s="38"/>
      <c r="L85" s="38"/>
      <c r="M85" s="38"/>
      <c r="N85" s="38"/>
      <c r="O85" s="39">
        <f>Auxiliar!Q8</f>
        <v>0.80770630153690648</v>
      </c>
      <c r="P85" s="39"/>
      <c r="Q85" s="38"/>
      <c r="R85" s="38"/>
    </row>
    <row r="86" spans="1:18" ht="30" customHeight="1" x14ac:dyDescent="0.25">
      <c r="A86" s="40" t="s">
        <v>160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41"/>
    </row>
    <row r="87" spans="1:18" s="32" customFormat="1" x14ac:dyDescent="0.25">
      <c r="A87" s="38" t="s">
        <v>196</v>
      </c>
      <c r="B87" s="38"/>
      <c r="C87" s="38"/>
      <c r="D87" s="38"/>
      <c r="E87" s="38"/>
      <c r="F87" s="38"/>
      <c r="G87" s="38" t="s">
        <v>197</v>
      </c>
      <c r="H87" s="38"/>
      <c r="I87" s="38"/>
      <c r="J87" s="38"/>
      <c r="K87" s="38"/>
      <c r="L87" s="38"/>
      <c r="M87" s="38"/>
      <c r="N87" s="38"/>
      <c r="O87" s="58">
        <v>25</v>
      </c>
      <c r="P87" s="58"/>
      <c r="Q87" s="38" t="s">
        <v>78</v>
      </c>
      <c r="R87" s="38"/>
    </row>
    <row r="88" spans="1:18" s="30" customFormat="1" ht="30" customHeight="1" x14ac:dyDescent="0.25">
      <c r="A88" s="38" t="s">
        <v>186</v>
      </c>
      <c r="B88" s="38"/>
      <c r="C88" s="38"/>
      <c r="D88" s="38"/>
      <c r="E88" s="38"/>
      <c r="F88" s="38"/>
      <c r="G88" s="38" t="s">
        <v>181</v>
      </c>
      <c r="H88" s="38"/>
      <c r="I88" s="38"/>
      <c r="J88" s="38"/>
      <c r="K88" s="38"/>
      <c r="L88" s="38"/>
      <c r="M88" s="38"/>
      <c r="N88" s="38"/>
      <c r="O88" s="42">
        <f>(O87*$O$54)/($P$61*100)</f>
        <v>18.658040026590758</v>
      </c>
      <c r="P88" s="42"/>
      <c r="Q88" s="38" t="s">
        <v>59</v>
      </c>
      <c r="R88" s="38"/>
    </row>
    <row r="89" spans="1:18" s="30" customFormat="1" x14ac:dyDescent="0.25">
      <c r="A89" s="38" t="s">
        <v>187</v>
      </c>
      <c r="B89" s="38"/>
      <c r="C89" s="38" t="s">
        <v>188</v>
      </c>
      <c r="D89" s="38"/>
      <c r="E89" s="38"/>
      <c r="F89" s="38"/>
      <c r="G89" s="38" t="s">
        <v>182</v>
      </c>
      <c r="H89" s="38"/>
      <c r="I89" s="38"/>
      <c r="J89" s="38"/>
      <c r="K89" s="38"/>
      <c r="L89" s="38"/>
      <c r="M89" s="38"/>
      <c r="N89" s="38"/>
      <c r="O89" s="48">
        <f>$O$88*$P$61</f>
        <v>1119.4824015954455</v>
      </c>
      <c r="P89" s="48"/>
      <c r="Q89" s="38" t="s">
        <v>59</v>
      </c>
      <c r="R89" s="38"/>
    </row>
    <row r="90" spans="1:18" s="30" customFormat="1" x14ac:dyDescent="0.25">
      <c r="A90" s="38" t="s">
        <v>148</v>
      </c>
      <c r="B90" s="38"/>
      <c r="C90" s="38"/>
      <c r="D90" s="38"/>
      <c r="E90" s="38"/>
      <c r="F90" s="38"/>
      <c r="G90" s="44" t="s">
        <v>147</v>
      </c>
      <c r="H90" s="44"/>
      <c r="I90" s="44"/>
      <c r="J90" s="44"/>
      <c r="K90" s="44"/>
      <c r="L90" s="44"/>
      <c r="M90" s="44"/>
      <c r="N90" s="44"/>
      <c r="O90" s="42">
        <v>0.05</v>
      </c>
      <c r="P90" s="42"/>
      <c r="Q90" s="38" t="s">
        <v>139</v>
      </c>
      <c r="R90" s="38"/>
    </row>
    <row r="98" spans="1:1" x14ac:dyDescent="0.25">
      <c r="A98" s="31" t="s">
        <v>165</v>
      </c>
    </row>
  </sheetData>
  <mergeCells count="378">
    <mergeCell ref="C64:F64"/>
    <mergeCell ref="G64:N64"/>
    <mergeCell ref="O64:P64"/>
    <mergeCell ref="Q64:R64"/>
    <mergeCell ref="A74:B74"/>
    <mergeCell ref="C74:F74"/>
    <mergeCell ref="A35:B35"/>
    <mergeCell ref="C35:F35"/>
    <mergeCell ref="G35:N35"/>
    <mergeCell ref="O35:P35"/>
    <mergeCell ref="Q35:R35"/>
    <mergeCell ref="A36:B36"/>
    <mergeCell ref="C36:F36"/>
    <mergeCell ref="G36:N36"/>
    <mergeCell ref="O36:P36"/>
    <mergeCell ref="Q36:R36"/>
    <mergeCell ref="A76:B76"/>
    <mergeCell ref="C76:F76"/>
    <mergeCell ref="G76:N76"/>
    <mergeCell ref="O76:P76"/>
    <mergeCell ref="Q76:R76"/>
    <mergeCell ref="A87:B87"/>
    <mergeCell ref="C87:F87"/>
    <mergeCell ref="G87:N87"/>
    <mergeCell ref="O87:P87"/>
    <mergeCell ref="Q87:R87"/>
    <mergeCell ref="G90:N90"/>
    <mergeCell ref="O90:P90"/>
    <mergeCell ref="Q90:R90"/>
    <mergeCell ref="A88:B88"/>
    <mergeCell ref="C88:F88"/>
    <mergeCell ref="G88:N88"/>
    <mergeCell ref="O88:P88"/>
    <mergeCell ref="Q88:R88"/>
    <mergeCell ref="A89:B89"/>
    <mergeCell ref="C89:F89"/>
    <mergeCell ref="G89:N89"/>
    <mergeCell ref="O89:P89"/>
    <mergeCell ref="Q89:R89"/>
    <mergeCell ref="A90:B90"/>
    <mergeCell ref="C90:F90"/>
    <mergeCell ref="A59:B59"/>
    <mergeCell ref="C59:F59"/>
    <mergeCell ref="G59:N59"/>
    <mergeCell ref="O59:P59"/>
    <mergeCell ref="Q59:R59"/>
    <mergeCell ref="O70:P70"/>
    <mergeCell ref="Q70:R70"/>
    <mergeCell ref="A71:B71"/>
    <mergeCell ref="C71:F71"/>
    <mergeCell ref="G71:N71"/>
    <mergeCell ref="O71:P71"/>
    <mergeCell ref="Q71:R71"/>
    <mergeCell ref="O62:P62"/>
    <mergeCell ref="Q62:R62"/>
    <mergeCell ref="A63:B63"/>
    <mergeCell ref="C63:F63"/>
    <mergeCell ref="A68:B68"/>
    <mergeCell ref="C68:F68"/>
    <mergeCell ref="G68:N68"/>
    <mergeCell ref="O68:P68"/>
    <mergeCell ref="Q68:R68"/>
    <mergeCell ref="A67:B67"/>
    <mergeCell ref="C67:F67"/>
    <mergeCell ref="G67:N67"/>
    <mergeCell ref="A69:B69"/>
    <mergeCell ref="C69:F69"/>
    <mergeCell ref="G69:N69"/>
    <mergeCell ref="O69:P69"/>
    <mergeCell ref="Q69:R69"/>
    <mergeCell ref="A75:B75"/>
    <mergeCell ref="C75:F75"/>
    <mergeCell ref="G75:N75"/>
    <mergeCell ref="O75:P75"/>
    <mergeCell ref="A72:B72"/>
    <mergeCell ref="C72:F72"/>
    <mergeCell ref="G72:N72"/>
    <mergeCell ref="O72:P72"/>
    <mergeCell ref="Q72:R72"/>
    <mergeCell ref="G74:N74"/>
    <mergeCell ref="O74:P74"/>
    <mergeCell ref="Q74:R74"/>
    <mergeCell ref="Q75:R75"/>
    <mergeCell ref="A70:B70"/>
    <mergeCell ref="C70:F70"/>
    <mergeCell ref="G70:N70"/>
    <mergeCell ref="O67:P67"/>
    <mergeCell ref="Q67:R67"/>
    <mergeCell ref="A65:R65"/>
    <mergeCell ref="A66:B66"/>
    <mergeCell ref="C66:F66"/>
    <mergeCell ref="G66:N66"/>
    <mergeCell ref="O66:P66"/>
    <mergeCell ref="Q66:R66"/>
    <mergeCell ref="Q50:R50"/>
    <mergeCell ref="G63:N63"/>
    <mergeCell ref="O63:P63"/>
    <mergeCell ref="Q63:R63"/>
    <mergeCell ref="A64:B64"/>
    <mergeCell ref="A56:B56"/>
    <mergeCell ref="C56:F56"/>
    <mergeCell ref="G56:N56"/>
    <mergeCell ref="O56:P56"/>
    <mergeCell ref="Q56:R56"/>
    <mergeCell ref="C57:F57"/>
    <mergeCell ref="G57:N57"/>
    <mergeCell ref="O57:P57"/>
    <mergeCell ref="Q57:R57"/>
    <mergeCell ref="A57:B57"/>
    <mergeCell ref="A58:R58"/>
    <mergeCell ref="C55:F55"/>
    <mergeCell ref="G55:N55"/>
    <mergeCell ref="Q55:R55"/>
    <mergeCell ref="A54:B54"/>
    <mergeCell ref="C54:F54"/>
    <mergeCell ref="A38:B38"/>
    <mergeCell ref="C38:F38"/>
    <mergeCell ref="G38:N38"/>
    <mergeCell ref="O38:P38"/>
    <mergeCell ref="Q38:R38"/>
    <mergeCell ref="A39:B39"/>
    <mergeCell ref="C39:F39"/>
    <mergeCell ref="G39:N39"/>
    <mergeCell ref="O39:P39"/>
    <mergeCell ref="Q39:R39"/>
    <mergeCell ref="A41:B41"/>
    <mergeCell ref="C41:F41"/>
    <mergeCell ref="G41:N41"/>
    <mergeCell ref="Q41:R41"/>
    <mergeCell ref="A42:B42"/>
    <mergeCell ref="C42:F42"/>
    <mergeCell ref="G52:N52"/>
    <mergeCell ref="Q52:R52"/>
    <mergeCell ref="A40:B40"/>
    <mergeCell ref="G61:N61"/>
    <mergeCell ref="Q61:R61"/>
    <mergeCell ref="A60:B61"/>
    <mergeCell ref="G60:N60"/>
    <mergeCell ref="O60:P60"/>
    <mergeCell ref="Q60:R60"/>
    <mergeCell ref="A62:B62"/>
    <mergeCell ref="C62:F62"/>
    <mergeCell ref="G62:N62"/>
    <mergeCell ref="G13:N13"/>
    <mergeCell ref="Q13:R13"/>
    <mergeCell ref="Q11:R11"/>
    <mergeCell ref="A12:B12"/>
    <mergeCell ref="C12:F12"/>
    <mergeCell ref="G12:N12"/>
    <mergeCell ref="Q12:R12"/>
    <mergeCell ref="A7:B7"/>
    <mergeCell ref="C7:F7"/>
    <mergeCell ref="G7:N7"/>
    <mergeCell ref="A8:B8"/>
    <mergeCell ref="C8:F8"/>
    <mergeCell ref="C11:F11"/>
    <mergeCell ref="G11:N11"/>
    <mergeCell ref="G8:N8"/>
    <mergeCell ref="Q8:R8"/>
    <mergeCell ref="A9:B9"/>
    <mergeCell ref="C9:F9"/>
    <mergeCell ref="O7:P7"/>
    <mergeCell ref="Q7:R7"/>
    <mergeCell ref="Q1:R1"/>
    <mergeCell ref="A3:B3"/>
    <mergeCell ref="C3:F3"/>
    <mergeCell ref="G3:N3"/>
    <mergeCell ref="O3:P3"/>
    <mergeCell ref="Q3:R3"/>
    <mergeCell ref="A1:B1"/>
    <mergeCell ref="C1:F1"/>
    <mergeCell ref="G1:N1"/>
    <mergeCell ref="O1:P1"/>
    <mergeCell ref="A2:N2"/>
    <mergeCell ref="Q2:R2"/>
    <mergeCell ref="A17:B17"/>
    <mergeCell ref="C17:F17"/>
    <mergeCell ref="G17:N17"/>
    <mergeCell ref="Q17:R17"/>
    <mergeCell ref="G9:N9"/>
    <mergeCell ref="Q9:R9"/>
    <mergeCell ref="Q6:R6"/>
    <mergeCell ref="A6:B6"/>
    <mergeCell ref="A16:B16"/>
    <mergeCell ref="C16:F16"/>
    <mergeCell ref="G16:N16"/>
    <mergeCell ref="Q16:R16"/>
    <mergeCell ref="A10:R10"/>
    <mergeCell ref="A14:R14"/>
    <mergeCell ref="A15:B15"/>
    <mergeCell ref="C15:F15"/>
    <mergeCell ref="G15:N15"/>
    <mergeCell ref="Q15:R15"/>
    <mergeCell ref="A13:B13"/>
    <mergeCell ref="C13:F13"/>
    <mergeCell ref="C6:F6"/>
    <mergeCell ref="G6:N6"/>
    <mergeCell ref="O6:P6"/>
    <mergeCell ref="A11:B11"/>
    <mergeCell ref="Q4:R4"/>
    <mergeCell ref="A5:B5"/>
    <mergeCell ref="C5:F5"/>
    <mergeCell ref="G5:N5"/>
    <mergeCell ref="O5:P5"/>
    <mergeCell ref="Q5:R5"/>
    <mergeCell ref="A4:B4"/>
    <mergeCell ref="C4:F4"/>
    <mergeCell ref="G4:N4"/>
    <mergeCell ref="O4:P4"/>
    <mergeCell ref="A24:B24"/>
    <mergeCell ref="C24:F24"/>
    <mergeCell ref="G24:N24"/>
    <mergeCell ref="O24:P24"/>
    <mergeCell ref="Q24:R24"/>
    <mergeCell ref="A23:R23"/>
    <mergeCell ref="A18:B18"/>
    <mergeCell ref="C18:F18"/>
    <mergeCell ref="G18:N18"/>
    <mergeCell ref="O18:P18"/>
    <mergeCell ref="Q18:R18"/>
    <mergeCell ref="A20:B20"/>
    <mergeCell ref="C20:F20"/>
    <mergeCell ref="G20:N20"/>
    <mergeCell ref="Q20:R20"/>
    <mergeCell ref="A21:B21"/>
    <mergeCell ref="C21:F21"/>
    <mergeCell ref="G21:N21"/>
    <mergeCell ref="Q21:R21"/>
    <mergeCell ref="A19:R19"/>
    <mergeCell ref="A22:B22"/>
    <mergeCell ref="C22:F22"/>
    <mergeCell ref="G22:N22"/>
    <mergeCell ref="Q22:R22"/>
    <mergeCell ref="O25:P25"/>
    <mergeCell ref="Q25:R25"/>
    <mergeCell ref="A26:B26"/>
    <mergeCell ref="C26:F26"/>
    <mergeCell ref="G26:N26"/>
    <mergeCell ref="O26:P26"/>
    <mergeCell ref="Q26:R26"/>
    <mergeCell ref="A28:B28"/>
    <mergeCell ref="C28:F28"/>
    <mergeCell ref="G28:N28"/>
    <mergeCell ref="O28:P28"/>
    <mergeCell ref="Q28:R28"/>
    <mergeCell ref="A25:B25"/>
    <mergeCell ref="C25:F25"/>
    <mergeCell ref="G25:N25"/>
    <mergeCell ref="A31:B31"/>
    <mergeCell ref="C31:F31"/>
    <mergeCell ref="G31:N31"/>
    <mergeCell ref="O31:P31"/>
    <mergeCell ref="Q31:R31"/>
    <mergeCell ref="A32:B32"/>
    <mergeCell ref="C32:F32"/>
    <mergeCell ref="G32:N32"/>
    <mergeCell ref="Q32:R32"/>
    <mergeCell ref="C40:F40"/>
    <mergeCell ref="G40:N40"/>
    <mergeCell ref="O40:P40"/>
    <mergeCell ref="Q40:R40"/>
    <mergeCell ref="O41:P41"/>
    <mergeCell ref="A51:B51"/>
    <mergeCell ref="C51:F51"/>
    <mergeCell ref="G51:N51"/>
    <mergeCell ref="Q51:R51"/>
    <mergeCell ref="A50:B50"/>
    <mergeCell ref="C50:F50"/>
    <mergeCell ref="G50:N50"/>
    <mergeCell ref="A49:R49"/>
    <mergeCell ref="G54:N54"/>
    <mergeCell ref="Q54:R54"/>
    <mergeCell ref="O54:P54"/>
    <mergeCell ref="O55:P55"/>
    <mergeCell ref="A30:B30"/>
    <mergeCell ref="C30:F30"/>
    <mergeCell ref="G30:N30"/>
    <mergeCell ref="O30:P30"/>
    <mergeCell ref="Q30:R30"/>
    <mergeCell ref="O46:P46"/>
    <mergeCell ref="A33:B33"/>
    <mergeCell ref="C33:F33"/>
    <mergeCell ref="G33:N33"/>
    <mergeCell ref="O33:P33"/>
    <mergeCell ref="Q33:R33"/>
    <mergeCell ref="A34:B34"/>
    <mergeCell ref="A53:B53"/>
    <mergeCell ref="C53:F53"/>
    <mergeCell ref="G53:N53"/>
    <mergeCell ref="O53:P53"/>
    <mergeCell ref="Q53:R53"/>
    <mergeCell ref="O52:P52"/>
    <mergeCell ref="A52:B52"/>
    <mergeCell ref="C52:F52"/>
    <mergeCell ref="Q29:R29"/>
    <mergeCell ref="A27:R27"/>
    <mergeCell ref="A29:B29"/>
    <mergeCell ref="C29:F29"/>
    <mergeCell ref="G29:N29"/>
    <mergeCell ref="O29:P29"/>
    <mergeCell ref="Q46:R46"/>
    <mergeCell ref="C34:F34"/>
    <mergeCell ref="G34:N34"/>
    <mergeCell ref="O34:P34"/>
    <mergeCell ref="Q34:R34"/>
    <mergeCell ref="G42:N42"/>
    <mergeCell ref="O42:P42"/>
    <mergeCell ref="Q42:R42"/>
    <mergeCell ref="A37:R37"/>
    <mergeCell ref="A43:R43"/>
    <mergeCell ref="A45:B45"/>
    <mergeCell ref="C45:F45"/>
    <mergeCell ref="G45:N45"/>
    <mergeCell ref="O45:P45"/>
    <mergeCell ref="Q45:R45"/>
    <mergeCell ref="A46:B46"/>
    <mergeCell ref="C46:F46"/>
    <mergeCell ref="G46:N46"/>
    <mergeCell ref="A78:R78"/>
    <mergeCell ref="A44:B44"/>
    <mergeCell ref="C44:F44"/>
    <mergeCell ref="G44:N44"/>
    <mergeCell ref="O44:P44"/>
    <mergeCell ref="Q44:R44"/>
    <mergeCell ref="A77:B77"/>
    <mergeCell ref="C77:F77"/>
    <mergeCell ref="G77:N77"/>
    <mergeCell ref="O77:P77"/>
    <mergeCell ref="Q77:R77"/>
    <mergeCell ref="C60:F61"/>
    <mergeCell ref="A73:R73"/>
    <mergeCell ref="A55:B55"/>
    <mergeCell ref="A48:B48"/>
    <mergeCell ref="C48:F48"/>
    <mergeCell ref="G48:N48"/>
    <mergeCell ref="O48:P48"/>
    <mergeCell ref="Q48:R48"/>
    <mergeCell ref="A47:B47"/>
    <mergeCell ref="C47:F47"/>
    <mergeCell ref="G47:N47"/>
    <mergeCell ref="O47:P47"/>
    <mergeCell ref="Q47:R47"/>
    <mergeCell ref="A79:B79"/>
    <mergeCell ref="C79:F79"/>
    <mergeCell ref="G79:N79"/>
    <mergeCell ref="O79:P79"/>
    <mergeCell ref="Q79:R79"/>
    <mergeCell ref="A80:B80"/>
    <mergeCell ref="C80:F80"/>
    <mergeCell ref="G80:N80"/>
    <mergeCell ref="O80:P80"/>
    <mergeCell ref="Q80:R80"/>
    <mergeCell ref="A81:B81"/>
    <mergeCell ref="C81:F81"/>
    <mergeCell ref="G81:N81"/>
    <mergeCell ref="O81:P81"/>
    <mergeCell ref="Q81:R81"/>
    <mergeCell ref="A82:B82"/>
    <mergeCell ref="C82:F82"/>
    <mergeCell ref="G82:N82"/>
    <mergeCell ref="O82:P82"/>
    <mergeCell ref="Q82:R82"/>
    <mergeCell ref="A85:B85"/>
    <mergeCell ref="C85:F85"/>
    <mergeCell ref="G85:N85"/>
    <mergeCell ref="O85:P85"/>
    <mergeCell ref="Q85:R85"/>
    <mergeCell ref="A86:R86"/>
    <mergeCell ref="A83:B83"/>
    <mergeCell ref="C83:F83"/>
    <mergeCell ref="G83:N83"/>
    <mergeCell ref="O83:P83"/>
    <mergeCell ref="Q83:R83"/>
    <mergeCell ref="A84:B84"/>
    <mergeCell ref="C84:F84"/>
    <mergeCell ref="G84:N84"/>
    <mergeCell ref="O84:P84"/>
    <mergeCell ref="Q84:R84"/>
  </mergeCells>
  <pageMargins left="0.511811024" right="0.511811024" top="0.45833333333333331" bottom="0.57291666666666663" header="0.31496062000000002" footer="0.31496062000000002"/>
  <pageSetup paperSize="9" orientation="portrait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Auxiliar!$B$2:$G$2</xm:f>
          </x14:formula1>
          <xm:sqref>O38:P38 O44:P44</xm:sqref>
        </x14:dataValidation>
        <x14:dataValidation type="list" allowBlank="1" showInputMessage="1" showErrorMessage="1">
          <x14:formula1>
            <xm:f>Auxiliar!$K$2:$P$2</xm:f>
          </x14:formula1>
          <xm:sqref>O71:P71 O84:P84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242"/>
  <sheetViews>
    <sheetView zoomScale="85" zoomScaleNormal="85" workbookViewId="0">
      <selection activeCell="B5" sqref="B5"/>
    </sheetView>
  </sheetViews>
  <sheetFormatPr defaultRowHeight="15" x14ac:dyDescent="0.25"/>
  <cols>
    <col min="2" max="2" width="10.42578125" customWidth="1"/>
    <col min="3" max="3" width="27.5703125" customWidth="1"/>
    <col min="4" max="4" width="9" customWidth="1"/>
    <col min="5" max="5" width="3.140625" customWidth="1"/>
    <col min="6" max="6" width="2.5703125" customWidth="1"/>
    <col min="7" max="7" width="3" customWidth="1"/>
    <col min="8" max="8" width="2.5703125" customWidth="1"/>
    <col min="9" max="9" width="3.42578125" customWidth="1"/>
    <col min="10" max="10" width="2.5703125" customWidth="1"/>
    <col min="11" max="11" width="3.7109375" customWidth="1"/>
    <col min="12" max="12" width="1.5703125" customWidth="1"/>
    <col min="13" max="13" width="6.28515625" customWidth="1"/>
    <col min="14" max="14" width="3.85546875" customWidth="1"/>
    <col min="15" max="15" width="4.28515625" customWidth="1"/>
    <col min="16" max="16" width="3.42578125" customWidth="1"/>
    <col min="17" max="17" width="4.140625" customWidth="1"/>
    <col min="18" max="18" width="4.7109375" customWidth="1"/>
    <col min="19" max="19" width="3.7109375" customWidth="1"/>
    <col min="20" max="20" width="5.7109375" customWidth="1"/>
    <col min="21" max="21" width="2.5703125" customWidth="1"/>
    <col min="22" max="22" width="2.7109375" customWidth="1"/>
    <col min="23" max="23" width="3.28515625" customWidth="1"/>
    <col min="24" max="24" width="2.140625" customWidth="1"/>
    <col min="25" max="25" width="2.7109375" customWidth="1"/>
    <col min="26" max="27" width="2.85546875" customWidth="1"/>
    <col min="28" max="28" width="7.140625" customWidth="1"/>
    <col min="29" max="29" width="3.28515625" customWidth="1"/>
    <col min="30" max="30" width="2.7109375" customWidth="1"/>
    <col min="31" max="31" width="2.5703125" customWidth="1"/>
    <col min="32" max="32" width="3.5703125" customWidth="1"/>
    <col min="33" max="33" width="2.7109375" customWidth="1"/>
    <col min="34" max="34" width="3.5703125" customWidth="1"/>
    <col min="35" max="35" width="8.140625" customWidth="1"/>
  </cols>
  <sheetData>
    <row r="1" spans="1:35" ht="15.75" thickBot="1" x14ac:dyDescent="0.3">
      <c r="F1" s="62" t="s">
        <v>35</v>
      </c>
      <c r="G1" s="62"/>
      <c r="H1" s="62"/>
      <c r="I1" s="62"/>
      <c r="J1" s="62"/>
      <c r="K1" s="62"/>
      <c r="L1" s="62"/>
      <c r="M1" s="62"/>
      <c r="N1" s="62" t="s">
        <v>36</v>
      </c>
      <c r="O1" s="62"/>
      <c r="P1" s="62"/>
      <c r="Q1" s="62"/>
      <c r="R1" s="62"/>
      <c r="S1" s="62"/>
      <c r="T1" s="62"/>
      <c r="U1" s="62" t="s">
        <v>35</v>
      </c>
      <c r="V1" s="62"/>
      <c r="W1" s="62"/>
      <c r="X1" s="62"/>
      <c r="Y1" s="62"/>
      <c r="Z1" s="62"/>
      <c r="AA1" s="62"/>
      <c r="AB1" s="62"/>
      <c r="AC1" s="62" t="s">
        <v>36</v>
      </c>
      <c r="AD1" s="62"/>
      <c r="AE1" s="62"/>
      <c r="AF1" s="62"/>
      <c r="AG1" s="62"/>
      <c r="AH1" s="62"/>
      <c r="AI1" s="62"/>
    </row>
    <row r="2" spans="1:35" ht="15.75" thickBot="1" x14ac:dyDescent="0.3">
      <c r="A2" s="59" t="s">
        <v>39</v>
      </c>
      <c r="B2" s="60"/>
      <c r="C2" s="61"/>
      <c r="E2" t="s">
        <v>8</v>
      </c>
      <c r="F2" t="s">
        <v>2</v>
      </c>
      <c r="G2" t="s">
        <v>3</v>
      </c>
      <c r="H2" t="s">
        <v>4</v>
      </c>
      <c r="I2" t="s">
        <v>5</v>
      </c>
      <c r="J2" t="s">
        <v>6</v>
      </c>
      <c r="K2" t="s">
        <v>7</v>
      </c>
      <c r="M2" t="s">
        <v>37</v>
      </c>
      <c r="N2" t="s">
        <v>2</v>
      </c>
      <c r="O2" t="s">
        <v>3</v>
      </c>
      <c r="P2" t="s">
        <v>4</v>
      </c>
      <c r="Q2" t="s">
        <v>5</v>
      </c>
      <c r="R2" t="s">
        <v>6</v>
      </c>
      <c r="S2" t="s">
        <v>7</v>
      </c>
      <c r="T2" t="s">
        <v>38</v>
      </c>
      <c r="U2" t="s">
        <v>31</v>
      </c>
      <c r="V2" t="s">
        <v>2</v>
      </c>
      <c r="W2" t="s">
        <v>3</v>
      </c>
      <c r="X2" t="s">
        <v>4</v>
      </c>
      <c r="Y2" t="s">
        <v>5</v>
      </c>
      <c r="Z2" t="s">
        <v>6</v>
      </c>
      <c r="AA2" t="s">
        <v>7</v>
      </c>
      <c r="AB2" t="s">
        <v>42</v>
      </c>
      <c r="AC2" t="s">
        <v>2</v>
      </c>
      <c r="AD2" t="s">
        <v>3</v>
      </c>
      <c r="AE2" t="s">
        <v>4</v>
      </c>
      <c r="AF2" t="s">
        <v>5</v>
      </c>
      <c r="AG2" t="s">
        <v>6</v>
      </c>
      <c r="AH2" t="s">
        <v>7</v>
      </c>
      <c r="AI2" t="s">
        <v>41</v>
      </c>
    </row>
    <row r="3" spans="1:35" ht="15.75" thickBot="1" x14ac:dyDescent="0.3">
      <c r="A3" s="63" t="s">
        <v>29</v>
      </c>
      <c r="B3" s="64"/>
      <c r="C3" s="65"/>
      <c r="E3">
        <f>$B$5*(1+B15)</f>
        <v>26.357294897787263</v>
      </c>
      <c r="F3">
        <f t="shared" ref="F3:F66" si="0">((0.14)/(($E3/$B$5)^0.02-1))*$B$4</f>
        <v>71.107714020442486</v>
      </c>
      <c r="G3">
        <f t="shared" ref="G3:G66" si="1">((80)/(($E3/$B$5)^2-1))*$B$4</f>
        <v>387.01606093192333</v>
      </c>
      <c r="H3">
        <f t="shared" ref="H3:H66" si="2">((120)/(($E3/$B$5)-1))*$B$4</f>
        <v>1190.0743873656634</v>
      </c>
      <c r="I3">
        <f t="shared" ref="I3:I66" si="3">((13.5)/(($E3/$B$5)-1))*$B$4</f>
        <v>133.88336857863715</v>
      </c>
      <c r="J3">
        <f t="shared" ref="J3:J66" si="4">((60)/(($E3/$B$5)-1))*$B$4</f>
        <v>595.03719368283168</v>
      </c>
      <c r="K3">
        <f t="shared" ref="K3:K66" si="5">((540)/(($E3/$B$5)^2-1))*$B$4</f>
        <v>2612.3584112904823</v>
      </c>
      <c r="L3">
        <v>2</v>
      </c>
      <c r="M3">
        <f>IF($E3&lt;$B$8,HLOOKUP($B$6,$F$2:$K$242,$L3,FALSE),$B$7)</f>
        <v>133.88336857863715</v>
      </c>
      <c r="N3">
        <f t="shared" ref="N3:N66" si="6">((0.14)/(($E3/$B$28)^0.02-1))*$B$27</f>
        <v>-0.92887599229571893</v>
      </c>
      <c r="O3">
        <f t="shared" ref="O3:O66" si="7">((80)/(($E3/$B$28)^2-1))*$B$27</f>
        <v>-25.396031116050167</v>
      </c>
      <c r="P3">
        <f t="shared" ref="P3:P66" si="8">((120)/(($E3/$B$28)-1))*$B$27</f>
        <v>-41.440900080870826</v>
      </c>
      <c r="Q3">
        <f t="shared" ref="Q3:Q66" si="9">((13.5)/(($E3/$B$28)-1))*$B$27</f>
        <v>-4.6621012590979678</v>
      </c>
      <c r="R3">
        <f t="shared" ref="R3:R66" si="10">((60)/(($E3/$B$28)-1))*$B$27</f>
        <v>-20.720450040435413</v>
      </c>
      <c r="S3">
        <f t="shared" ref="S3:S66" si="11">((540)/(($E3/$B$28)^2-1))*$B$27</f>
        <v>-171.42321003333865</v>
      </c>
      <c r="T3">
        <f t="shared" ref="T3:T66" si="12">IF($E3&lt;$B$31,HLOOKUP($B$29,$N$2:$S$242,$L3,FALSE),$B$30)</f>
        <v>-4.6621012590979678</v>
      </c>
      <c r="U3">
        <f>$B$18*(1+B23)</f>
        <v>5.2714589795574529</v>
      </c>
      <c r="V3">
        <f t="shared" ref="V3:V66" si="13">((0.14)/(($U3/$B$18)^0.02-1))*$B$17</f>
        <v>115.82633686487023</v>
      </c>
      <c r="W3">
        <f t="shared" ref="W3:W66" si="14">((80)/(($U3/$B$18)^2-1))*$B$17</f>
        <v>630.40491827270728</v>
      </c>
      <c r="X3">
        <f t="shared" ref="X3:X66" si="15">((120)/(($U3/$B$18)-1))*$B$17</f>
        <v>1938.4951236885738</v>
      </c>
      <c r="Y3">
        <f t="shared" ref="Y3:Y66" si="16">((13.5)/(($U3/$B$18)-1))*$B$17</f>
        <v>218.08070141496458</v>
      </c>
      <c r="Z3">
        <f t="shared" ref="Z3:Z66" si="17">((60)/(($U3/$B$18)-1))*$B$17</f>
        <v>969.24756184428691</v>
      </c>
      <c r="AA3">
        <f t="shared" ref="AA3:AA66" si="18">((540)/(($U3/$B$18)^2-1))*$B$17</f>
        <v>4255.2331983407739</v>
      </c>
      <c r="AB3">
        <f t="shared" ref="AB3:AB66" si="19">IF($U3&lt;$B$21,HLOOKUP($B$19,$V$2:$AA$242,$L3,FALSE),$B$20)</f>
        <v>218.08070141496458</v>
      </c>
      <c r="AC3">
        <f>((0.14)/(($U3/$B$34)^0.02-1))*$B$33</f>
        <v>-3.0241080845623012</v>
      </c>
      <c r="AD3">
        <f>((80)/(($U3/$B$34)^2-1))*$B$33</f>
        <v>-54.215550130343033</v>
      </c>
      <c r="AE3">
        <f>((120)/(($U3/$B$34)-1))*$B$33</f>
        <v>-99.185515730904811</v>
      </c>
      <c r="AF3">
        <f>((13.5)/(($U3/$B$34)-1))*$B$33</f>
        <v>-11.158370519726791</v>
      </c>
      <c r="AG3">
        <f>((60)/(($U3/$B$34)-1))*$B$33</f>
        <v>-49.592757865452405</v>
      </c>
      <c r="AH3">
        <f>((540)/(($U3/$B$34)^2-1))*$B$33</f>
        <v>-365.95496337981547</v>
      </c>
      <c r="AI3">
        <f>IF($U3&lt;$B$37,HLOOKUP($B$35,$AC$2:$AH$242,$L3,FALSE),$B$36)</f>
        <v>-11.158370519726791</v>
      </c>
    </row>
    <row r="4" spans="1:35" x14ac:dyDescent="0.25">
      <c r="A4" s="1" t="s">
        <v>0</v>
      </c>
      <c r="B4" s="35">
        <f>ECS!O72</f>
        <v>0.49586432806902692</v>
      </c>
      <c r="C4" s="3" t="s">
        <v>9</v>
      </c>
      <c r="E4">
        <f t="shared" ref="E4:E67" si="20">E3*(1+$B$15)</f>
        <v>27.675159642676626</v>
      </c>
      <c r="F4">
        <f t="shared" si="0"/>
        <v>35.536510226398143</v>
      </c>
      <c r="G4">
        <f t="shared" si="1"/>
        <v>184.07422636476738</v>
      </c>
      <c r="H4">
        <f t="shared" si="2"/>
        <v>580.52409139788494</v>
      </c>
      <c r="I4">
        <f t="shared" si="3"/>
        <v>65.308960282262063</v>
      </c>
      <c r="J4">
        <f t="shared" si="4"/>
        <v>290.26204569894247</v>
      </c>
      <c r="K4">
        <f t="shared" si="5"/>
        <v>1242.5010279621797</v>
      </c>
      <c r="L4">
        <v>3</v>
      </c>
      <c r="M4">
        <f t="shared" ref="M4:M67" si="21">IF($E4&lt;$B$8,HLOOKUP($B$6,$F$2:$K$242,L4,FALSE),$B$7)</f>
        <v>65.308960282262063</v>
      </c>
      <c r="N4">
        <f t="shared" si="6"/>
        <v>-0.94743341339663667</v>
      </c>
      <c r="O4">
        <f t="shared" si="7"/>
        <v>-25.416296769411712</v>
      </c>
      <c r="P4">
        <f t="shared" si="8"/>
        <v>-41.641445507213149</v>
      </c>
      <c r="Q4">
        <f t="shared" si="9"/>
        <v>-4.6846626195614789</v>
      </c>
      <c r="R4">
        <f t="shared" si="10"/>
        <v>-20.820722753606574</v>
      </c>
      <c r="S4">
        <f t="shared" si="11"/>
        <v>-171.56000319352907</v>
      </c>
      <c r="T4">
        <f t="shared" si="12"/>
        <v>-4.6846626195614789</v>
      </c>
      <c r="U4">
        <f t="shared" ref="U4:U67" si="22">U3*(1+$B$23)</f>
        <v>5.535031928535326</v>
      </c>
      <c r="V4">
        <f t="shared" si="13"/>
        <v>57.884912504730288</v>
      </c>
      <c r="W4">
        <f t="shared" si="14"/>
        <v>299.8358707599084</v>
      </c>
      <c r="X4">
        <f t="shared" si="15"/>
        <v>945.60737740906086</v>
      </c>
      <c r="Y4">
        <f t="shared" si="16"/>
        <v>106.38082995851936</v>
      </c>
      <c r="Z4">
        <f t="shared" si="17"/>
        <v>472.80368870453043</v>
      </c>
      <c r="AA4">
        <f t="shared" si="18"/>
        <v>2023.8921276293818</v>
      </c>
      <c r="AB4">
        <f t="shared" si="19"/>
        <v>106.38082995851936</v>
      </c>
      <c r="AC4">
        <f t="shared" ref="AC4:AC67" si="23">((0.14)/(($U4/$B$34)^0.02-1))*$B$33</f>
        <v>-3.1231716582422964</v>
      </c>
      <c r="AD4">
        <f t="shared" ref="AD4:AD67" si="24">((80)/(($U4/$B$34)^2-1))*$B$33</f>
        <v>-54.498704580372952</v>
      </c>
      <c r="AE4">
        <f t="shared" ref="AE4:AE67" si="25">((120)/(($U4/$B$34)-1))*$B$33</f>
        <v>-100.6013112403206</v>
      </c>
      <c r="AF4">
        <f t="shared" ref="AF4:AF67" si="26">((13.5)/(($U4/$B$34)-1))*$B$33</f>
        <v>-11.317647514536066</v>
      </c>
      <c r="AG4">
        <f t="shared" ref="AG4:AG67" si="27">((60)/(($U4/$B$34)-1))*$B$33</f>
        <v>-50.300655620160299</v>
      </c>
      <c r="AH4">
        <f t="shared" ref="AH4:AH67" si="28">((540)/(($U4/$B$34)^2-1))*$B$33</f>
        <v>-367.86625591751744</v>
      </c>
      <c r="AI4">
        <f t="shared" ref="AI4:AI67" si="29">IF($U4&lt;$B$37,HLOOKUP($B$35,$AC$2:$AH$242,$L4,FALSE),$B$36)</f>
        <v>-11.317647514536066</v>
      </c>
    </row>
    <row r="5" spans="1:35" ht="15.75" thickBot="1" x14ac:dyDescent="0.3">
      <c r="A5" s="4" t="s">
        <v>1</v>
      </c>
      <c r="B5" s="33">
        <f>ECS!O68</f>
        <v>25.10218561694025</v>
      </c>
      <c r="C5" s="6" t="s">
        <v>10</v>
      </c>
      <c r="E5">
        <f t="shared" si="20"/>
        <v>29.058917624810459</v>
      </c>
      <c r="F5">
        <f t="shared" si="0"/>
        <v>23.679446058447596</v>
      </c>
      <c r="G5">
        <f t="shared" si="1"/>
        <v>116.64114886218891</v>
      </c>
      <c r="H5">
        <f t="shared" si="2"/>
        <v>377.50178822067045</v>
      </c>
      <c r="I5">
        <f t="shared" si="3"/>
        <v>42.468951174825428</v>
      </c>
      <c r="J5">
        <f t="shared" si="4"/>
        <v>188.75089411033522</v>
      </c>
      <c r="K5">
        <f t="shared" si="5"/>
        <v>787.32775481977512</v>
      </c>
      <c r="L5">
        <v>4</v>
      </c>
      <c r="M5">
        <f t="shared" si="21"/>
        <v>42.468951174825428</v>
      </c>
      <c r="N5">
        <f t="shared" si="6"/>
        <v>-0.96676668474710936</v>
      </c>
      <c r="O5">
        <f t="shared" si="7"/>
        <v>-25.438677171326482</v>
      </c>
      <c r="P5">
        <f t="shared" si="8"/>
        <v>-41.854117879018332</v>
      </c>
      <c r="Q5">
        <f t="shared" si="9"/>
        <v>-4.7085882613895622</v>
      </c>
      <c r="R5">
        <f t="shared" si="10"/>
        <v>-20.927058939509166</v>
      </c>
      <c r="S5">
        <f t="shared" si="11"/>
        <v>-171.71107090645373</v>
      </c>
      <c r="T5">
        <f t="shared" si="12"/>
        <v>-4.7085882613895622</v>
      </c>
      <c r="U5">
        <f t="shared" si="22"/>
        <v>5.8117835249620926</v>
      </c>
      <c r="V5">
        <f t="shared" si="13"/>
        <v>38.571110514828035</v>
      </c>
      <c r="W5">
        <f t="shared" si="14"/>
        <v>189.99509668576036</v>
      </c>
      <c r="X5">
        <f t="shared" si="15"/>
        <v>614.90725572992039</v>
      </c>
      <c r="Y5">
        <f t="shared" si="16"/>
        <v>69.177066269616049</v>
      </c>
      <c r="Z5">
        <f t="shared" si="17"/>
        <v>307.4536278649602</v>
      </c>
      <c r="AA5">
        <f t="shared" si="18"/>
        <v>1282.4669026288823</v>
      </c>
      <c r="AB5">
        <f t="shared" si="19"/>
        <v>69.177066269616049</v>
      </c>
      <c r="AC5">
        <f t="shared" si="23"/>
        <v>-3.2290520433877932</v>
      </c>
      <c r="AD5">
        <f t="shared" si="24"/>
        <v>-54.814330188390088</v>
      </c>
      <c r="AE5">
        <f t="shared" si="25"/>
        <v>-102.13205910262998</v>
      </c>
      <c r="AF5">
        <f t="shared" si="26"/>
        <v>-11.489856649045874</v>
      </c>
      <c r="AG5">
        <f t="shared" si="27"/>
        <v>-51.06602955131499</v>
      </c>
      <c r="AH5">
        <f t="shared" si="28"/>
        <v>-369.99672877163312</v>
      </c>
      <c r="AI5">
        <f t="shared" si="29"/>
        <v>-11.489856649045874</v>
      </c>
    </row>
    <row r="6" spans="1:35" x14ac:dyDescent="0.25">
      <c r="A6" s="1" t="s">
        <v>11</v>
      </c>
      <c r="B6" s="2" t="str">
        <f>ECS!O71</f>
        <v>mi</v>
      </c>
      <c r="C6" s="3" t="s">
        <v>12</v>
      </c>
      <c r="E6">
        <f t="shared" si="20"/>
        <v>30.511863506050982</v>
      </c>
      <c r="F6">
        <f t="shared" si="0"/>
        <v>17.750916797021432</v>
      </c>
      <c r="G6">
        <f t="shared" si="1"/>
        <v>83.084498797855957</v>
      </c>
      <c r="H6">
        <f t="shared" si="2"/>
        <v>276.11133954715109</v>
      </c>
      <c r="I6">
        <f t="shared" si="3"/>
        <v>31.062525699054497</v>
      </c>
      <c r="J6">
        <f t="shared" si="4"/>
        <v>138.05566977357554</v>
      </c>
      <c r="K6">
        <f t="shared" si="5"/>
        <v>560.82036688552773</v>
      </c>
      <c r="L6">
        <v>5</v>
      </c>
      <c r="M6">
        <f t="shared" si="21"/>
        <v>31.062525699054497</v>
      </c>
      <c r="N6">
        <f t="shared" si="6"/>
        <v>-0.98692549057119838</v>
      </c>
      <c r="O6">
        <f t="shared" si="7"/>
        <v>-25.46339729009037</v>
      </c>
      <c r="P6">
        <f t="shared" si="8"/>
        <v>-42.079774447713483</v>
      </c>
      <c r="Q6">
        <f t="shared" si="9"/>
        <v>-4.7339746253677673</v>
      </c>
      <c r="R6">
        <f t="shared" si="10"/>
        <v>-21.039887223856741</v>
      </c>
      <c r="S6">
        <f t="shared" si="11"/>
        <v>-171.87793170811</v>
      </c>
      <c r="T6">
        <f t="shared" si="12"/>
        <v>-4.7339746253677673</v>
      </c>
      <c r="U6">
        <f t="shared" si="22"/>
        <v>6.1023727012101974</v>
      </c>
      <c r="V6">
        <f t="shared" si="13"/>
        <v>28.914214117486736</v>
      </c>
      <c r="W6">
        <f t="shared" si="14"/>
        <v>135.33515004072234</v>
      </c>
      <c r="X6">
        <f t="shared" si="15"/>
        <v>449.75380613986215</v>
      </c>
      <c r="Y6">
        <f t="shared" si="16"/>
        <v>50.597303190734493</v>
      </c>
      <c r="Z6">
        <f t="shared" si="17"/>
        <v>224.87690306993107</v>
      </c>
      <c r="AA6">
        <f t="shared" si="18"/>
        <v>913.51226277487581</v>
      </c>
      <c r="AB6">
        <f t="shared" si="19"/>
        <v>50.597303190734493</v>
      </c>
      <c r="AC6">
        <f t="shared" si="23"/>
        <v>-3.3424778783958677</v>
      </c>
      <c r="AD6">
        <f t="shared" si="24"/>
        <v>-55.166571790177947</v>
      </c>
      <c r="AE6">
        <f t="shared" si="25"/>
        <v>-103.79029404225034</v>
      </c>
      <c r="AF6">
        <f t="shared" si="26"/>
        <v>-11.676408079753163</v>
      </c>
      <c r="AG6">
        <f t="shared" si="27"/>
        <v>-51.895147021125169</v>
      </c>
      <c r="AH6">
        <f t="shared" si="28"/>
        <v>-372.37435958370111</v>
      </c>
      <c r="AI6">
        <f t="shared" si="29"/>
        <v>-11.676408079753163</v>
      </c>
    </row>
    <row r="7" spans="1:35" x14ac:dyDescent="0.25">
      <c r="A7" s="4" t="s">
        <v>14</v>
      </c>
      <c r="B7" s="33">
        <f>ECS!O77</f>
        <v>0.05</v>
      </c>
      <c r="C7" s="6" t="s">
        <v>28</v>
      </c>
      <c r="E7">
        <f t="shared" si="20"/>
        <v>32.037456681353532</v>
      </c>
      <c r="F7">
        <f t="shared" si="0"/>
        <v>14.193801498204696</v>
      </c>
      <c r="G7">
        <f t="shared" si="1"/>
        <v>63.077572229855583</v>
      </c>
      <c r="H7">
        <f t="shared" si="2"/>
        <v>215.37347201112345</v>
      </c>
      <c r="I7">
        <f t="shared" si="3"/>
        <v>24.229515601251389</v>
      </c>
      <c r="J7">
        <f t="shared" si="4"/>
        <v>107.68673600556173</v>
      </c>
      <c r="K7">
        <f t="shared" si="5"/>
        <v>425.77361255152516</v>
      </c>
      <c r="L7">
        <v>6</v>
      </c>
      <c r="M7">
        <f t="shared" si="21"/>
        <v>24.229515601251389</v>
      </c>
      <c r="N7">
        <f t="shared" si="6"/>
        <v>-1.0079638498895953</v>
      </c>
      <c r="O7">
        <f t="shared" si="7"/>
        <v>-25.490706963563024</v>
      </c>
      <c r="P7">
        <f t="shared" si="8"/>
        <v>-42.319347545955658</v>
      </c>
      <c r="Q7">
        <f t="shared" si="9"/>
        <v>-4.7609265989200118</v>
      </c>
      <c r="R7">
        <f t="shared" si="10"/>
        <v>-21.159673772977829</v>
      </c>
      <c r="S7">
        <f t="shared" si="11"/>
        <v>-172.06227200405039</v>
      </c>
      <c r="T7">
        <f t="shared" si="12"/>
        <v>-4.7609265989200118</v>
      </c>
      <c r="U7">
        <f t="shared" si="22"/>
        <v>6.4074913362707075</v>
      </c>
      <c r="V7">
        <f t="shared" si="13"/>
        <v>23.120079957169271</v>
      </c>
      <c r="W7">
        <f t="shared" si="14"/>
        <v>102.74615392098026</v>
      </c>
      <c r="X7">
        <f t="shared" si="15"/>
        <v>350.81876368217166</v>
      </c>
      <c r="Y7">
        <f t="shared" si="16"/>
        <v>39.467110914244316</v>
      </c>
      <c r="Z7">
        <f t="shared" si="17"/>
        <v>175.40938184108583</v>
      </c>
      <c r="AA7">
        <f t="shared" si="18"/>
        <v>693.53653896661683</v>
      </c>
      <c r="AB7">
        <f t="shared" si="19"/>
        <v>39.467110914244316</v>
      </c>
      <c r="AC7">
        <f t="shared" si="23"/>
        <v>-3.4642854823050211</v>
      </c>
      <c r="AD7">
        <f t="shared" si="24"/>
        <v>-55.56020248223308</v>
      </c>
      <c r="AE7">
        <f t="shared" si="25"/>
        <v>-105.59039847624679</v>
      </c>
      <c r="AF7">
        <f t="shared" si="26"/>
        <v>-11.878919828577763</v>
      </c>
      <c r="AG7">
        <f t="shared" si="27"/>
        <v>-52.795199238123395</v>
      </c>
      <c r="AH7">
        <f t="shared" si="28"/>
        <v>-375.03136675507329</v>
      </c>
      <c r="AI7">
        <f t="shared" si="29"/>
        <v>-11.878919828577763</v>
      </c>
    </row>
    <row r="8" spans="1:35" ht="15.75" thickBot="1" x14ac:dyDescent="0.3">
      <c r="A8" s="7" t="s">
        <v>13</v>
      </c>
      <c r="B8" s="36">
        <f>ECS!O76</f>
        <v>2551.9850121790782</v>
      </c>
      <c r="C8" s="9" t="s">
        <v>15</v>
      </c>
      <c r="E8">
        <f t="shared" si="20"/>
        <v>33.63932951542121</v>
      </c>
      <c r="F8">
        <f t="shared" si="0"/>
        <v>11.822393180690142</v>
      </c>
      <c r="G8">
        <f t="shared" si="1"/>
        <v>49.844607561012353</v>
      </c>
      <c r="H8">
        <f t="shared" si="2"/>
        <v>174.96172329328337</v>
      </c>
      <c r="I8">
        <f t="shared" si="3"/>
        <v>19.683193870494382</v>
      </c>
      <c r="J8">
        <f t="shared" si="4"/>
        <v>87.480861646641685</v>
      </c>
      <c r="K8">
        <f t="shared" si="5"/>
        <v>336.45110103683339</v>
      </c>
      <c r="L8">
        <v>7</v>
      </c>
      <c r="M8">
        <f t="shared" si="21"/>
        <v>19.683193870494382</v>
      </c>
      <c r="N8">
        <f t="shared" si="6"/>
        <v>-1.0299405998081794</v>
      </c>
      <c r="O8">
        <f t="shared" si="7"/>
        <v>-25.52088385292269</v>
      </c>
      <c r="P8">
        <f t="shared" si="8"/>
        <v>-42.573852886650322</v>
      </c>
      <c r="Q8">
        <f t="shared" si="9"/>
        <v>-4.7895584497481609</v>
      </c>
      <c r="R8">
        <f t="shared" si="10"/>
        <v>-21.286926443325161</v>
      </c>
      <c r="S8">
        <f t="shared" si="11"/>
        <v>-172.26596600722814</v>
      </c>
      <c r="T8">
        <f t="shared" si="12"/>
        <v>-4.7895584497481609</v>
      </c>
      <c r="U8">
        <f t="shared" si="22"/>
        <v>6.7278659030842434</v>
      </c>
      <c r="V8">
        <f t="shared" si="13"/>
        <v>19.257326915359609</v>
      </c>
      <c r="W8">
        <f t="shared" si="14"/>
        <v>81.191167312723891</v>
      </c>
      <c r="X8">
        <f t="shared" si="15"/>
        <v>284.99264502864031</v>
      </c>
      <c r="Y8">
        <f t="shared" si="16"/>
        <v>32.061672565722041</v>
      </c>
      <c r="Z8">
        <f t="shared" si="17"/>
        <v>142.49632251432016</v>
      </c>
      <c r="AA8">
        <f t="shared" si="18"/>
        <v>548.04037936088628</v>
      </c>
      <c r="AB8">
        <f t="shared" si="19"/>
        <v>32.061672565722041</v>
      </c>
      <c r="AC8">
        <f t="shared" si="23"/>
        <v>-3.5954395096676897</v>
      </c>
      <c r="AD8">
        <f t="shared" si="24"/>
        <v>-56.000742475141763</v>
      </c>
      <c r="AE8">
        <f t="shared" si="25"/>
        <v>-107.54895657808186</v>
      </c>
      <c r="AF8">
        <f t="shared" si="26"/>
        <v>-12.099257615034208</v>
      </c>
      <c r="AG8">
        <f t="shared" si="27"/>
        <v>-53.774478289040928</v>
      </c>
      <c r="AH8">
        <f t="shared" si="28"/>
        <v>-378.0050117072069</v>
      </c>
      <c r="AI8">
        <f t="shared" si="29"/>
        <v>-12.099257615034208</v>
      </c>
    </row>
    <row r="9" spans="1:35" ht="15.75" thickBot="1" x14ac:dyDescent="0.3">
      <c r="A9" s="10" t="s">
        <v>17</v>
      </c>
      <c r="B9" s="37">
        <f>ECS!O35</f>
        <v>380.33614571121592</v>
      </c>
      <c r="C9" s="12" t="s">
        <v>22</v>
      </c>
      <c r="E9">
        <f t="shared" si="20"/>
        <v>35.321295991192272</v>
      </c>
      <c r="F9">
        <f t="shared" si="0"/>
        <v>10.128531709632371</v>
      </c>
      <c r="G9">
        <f t="shared" si="1"/>
        <v>40.48154612854222</v>
      </c>
      <c r="H9">
        <f t="shared" si="2"/>
        <v>146.16472019368871</v>
      </c>
      <c r="I9">
        <f t="shared" si="3"/>
        <v>16.44353102178998</v>
      </c>
      <c r="J9">
        <f t="shared" si="4"/>
        <v>73.082360096844354</v>
      </c>
      <c r="K9">
        <f t="shared" si="5"/>
        <v>273.25043636766003</v>
      </c>
      <c r="L9">
        <v>8</v>
      </c>
      <c r="M9">
        <f t="shared" si="21"/>
        <v>16.44353102178998</v>
      </c>
      <c r="N9">
        <f t="shared" si="6"/>
        <v>-1.0529199449396922</v>
      </c>
      <c r="O9">
        <f t="shared" si="7"/>
        <v>-25.554236791451032</v>
      </c>
      <c r="P9">
        <f t="shared" si="8"/>
        <v>-42.844398994875831</v>
      </c>
      <c r="Q9">
        <f t="shared" si="9"/>
        <v>-4.8199948869235314</v>
      </c>
      <c r="R9">
        <f t="shared" si="10"/>
        <v>-21.422199497437916</v>
      </c>
      <c r="S9">
        <f t="shared" si="11"/>
        <v>-172.49109834229444</v>
      </c>
      <c r="T9">
        <f t="shared" si="12"/>
        <v>-4.8199948869235314</v>
      </c>
      <c r="U9">
        <f t="shared" si="22"/>
        <v>7.0642591982384557</v>
      </c>
      <c r="V9">
        <f t="shared" si="13"/>
        <v>16.498220226980358</v>
      </c>
      <c r="W9">
        <f t="shared" si="14"/>
        <v>65.939810656089122</v>
      </c>
      <c r="X9">
        <f t="shared" si="15"/>
        <v>238.08561915021787</v>
      </c>
      <c r="Y9">
        <f t="shared" si="16"/>
        <v>26.78463215439951</v>
      </c>
      <c r="Z9">
        <f t="shared" si="17"/>
        <v>119.04280957510893</v>
      </c>
      <c r="AA9">
        <f t="shared" si="18"/>
        <v>445.09372192860161</v>
      </c>
      <c r="AB9">
        <f t="shared" si="19"/>
        <v>26.78463215439951</v>
      </c>
      <c r="AC9">
        <f t="shared" si="23"/>
        <v>-3.7370585494126267</v>
      </c>
      <c r="AD9">
        <f t="shared" si="24"/>
        <v>-56.494606173453811</v>
      </c>
      <c r="AE9">
        <f t="shared" si="25"/>
        <v>-109.68519309216073</v>
      </c>
      <c r="AF9">
        <f t="shared" si="26"/>
        <v>-12.339584222868083</v>
      </c>
      <c r="AG9">
        <f t="shared" si="27"/>
        <v>-54.842596546080365</v>
      </c>
      <c r="AH9">
        <f t="shared" si="28"/>
        <v>-381.33859167081323</v>
      </c>
      <c r="AI9">
        <f t="shared" si="29"/>
        <v>-12.339584222868083</v>
      </c>
    </row>
    <row r="10" spans="1:35" ht="15.75" thickBot="1" x14ac:dyDescent="0.3">
      <c r="A10" s="7" t="s">
        <v>16</v>
      </c>
      <c r="B10" s="8">
        <f>ECS!O36</f>
        <v>3.5</v>
      </c>
      <c r="C10" s="9" t="s">
        <v>23</v>
      </c>
      <c r="E10">
        <f t="shared" si="20"/>
        <v>37.087360790751887</v>
      </c>
      <c r="F10">
        <f t="shared" si="0"/>
        <v>8.8581370176081897</v>
      </c>
      <c r="G10">
        <f t="shared" si="1"/>
        <v>33.536223226999823</v>
      </c>
      <c r="H10">
        <f t="shared" si="2"/>
        <v>124.62674819678388</v>
      </c>
      <c r="I10">
        <f t="shared" si="3"/>
        <v>14.020509172138187</v>
      </c>
      <c r="J10">
        <f t="shared" si="4"/>
        <v>62.31337409839194</v>
      </c>
      <c r="K10">
        <f t="shared" si="5"/>
        <v>226.36950678224881</v>
      </c>
      <c r="L10">
        <v>9</v>
      </c>
      <c r="M10">
        <f t="shared" si="21"/>
        <v>14.020509172138187</v>
      </c>
      <c r="N10">
        <f t="shared" si="6"/>
        <v>-1.0769720837628849</v>
      </c>
      <c r="O10">
        <f t="shared" si="7"/>
        <v>-25.591109590517668</v>
      </c>
      <c r="P10">
        <f t="shared" si="8"/>
        <v>-43.132197957872499</v>
      </c>
      <c r="Q10">
        <f t="shared" si="9"/>
        <v>-4.8523722702606564</v>
      </c>
      <c r="R10">
        <f t="shared" si="10"/>
        <v>-21.56609897893625</v>
      </c>
      <c r="S10">
        <f t="shared" si="11"/>
        <v>-172.73998973599424</v>
      </c>
      <c r="T10">
        <f t="shared" si="12"/>
        <v>-4.8523722702606564</v>
      </c>
      <c r="U10">
        <f t="shared" si="22"/>
        <v>7.4174721581503791</v>
      </c>
      <c r="V10">
        <f t="shared" si="13"/>
        <v>14.428892509492014</v>
      </c>
      <c r="W10">
        <f t="shared" si="14"/>
        <v>54.626673662287324</v>
      </c>
      <c r="X10">
        <f t="shared" si="15"/>
        <v>203.00272506108351</v>
      </c>
      <c r="Y10">
        <f t="shared" si="16"/>
        <v>22.837806569371896</v>
      </c>
      <c r="Z10">
        <f t="shared" si="17"/>
        <v>101.50136253054175</v>
      </c>
      <c r="AA10">
        <f t="shared" si="18"/>
        <v>368.73004722043947</v>
      </c>
      <c r="AB10">
        <f t="shared" si="19"/>
        <v>22.837806569371896</v>
      </c>
      <c r="AC10">
        <f t="shared" si="23"/>
        <v>-3.8904471057011212</v>
      </c>
      <c r="AD10">
        <f t="shared" si="24"/>
        <v>-57.049285690077909</v>
      </c>
      <c r="AE10">
        <f t="shared" si="25"/>
        <v>-112.02152155064934</v>
      </c>
      <c r="AF10">
        <f t="shared" si="26"/>
        <v>-12.602421174448052</v>
      </c>
      <c r="AG10">
        <f t="shared" si="27"/>
        <v>-56.01076077532467</v>
      </c>
      <c r="AH10">
        <f t="shared" si="28"/>
        <v>-385.08267840802586</v>
      </c>
      <c r="AI10">
        <f t="shared" si="29"/>
        <v>-12.602421174448052</v>
      </c>
    </row>
    <row r="11" spans="1:35" ht="15.75" thickBot="1" x14ac:dyDescent="0.3">
      <c r="A11" s="10" t="s">
        <v>18</v>
      </c>
      <c r="B11" s="37">
        <f>ECS!O33</f>
        <v>167.347904112935</v>
      </c>
      <c r="C11" s="12" t="s">
        <v>19</v>
      </c>
      <c r="E11">
        <f t="shared" si="20"/>
        <v>38.941728830289485</v>
      </c>
      <c r="F11">
        <f t="shared" si="0"/>
        <v>7.8700535116049801</v>
      </c>
      <c r="G11">
        <f t="shared" si="1"/>
        <v>28.201765833549022</v>
      </c>
      <c r="H11">
        <f t="shared" si="2"/>
        <v>107.92794136732873</v>
      </c>
      <c r="I11">
        <f t="shared" si="3"/>
        <v>12.141893403824483</v>
      </c>
      <c r="J11">
        <f t="shared" si="4"/>
        <v>53.963970683664364</v>
      </c>
      <c r="K11">
        <f t="shared" si="5"/>
        <v>190.36191937645589</v>
      </c>
      <c r="L11">
        <v>10</v>
      </c>
      <c r="M11">
        <f t="shared" si="21"/>
        <v>12.141893403824483</v>
      </c>
      <c r="N11">
        <f t="shared" si="6"/>
        <v>-1.102173924788971</v>
      </c>
      <c r="O11">
        <f t="shared" si="7"/>
        <v>-25.631885376623593</v>
      </c>
      <c r="P11">
        <f t="shared" si="8"/>
        <v>-43.438577713663079</v>
      </c>
      <c r="Q11">
        <f t="shared" si="9"/>
        <v>-4.8868399927870971</v>
      </c>
      <c r="R11">
        <f t="shared" si="10"/>
        <v>-21.71928885683154</v>
      </c>
      <c r="S11">
        <f t="shared" si="11"/>
        <v>-173.01522629220923</v>
      </c>
      <c r="T11">
        <f t="shared" si="12"/>
        <v>-4.8868399927870971</v>
      </c>
      <c r="U11">
        <f t="shared" si="22"/>
        <v>7.7883457660578985</v>
      </c>
      <c r="V11">
        <f t="shared" si="13"/>
        <v>12.819417439261969</v>
      </c>
      <c r="W11">
        <f t="shared" si="14"/>
        <v>45.937452421572118</v>
      </c>
      <c r="X11">
        <f t="shared" si="15"/>
        <v>175.80227779999134</v>
      </c>
      <c r="Y11">
        <f t="shared" si="16"/>
        <v>19.777756252499024</v>
      </c>
      <c r="Z11">
        <f t="shared" si="17"/>
        <v>87.901138899995672</v>
      </c>
      <c r="AA11">
        <f t="shared" si="18"/>
        <v>310.07780384561181</v>
      </c>
      <c r="AB11">
        <f t="shared" si="19"/>
        <v>19.777756252499024</v>
      </c>
      <c r="AC11">
        <f t="shared" si="23"/>
        <v>-4.057135897511305</v>
      </c>
      <c r="AD11">
        <f t="shared" si="24"/>
        <v>-57.673581852660021</v>
      </c>
      <c r="AE11">
        <f t="shared" si="25"/>
        <v>-114.58423509371241</v>
      </c>
      <c r="AF11">
        <f t="shared" si="26"/>
        <v>-12.890726448042646</v>
      </c>
      <c r="AG11">
        <f t="shared" si="27"/>
        <v>-57.292117546856204</v>
      </c>
      <c r="AH11">
        <f t="shared" si="28"/>
        <v>-389.29667750545514</v>
      </c>
      <c r="AI11">
        <f t="shared" si="29"/>
        <v>-12.890726448042646</v>
      </c>
    </row>
    <row r="12" spans="1:35" ht="15.75" thickBot="1" x14ac:dyDescent="0.3">
      <c r="A12" s="7" t="s">
        <v>20</v>
      </c>
      <c r="B12" s="8">
        <f>ECS!O34</f>
        <v>0.1</v>
      </c>
      <c r="C12" s="9" t="s">
        <v>21</v>
      </c>
      <c r="E12">
        <f t="shared" si="20"/>
        <v>40.888815271803963</v>
      </c>
      <c r="F12">
        <f t="shared" si="0"/>
        <v>7.0795878358143902</v>
      </c>
      <c r="G12">
        <f t="shared" si="1"/>
        <v>23.993952282209751</v>
      </c>
      <c r="H12">
        <f t="shared" si="2"/>
        <v>94.61635834478335</v>
      </c>
      <c r="I12">
        <f t="shared" si="3"/>
        <v>10.644340313788126</v>
      </c>
      <c r="J12">
        <f t="shared" si="4"/>
        <v>47.308179172391675</v>
      </c>
      <c r="K12">
        <f t="shared" si="5"/>
        <v>161.95917790491583</v>
      </c>
      <c r="L12">
        <v>11</v>
      </c>
      <c r="M12">
        <f t="shared" si="21"/>
        <v>10.644340313788126</v>
      </c>
      <c r="N12">
        <f t="shared" si="6"/>
        <v>-1.1286099079257679</v>
      </c>
      <c r="O12">
        <f t="shared" si="7"/>
        <v>-25.676991547632472</v>
      </c>
      <c r="P12">
        <f t="shared" si="8"/>
        <v>-43.764996142082779</v>
      </c>
      <c r="Q12">
        <f t="shared" si="9"/>
        <v>-4.9235620659843136</v>
      </c>
      <c r="R12">
        <f t="shared" si="10"/>
        <v>-21.88249807104139</v>
      </c>
      <c r="S12">
        <f t="shared" si="11"/>
        <v>-173.31969294651918</v>
      </c>
      <c r="T12">
        <f t="shared" si="12"/>
        <v>-4.9235620659843136</v>
      </c>
      <c r="U12">
        <f t="shared" si="22"/>
        <v>8.1777630543607938</v>
      </c>
      <c r="V12">
        <f t="shared" si="13"/>
        <v>11.531839222109371</v>
      </c>
      <c r="W12">
        <f t="shared" si="14"/>
        <v>39.083405197921081</v>
      </c>
      <c r="X12">
        <f t="shared" si="15"/>
        <v>154.1192308814704</v>
      </c>
      <c r="Y12">
        <f t="shared" si="16"/>
        <v>17.338413474165417</v>
      </c>
      <c r="Z12">
        <f t="shared" si="17"/>
        <v>77.0596154407352</v>
      </c>
      <c r="AA12">
        <f t="shared" si="18"/>
        <v>263.81298508596728</v>
      </c>
      <c r="AB12">
        <f t="shared" si="19"/>
        <v>17.338413474165417</v>
      </c>
      <c r="AC12">
        <f t="shared" si="23"/>
        <v>-4.2389331158245804</v>
      </c>
      <c r="AD12">
        <f t="shared" si="24"/>
        <v>-58.377897771289177</v>
      </c>
      <c r="AE12">
        <f t="shared" si="25"/>
        <v>-117.404385131015</v>
      </c>
      <c r="AF12">
        <f t="shared" si="26"/>
        <v>-13.207993327239189</v>
      </c>
      <c r="AG12">
        <f t="shared" si="27"/>
        <v>-58.702192565507502</v>
      </c>
      <c r="AH12">
        <f t="shared" si="28"/>
        <v>-394.05080995620199</v>
      </c>
      <c r="AI12">
        <f t="shared" si="29"/>
        <v>-13.207993327239189</v>
      </c>
    </row>
    <row r="13" spans="1:35" ht="15.75" thickBot="1" x14ac:dyDescent="0.3">
      <c r="A13" s="10" t="s">
        <v>26</v>
      </c>
      <c r="B13" s="34">
        <f>ECS!O28</f>
        <v>20.918488014116875</v>
      </c>
      <c r="C13" s="12" t="s">
        <v>27</v>
      </c>
      <c r="E13">
        <f t="shared" si="20"/>
        <v>42.933256035394166</v>
      </c>
      <c r="F13">
        <f t="shared" si="0"/>
        <v>6.4328442183584293</v>
      </c>
      <c r="G13">
        <f t="shared" si="1"/>
        <v>20.604558039876775</v>
      </c>
      <c r="H13">
        <f t="shared" si="2"/>
        <v>83.768016918104948</v>
      </c>
      <c r="I13">
        <f t="shared" si="3"/>
        <v>9.4239019032868061</v>
      </c>
      <c r="J13">
        <f t="shared" si="4"/>
        <v>41.884008459052474</v>
      </c>
      <c r="K13">
        <f t="shared" si="5"/>
        <v>139.08076676916824</v>
      </c>
      <c r="L13">
        <v>12</v>
      </c>
      <c r="M13">
        <f t="shared" si="21"/>
        <v>9.4239019032868061</v>
      </c>
      <c r="N13">
        <f t="shared" si="6"/>
        <v>-1.1563729495199446</v>
      </c>
      <c r="O13">
        <f t="shared" si="7"/>
        <v>-25.726905453820638</v>
      </c>
      <c r="P13">
        <f t="shared" si="8"/>
        <v>-44.113057274967261</v>
      </c>
      <c r="Q13">
        <f t="shared" si="9"/>
        <v>-4.9627189434338161</v>
      </c>
      <c r="R13">
        <f t="shared" si="10"/>
        <v>-22.05652863748363</v>
      </c>
      <c r="S13">
        <f t="shared" si="11"/>
        <v>-173.65661181328929</v>
      </c>
      <c r="T13">
        <f t="shared" si="12"/>
        <v>-4.9627189434338161</v>
      </c>
      <c r="U13">
        <f t="shared" si="22"/>
        <v>8.5866512070788339</v>
      </c>
      <c r="V13">
        <f t="shared" si="13"/>
        <v>10.478367807191949</v>
      </c>
      <c r="W13">
        <f t="shared" si="14"/>
        <v>33.562469464177077</v>
      </c>
      <c r="X13">
        <f t="shared" si="15"/>
        <v>136.44852291650415</v>
      </c>
      <c r="Y13">
        <f t="shared" si="16"/>
        <v>15.350458828106717</v>
      </c>
      <c r="Z13">
        <f t="shared" si="17"/>
        <v>68.224261458252073</v>
      </c>
      <c r="AA13">
        <f t="shared" si="18"/>
        <v>226.54666888319528</v>
      </c>
      <c r="AB13">
        <f t="shared" si="19"/>
        <v>15.350458828106717</v>
      </c>
      <c r="AC13">
        <f t="shared" si="23"/>
        <v>-4.4379902793934694</v>
      </c>
      <c r="AD13">
        <f t="shared" si="24"/>
        <v>-59.174615762963796</v>
      </c>
      <c r="AE13">
        <f t="shared" si="25"/>
        <v>-120.51891026128814</v>
      </c>
      <c r="AF13">
        <f t="shared" si="26"/>
        <v>-13.558377404394916</v>
      </c>
      <c r="AG13">
        <f t="shared" si="27"/>
        <v>-60.259455130644071</v>
      </c>
      <c r="AH13">
        <f t="shared" si="28"/>
        <v>-399.42865640000565</v>
      </c>
      <c r="AI13">
        <f t="shared" si="29"/>
        <v>-13.558377404394916</v>
      </c>
    </row>
    <row r="14" spans="1:35" ht="15.75" thickBot="1" x14ac:dyDescent="0.3">
      <c r="A14" s="10" t="s">
        <v>32</v>
      </c>
      <c r="B14" s="37">
        <f>ECS!O52</f>
        <v>4253.3083536317963</v>
      </c>
      <c r="C14" s="12" t="s">
        <v>198</v>
      </c>
      <c r="E14">
        <f t="shared" si="20"/>
        <v>45.079918837163873</v>
      </c>
      <c r="F14">
        <f t="shared" si="0"/>
        <v>5.8938921446516153</v>
      </c>
      <c r="G14">
        <f t="shared" si="1"/>
        <v>17.828028964539069</v>
      </c>
      <c r="H14">
        <f t="shared" si="2"/>
        <v>74.76691134151848</v>
      </c>
      <c r="I14">
        <f t="shared" si="3"/>
        <v>8.4112775259208288</v>
      </c>
      <c r="J14">
        <f t="shared" si="4"/>
        <v>37.38345567075924</v>
      </c>
      <c r="K14">
        <f t="shared" si="5"/>
        <v>120.3391955106387</v>
      </c>
      <c r="L14">
        <v>13</v>
      </c>
      <c r="M14">
        <f t="shared" si="21"/>
        <v>8.4112775259208288</v>
      </c>
      <c r="N14">
        <f t="shared" si="6"/>
        <v>-1.1855655333634483</v>
      </c>
      <c r="O14">
        <f t="shared" si="7"/>
        <v>-25.782160930947391</v>
      </c>
      <c r="P14">
        <f t="shared" si="8"/>
        <v>-44.484530007490115</v>
      </c>
      <c r="Q14">
        <f t="shared" si="9"/>
        <v>-5.0045096258426387</v>
      </c>
      <c r="R14">
        <f t="shared" si="10"/>
        <v>-22.242265003745057</v>
      </c>
      <c r="S14">
        <f t="shared" si="11"/>
        <v>-174.0295862838949</v>
      </c>
      <c r="T14">
        <f t="shared" si="12"/>
        <v>-5.0045096258426387</v>
      </c>
      <c r="U14">
        <f t="shared" si="22"/>
        <v>9.0159837674327754</v>
      </c>
      <c r="V14">
        <f t="shared" si="13"/>
        <v>9.600476493947939</v>
      </c>
      <c r="W14">
        <f t="shared" si="14"/>
        <v>29.039821022649097</v>
      </c>
      <c r="X14">
        <f t="shared" si="15"/>
        <v>121.78675096908587</v>
      </c>
      <c r="Y14">
        <f t="shared" si="16"/>
        <v>13.70100948402216</v>
      </c>
      <c r="Z14">
        <f t="shared" si="17"/>
        <v>60.893375484542936</v>
      </c>
      <c r="AA14">
        <f t="shared" si="18"/>
        <v>196.01879190288139</v>
      </c>
      <c r="AB14">
        <f t="shared" si="19"/>
        <v>13.70100948402216</v>
      </c>
      <c r="AC14">
        <f t="shared" si="23"/>
        <v>-4.6568877816252607</v>
      </c>
      <c r="AD14">
        <f t="shared" si="24"/>
        <v>-60.078586722764193</v>
      </c>
      <c r="AE14">
        <f t="shared" si="25"/>
        <v>-123.97210275056784</v>
      </c>
      <c r="AF14">
        <f t="shared" si="26"/>
        <v>-13.946861559438881</v>
      </c>
      <c r="AG14">
        <f t="shared" si="27"/>
        <v>-61.986051375283921</v>
      </c>
      <c r="AH14">
        <f t="shared" si="28"/>
        <v>-405.53046037865829</v>
      </c>
      <c r="AI14">
        <f t="shared" si="29"/>
        <v>-13.946861559438881</v>
      </c>
    </row>
    <row r="15" spans="1:35" ht="15.75" thickBot="1" x14ac:dyDescent="0.3">
      <c r="A15" s="7" t="s">
        <v>24</v>
      </c>
      <c r="B15" s="8">
        <v>0.05</v>
      </c>
      <c r="C15" s="9" t="s">
        <v>25</v>
      </c>
      <c r="E15">
        <f t="shared" si="20"/>
        <v>47.333914779022066</v>
      </c>
      <c r="F15">
        <f t="shared" si="0"/>
        <v>5.4378566430576027</v>
      </c>
      <c r="G15">
        <f t="shared" si="1"/>
        <v>15.521997958756542</v>
      </c>
      <c r="H15">
        <f t="shared" si="2"/>
        <v>67.186560145243263</v>
      </c>
      <c r="I15">
        <f t="shared" si="3"/>
        <v>7.5584880163398669</v>
      </c>
      <c r="J15">
        <f t="shared" si="4"/>
        <v>33.593280072621631</v>
      </c>
      <c r="K15">
        <f t="shared" si="5"/>
        <v>104.77348622160666</v>
      </c>
      <c r="L15">
        <v>14</v>
      </c>
      <c r="M15">
        <f t="shared" si="21"/>
        <v>7.5584880163398669</v>
      </c>
      <c r="N15">
        <f t="shared" si="6"/>
        <v>-1.216300974661032</v>
      </c>
      <c r="O15">
        <f t="shared" si="7"/>
        <v>-25.843355839267023</v>
      </c>
      <c r="P15">
        <f t="shared" si="8"/>
        <v>-44.88136977339957</v>
      </c>
      <c r="Q15">
        <f t="shared" si="9"/>
        <v>-5.0491540995074526</v>
      </c>
      <c r="R15">
        <f t="shared" si="10"/>
        <v>-22.440684886699785</v>
      </c>
      <c r="S15">
        <f t="shared" si="11"/>
        <v>-174.44265191505241</v>
      </c>
      <c r="T15">
        <f t="shared" si="12"/>
        <v>-5.0491540995074526</v>
      </c>
      <c r="U15">
        <f t="shared" si="22"/>
        <v>9.4667829558044154</v>
      </c>
      <c r="V15">
        <f t="shared" si="13"/>
        <v>8.8576467973726434</v>
      </c>
      <c r="W15">
        <f t="shared" si="14"/>
        <v>25.283560147495432</v>
      </c>
      <c r="X15">
        <f t="shared" si="15"/>
        <v>109.43922548174724</v>
      </c>
      <c r="Y15">
        <f t="shared" si="16"/>
        <v>12.311912866696565</v>
      </c>
      <c r="Z15">
        <f t="shared" si="17"/>
        <v>54.719612740873622</v>
      </c>
      <c r="AA15">
        <f t="shared" si="18"/>
        <v>170.66403099559417</v>
      </c>
      <c r="AB15">
        <f t="shared" si="19"/>
        <v>12.311912866696565</v>
      </c>
      <c r="AC15">
        <f t="shared" si="23"/>
        <v>-4.8987473578453988</v>
      </c>
      <c r="AD15">
        <f t="shared" si="24"/>
        <v>-61.10777324163201</v>
      </c>
      <c r="AE15">
        <f t="shared" si="25"/>
        <v>-127.8175364993882</v>
      </c>
      <c r="AF15">
        <f t="shared" si="26"/>
        <v>-14.379472856181172</v>
      </c>
      <c r="AG15">
        <f t="shared" si="27"/>
        <v>-63.908768249694099</v>
      </c>
      <c r="AH15">
        <f t="shared" si="28"/>
        <v>-412.47746938101614</v>
      </c>
      <c r="AI15">
        <f t="shared" si="29"/>
        <v>-14.379472856181172</v>
      </c>
    </row>
    <row r="16" spans="1:35" ht="15.75" thickBot="1" x14ac:dyDescent="0.3">
      <c r="A16" s="59" t="s">
        <v>30</v>
      </c>
      <c r="B16" s="60"/>
      <c r="C16" s="61"/>
      <c r="E16">
        <f t="shared" si="20"/>
        <v>49.700610517973175</v>
      </c>
      <c r="F16">
        <f t="shared" si="0"/>
        <v>5.0469698766930895</v>
      </c>
      <c r="G16">
        <f t="shared" si="1"/>
        <v>13.58472326551315</v>
      </c>
      <c r="H16">
        <f t="shared" si="2"/>
        <v>60.722319192813309</v>
      </c>
      <c r="I16">
        <f t="shared" si="3"/>
        <v>6.8312609091914975</v>
      </c>
      <c r="J16">
        <f t="shared" si="4"/>
        <v>30.361159596406655</v>
      </c>
      <c r="K16">
        <f t="shared" si="5"/>
        <v>91.696882042213758</v>
      </c>
      <c r="L16">
        <v>15</v>
      </c>
      <c r="M16">
        <f t="shared" si="21"/>
        <v>6.8312609091914975</v>
      </c>
      <c r="N16">
        <f t="shared" si="6"/>
        <v>-1.2487048898173079</v>
      </c>
      <c r="O16">
        <f t="shared" si="7"/>
        <v>-25.9111607956761</v>
      </c>
      <c r="P16">
        <f t="shared" si="8"/>
        <v>-45.305743747386515</v>
      </c>
      <c r="Q16">
        <f t="shared" si="9"/>
        <v>-5.0968961715809842</v>
      </c>
      <c r="R16">
        <f t="shared" si="10"/>
        <v>-22.652871873693257</v>
      </c>
      <c r="S16">
        <f t="shared" si="11"/>
        <v>-174.90033537081368</v>
      </c>
      <c r="T16">
        <f t="shared" si="12"/>
        <v>-5.0968961715809842</v>
      </c>
      <c r="U16">
        <f t="shared" si="22"/>
        <v>9.9401221035946374</v>
      </c>
      <c r="V16">
        <f t="shared" si="13"/>
        <v>8.2209369424623873</v>
      </c>
      <c r="W16">
        <f t="shared" si="14"/>
        <v>22.127961147998853</v>
      </c>
      <c r="X16">
        <f t="shared" si="15"/>
        <v>98.909715984133655</v>
      </c>
      <c r="Y16">
        <f t="shared" si="16"/>
        <v>11.127343048215037</v>
      </c>
      <c r="Z16">
        <f t="shared" si="17"/>
        <v>49.454857992066827</v>
      </c>
      <c r="AA16">
        <f t="shared" si="18"/>
        <v>149.36373774899226</v>
      </c>
      <c r="AB16">
        <f t="shared" si="19"/>
        <v>11.127343048215037</v>
      </c>
      <c r="AC16">
        <f t="shared" si="23"/>
        <v>-5.1673819033599635</v>
      </c>
      <c r="AD16">
        <f t="shared" si="24"/>
        <v>-62.284106063205428</v>
      </c>
      <c r="AE16">
        <f t="shared" si="25"/>
        <v>-132.12063530615194</v>
      </c>
      <c r="AF16">
        <f t="shared" si="26"/>
        <v>-14.863571471942095</v>
      </c>
      <c r="AG16">
        <f t="shared" si="27"/>
        <v>-66.06031765307597</v>
      </c>
      <c r="AH16">
        <f t="shared" si="28"/>
        <v>-420.41771592663667</v>
      </c>
      <c r="AI16">
        <f t="shared" si="29"/>
        <v>-14.863571471942095</v>
      </c>
    </row>
    <row r="17" spans="1:35" x14ac:dyDescent="0.25">
      <c r="A17" s="1" t="s">
        <v>0</v>
      </c>
      <c r="B17" s="35">
        <f>ECS!O85</f>
        <v>0.80770630153690648</v>
      </c>
      <c r="C17" s="3" t="s">
        <v>9</v>
      </c>
      <c r="E17">
        <f t="shared" si="20"/>
        <v>52.185641043871833</v>
      </c>
      <c r="F17">
        <f t="shared" si="0"/>
        <v>4.7082020985102924</v>
      </c>
      <c r="G17">
        <f t="shared" si="1"/>
        <v>11.941551588089474</v>
      </c>
      <c r="H17">
        <f t="shared" si="2"/>
        <v>55.150769535694877</v>
      </c>
      <c r="I17">
        <f t="shared" si="3"/>
        <v>6.2044615727656733</v>
      </c>
      <c r="J17">
        <f t="shared" si="4"/>
        <v>27.575384767847439</v>
      </c>
      <c r="K17">
        <f t="shared" si="5"/>
        <v>80.605473219603951</v>
      </c>
      <c r="L17">
        <v>16</v>
      </c>
      <c r="M17">
        <f t="shared" si="21"/>
        <v>6.2044615727656733</v>
      </c>
      <c r="N17">
        <f t="shared" si="6"/>
        <v>-1.2829169122346222</v>
      </c>
      <c r="O17">
        <f t="shared" si="7"/>
        <v>-25.986329327848843</v>
      </c>
      <c r="P17">
        <f t="shared" si="8"/>
        <v>-45.760060263528061</v>
      </c>
      <c r="Q17">
        <f t="shared" si="9"/>
        <v>-5.1480067796469067</v>
      </c>
      <c r="R17">
        <f t="shared" si="10"/>
        <v>-22.88003013176403</v>
      </c>
      <c r="S17">
        <f t="shared" si="11"/>
        <v>-175.4077229629797</v>
      </c>
      <c r="T17">
        <f t="shared" si="12"/>
        <v>-5.1480067796469067</v>
      </c>
      <c r="U17">
        <f t="shared" si="22"/>
        <v>10.43712820877437</v>
      </c>
      <c r="V17">
        <f t="shared" si="13"/>
        <v>7.6691229608810945</v>
      </c>
      <c r="W17">
        <f t="shared" si="14"/>
        <v>19.451422338420837</v>
      </c>
      <c r="X17">
        <f t="shared" si="15"/>
        <v>89.834298551093568</v>
      </c>
      <c r="Y17">
        <f t="shared" si="16"/>
        <v>10.106358586998025</v>
      </c>
      <c r="Z17">
        <f t="shared" si="17"/>
        <v>44.917149275546784</v>
      </c>
      <c r="AA17">
        <f t="shared" si="18"/>
        <v>131.29710078434061</v>
      </c>
      <c r="AB17">
        <f t="shared" si="19"/>
        <v>10.106358586998025</v>
      </c>
      <c r="AC17">
        <f t="shared" si="23"/>
        <v>-5.4674979620000776</v>
      </c>
      <c r="AD17">
        <f t="shared" si="24"/>
        <v>-63.634641411238398</v>
      </c>
      <c r="AE17">
        <f t="shared" si="25"/>
        <v>-136.96214404988746</v>
      </c>
      <c r="AF17">
        <f t="shared" si="26"/>
        <v>-15.408241205612338</v>
      </c>
      <c r="AG17">
        <f t="shared" si="27"/>
        <v>-68.481072024943728</v>
      </c>
      <c r="AH17">
        <f t="shared" si="28"/>
        <v>-429.53382952585918</v>
      </c>
      <c r="AI17">
        <f t="shared" si="29"/>
        <v>-15.408241205612338</v>
      </c>
    </row>
    <row r="18" spans="1:35" ht="15.75" thickBot="1" x14ac:dyDescent="0.3">
      <c r="A18" s="4" t="s">
        <v>1</v>
      </c>
      <c r="B18" s="33">
        <f>ECS!O81</f>
        <v>5.0204371233880503</v>
      </c>
      <c r="C18" s="6" t="s">
        <v>10</v>
      </c>
      <c r="E18">
        <f t="shared" si="20"/>
        <v>54.794923096065425</v>
      </c>
      <c r="F18">
        <f t="shared" si="0"/>
        <v>4.4117809982231959</v>
      </c>
      <c r="G18">
        <f t="shared" si="1"/>
        <v>10.536457625258954</v>
      </c>
      <c r="H18">
        <f t="shared" si="2"/>
        <v>50.304334840499713</v>
      </c>
      <c r="I18">
        <f t="shared" si="3"/>
        <v>5.6592376695562177</v>
      </c>
      <c r="J18">
        <f t="shared" si="4"/>
        <v>25.152167420249857</v>
      </c>
      <c r="K18">
        <f t="shared" si="5"/>
        <v>71.121088970497937</v>
      </c>
      <c r="L18">
        <v>17</v>
      </c>
      <c r="M18">
        <f t="shared" si="21"/>
        <v>5.6592376695562177</v>
      </c>
      <c r="N18">
        <f t="shared" si="6"/>
        <v>-1.3190927035402424</v>
      </c>
      <c r="O18">
        <f t="shared" si="7"/>
        <v>-26.069709731673385</v>
      </c>
      <c r="P18">
        <f t="shared" si="8"/>
        <v>-46.247003296929037</v>
      </c>
      <c r="Q18">
        <f t="shared" si="9"/>
        <v>-5.2027878709045172</v>
      </c>
      <c r="R18">
        <f t="shared" si="10"/>
        <v>-23.123501648464519</v>
      </c>
      <c r="S18">
        <f t="shared" si="11"/>
        <v>-175.97054068879535</v>
      </c>
      <c r="T18">
        <f t="shared" si="12"/>
        <v>-5.2027878709045172</v>
      </c>
      <c r="U18">
        <f t="shared" si="22"/>
        <v>10.958984619213089</v>
      </c>
      <c r="V18">
        <f t="shared" si="13"/>
        <v>7.1862868763764185</v>
      </c>
      <c r="W18">
        <f t="shared" si="14"/>
        <v>17.162684908065327</v>
      </c>
      <c r="X18">
        <f t="shared" si="15"/>
        <v>81.940010493430961</v>
      </c>
      <c r="Y18">
        <f t="shared" si="16"/>
        <v>9.2182511805109826</v>
      </c>
      <c r="Z18">
        <f t="shared" si="17"/>
        <v>40.97000524671548</v>
      </c>
      <c r="AA18">
        <f t="shared" si="18"/>
        <v>115.84812312944095</v>
      </c>
      <c r="AB18">
        <f t="shared" si="19"/>
        <v>9.2182511805109826</v>
      </c>
      <c r="AC18">
        <f t="shared" si="23"/>
        <v>-5.8049738329023945</v>
      </c>
      <c r="AD18">
        <f t="shared" si="24"/>
        <v>-65.193150308709605</v>
      </c>
      <c r="AE18">
        <f t="shared" si="25"/>
        <v>-142.44289618251415</v>
      </c>
      <c r="AF18">
        <f t="shared" si="26"/>
        <v>-16.024825820532843</v>
      </c>
      <c r="AG18">
        <f t="shared" si="27"/>
        <v>-71.221448091257074</v>
      </c>
      <c r="AH18">
        <f t="shared" si="28"/>
        <v>-440.05376458378987</v>
      </c>
      <c r="AI18">
        <f t="shared" si="29"/>
        <v>-16.024825820532843</v>
      </c>
    </row>
    <row r="19" spans="1:35" x14ac:dyDescent="0.25">
      <c r="A19" s="1" t="s">
        <v>11</v>
      </c>
      <c r="B19" s="2" t="str">
        <f>ECS!O84</f>
        <v>mi</v>
      </c>
      <c r="C19" s="3" t="s">
        <v>12</v>
      </c>
      <c r="E19">
        <f t="shared" si="20"/>
        <v>57.534669250868696</v>
      </c>
      <c r="F19">
        <f t="shared" si="0"/>
        <v>4.1502336326718021</v>
      </c>
      <c r="G19">
        <f t="shared" si="1"/>
        <v>9.3265696889561482</v>
      </c>
      <c r="H19">
        <f t="shared" si="2"/>
        <v>46.054857387437288</v>
      </c>
      <c r="I19">
        <f t="shared" si="3"/>
        <v>5.1811714560866946</v>
      </c>
      <c r="J19">
        <f t="shared" si="4"/>
        <v>23.027428693718644</v>
      </c>
      <c r="K19">
        <f t="shared" si="5"/>
        <v>62.954345400453988</v>
      </c>
      <c r="L19">
        <v>18</v>
      </c>
      <c r="M19">
        <f t="shared" si="21"/>
        <v>5.1811714560866946</v>
      </c>
      <c r="N19">
        <f t="shared" si="6"/>
        <v>-1.3574063213415835</v>
      </c>
      <c r="O19">
        <f t="shared" si="7"/>
        <v>-26.162258979761436</v>
      </c>
      <c r="P19">
        <f t="shared" si="8"/>
        <v>-46.769573055922876</v>
      </c>
      <c r="Q19">
        <f t="shared" si="9"/>
        <v>-5.2615769687913234</v>
      </c>
      <c r="R19">
        <f t="shared" si="10"/>
        <v>-23.384786527961438</v>
      </c>
      <c r="S19">
        <f t="shared" si="11"/>
        <v>-176.59524811338972</v>
      </c>
      <c r="T19">
        <f t="shared" si="12"/>
        <v>-5.2615769687913234</v>
      </c>
      <c r="U19">
        <f t="shared" si="22"/>
        <v>11.506933850173743</v>
      </c>
      <c r="V19">
        <f t="shared" si="13"/>
        <v>6.7602561188728654</v>
      </c>
      <c r="W19">
        <f t="shared" si="14"/>
        <v>15.191915778310086</v>
      </c>
      <c r="X19">
        <f t="shared" si="15"/>
        <v>75.018097537031039</v>
      </c>
      <c r="Y19">
        <f t="shared" si="16"/>
        <v>8.4395359729159924</v>
      </c>
      <c r="Z19">
        <f t="shared" si="17"/>
        <v>37.50904876851552</v>
      </c>
      <c r="AA19">
        <f t="shared" si="18"/>
        <v>102.54543150359309</v>
      </c>
      <c r="AB19">
        <f t="shared" si="19"/>
        <v>8.4395359729159924</v>
      </c>
      <c r="AC19">
        <f t="shared" si="23"/>
        <v>-6.1872484279436453</v>
      </c>
      <c r="AD19">
        <f t="shared" si="24"/>
        <v>-67.002340637197406</v>
      </c>
      <c r="AE19">
        <f t="shared" si="25"/>
        <v>-148.69047980073603</v>
      </c>
      <c r="AF19">
        <f t="shared" si="26"/>
        <v>-16.727678977582801</v>
      </c>
      <c r="AG19">
        <f t="shared" si="27"/>
        <v>-74.345239900368014</v>
      </c>
      <c r="AH19">
        <f t="shared" si="28"/>
        <v>-452.2657993010825</v>
      </c>
      <c r="AI19">
        <f t="shared" si="29"/>
        <v>-16.727678977582801</v>
      </c>
    </row>
    <row r="20" spans="1:35" x14ac:dyDescent="0.25">
      <c r="A20" s="4" t="s">
        <v>14</v>
      </c>
      <c r="B20" s="33">
        <f>ECS!O90</f>
        <v>0.05</v>
      </c>
      <c r="C20" s="6" t="s">
        <v>28</v>
      </c>
      <c r="E20">
        <f t="shared" si="20"/>
        <v>60.41140271341213</v>
      </c>
      <c r="F20">
        <f t="shared" si="0"/>
        <v>3.9177477127314719</v>
      </c>
      <c r="G20">
        <f t="shared" si="1"/>
        <v>8.278520110095279</v>
      </c>
      <c r="H20">
        <f t="shared" si="2"/>
        <v>42.302648750323527</v>
      </c>
      <c r="I20">
        <f t="shared" si="3"/>
        <v>4.7590479844113975</v>
      </c>
      <c r="J20">
        <f t="shared" si="4"/>
        <v>21.151324375161764</v>
      </c>
      <c r="K20">
        <f t="shared" si="5"/>
        <v>55.880010743143131</v>
      </c>
      <c r="L20">
        <v>19</v>
      </c>
      <c r="M20">
        <f t="shared" si="21"/>
        <v>4.7590479844113975</v>
      </c>
      <c r="N20">
        <f t="shared" si="6"/>
        <v>-1.3980530194892824</v>
      </c>
      <c r="O20">
        <f t="shared" si="7"/>
        <v>-26.265059113533706</v>
      </c>
      <c r="P20">
        <f t="shared" si="8"/>
        <v>-47.331133987296866</v>
      </c>
      <c r="Q20">
        <f t="shared" si="9"/>
        <v>-5.3247525735708967</v>
      </c>
      <c r="R20">
        <f t="shared" si="10"/>
        <v>-23.665566993648433</v>
      </c>
      <c r="S20">
        <f t="shared" si="11"/>
        <v>-177.28914901635252</v>
      </c>
      <c r="T20">
        <f t="shared" si="12"/>
        <v>-5.3247525735708967</v>
      </c>
      <c r="U20">
        <f t="shared" si="22"/>
        <v>12.082280542682431</v>
      </c>
      <c r="V20">
        <f t="shared" si="13"/>
        <v>6.3815631338669556</v>
      </c>
      <c r="W20">
        <f t="shared" si="14"/>
        <v>13.48476283091923</v>
      </c>
      <c r="X20">
        <f t="shared" si="15"/>
        <v>68.906178632358177</v>
      </c>
      <c r="Y20">
        <f t="shared" si="16"/>
        <v>7.7519450961402949</v>
      </c>
      <c r="Z20">
        <f t="shared" si="17"/>
        <v>34.453089316179089</v>
      </c>
      <c r="AA20">
        <f t="shared" si="18"/>
        <v>91.022149108704809</v>
      </c>
      <c r="AB20">
        <f t="shared" si="19"/>
        <v>7.7519450961402949</v>
      </c>
      <c r="AC20">
        <f t="shared" si="23"/>
        <v>-6.6238759928037823</v>
      </c>
      <c r="AD20">
        <f t="shared" si="24"/>
        <v>-69.117026860699909</v>
      </c>
      <c r="AE20">
        <f t="shared" si="25"/>
        <v>-155.86874709149322</v>
      </c>
      <c r="AF20">
        <f t="shared" si="26"/>
        <v>-17.535234047792986</v>
      </c>
      <c r="AG20">
        <f t="shared" si="27"/>
        <v>-77.93437354574661</v>
      </c>
      <c r="AH20">
        <f t="shared" si="28"/>
        <v>-466.53993130972435</v>
      </c>
      <c r="AI20">
        <f t="shared" si="29"/>
        <v>-17.535234047792986</v>
      </c>
    </row>
    <row r="21" spans="1:35" ht="15.75" thickBot="1" x14ac:dyDescent="0.3">
      <c r="A21" s="7" t="s">
        <v>13</v>
      </c>
      <c r="B21" s="8">
        <f>ECS!O89</f>
        <v>1119.4824015954455</v>
      </c>
      <c r="C21" s="9" t="s">
        <v>15</v>
      </c>
      <c r="E21">
        <f t="shared" si="20"/>
        <v>63.43197284908274</v>
      </c>
      <c r="F21">
        <f t="shared" si="0"/>
        <v>3.7097345890932463</v>
      </c>
      <c r="G21">
        <f t="shared" si="1"/>
        <v>7.3659481063734216</v>
      </c>
      <c r="H21">
        <f t="shared" si="2"/>
        <v>38.968998169350847</v>
      </c>
      <c r="I21">
        <f t="shared" si="3"/>
        <v>4.3840122940519706</v>
      </c>
      <c r="J21">
        <f t="shared" si="4"/>
        <v>19.484499084675424</v>
      </c>
      <c r="K21">
        <f t="shared" si="5"/>
        <v>49.720149718020593</v>
      </c>
      <c r="L21">
        <v>20</v>
      </c>
      <c r="M21">
        <f t="shared" si="21"/>
        <v>4.3840122940519706</v>
      </c>
      <c r="N21">
        <f t="shared" si="6"/>
        <v>-1.4412525759140191</v>
      </c>
      <c r="O21">
        <f t="shared" si="7"/>
        <v>-26.37933666012821</v>
      </c>
      <c r="P21">
        <f t="shared" si="8"/>
        <v>-47.935471824202644</v>
      </c>
      <c r="Q21">
        <f t="shared" si="9"/>
        <v>-5.3927405802227968</v>
      </c>
      <c r="R21">
        <f t="shared" si="10"/>
        <v>-23.967735912101322</v>
      </c>
      <c r="S21">
        <f t="shared" si="11"/>
        <v>-178.0605224558654</v>
      </c>
      <c r="T21">
        <f t="shared" si="12"/>
        <v>-5.3927405802227968</v>
      </c>
      <c r="U21">
        <f t="shared" si="22"/>
        <v>12.686394569816553</v>
      </c>
      <c r="V21">
        <f t="shared" si="13"/>
        <v>6.0427335362243086</v>
      </c>
      <c r="W21">
        <f t="shared" si="14"/>
        <v>11.998287365175111</v>
      </c>
      <c r="X21">
        <f t="shared" si="15"/>
        <v>63.476042950166153</v>
      </c>
      <c r="Y21">
        <f t="shared" si="16"/>
        <v>7.1410548318936931</v>
      </c>
      <c r="Z21">
        <f t="shared" si="17"/>
        <v>31.738021475083077</v>
      </c>
      <c r="AA21">
        <f t="shared" si="18"/>
        <v>80.988439714931999</v>
      </c>
      <c r="AB21">
        <f t="shared" si="19"/>
        <v>7.1410548318936931</v>
      </c>
      <c r="AC21">
        <f t="shared" si="23"/>
        <v>-7.1273355473266253</v>
      </c>
      <c r="AD21">
        <f t="shared" si="24"/>
        <v>-71.608755154679471</v>
      </c>
      <c r="AE21">
        <f t="shared" si="25"/>
        <v>-164.19169039112225</v>
      </c>
      <c r="AF21">
        <f t="shared" si="26"/>
        <v>-18.471565169001252</v>
      </c>
      <c r="AG21">
        <f t="shared" si="27"/>
        <v>-82.095845195561125</v>
      </c>
      <c r="AH21">
        <f t="shared" si="28"/>
        <v>-483.35909729408644</v>
      </c>
      <c r="AI21">
        <f t="shared" si="29"/>
        <v>-18.471565169001252</v>
      </c>
    </row>
    <row r="22" spans="1:35" ht="15.75" thickBot="1" x14ac:dyDescent="0.3">
      <c r="A22" s="10" t="s">
        <v>32</v>
      </c>
      <c r="B22" s="34">
        <f>ECS!O55</f>
        <v>78.325972099303485</v>
      </c>
      <c r="C22" s="12" t="s">
        <v>34</v>
      </c>
      <c r="E22">
        <f t="shared" si="20"/>
        <v>66.603571491536883</v>
      </c>
      <c r="F22">
        <f t="shared" si="0"/>
        <v>3.5225233423097912</v>
      </c>
      <c r="G22">
        <f t="shared" si="1"/>
        <v>6.567751718788883</v>
      </c>
      <c r="H22">
        <f t="shared" si="2"/>
        <v>35.990928423314635</v>
      </c>
      <c r="I22">
        <f t="shared" si="3"/>
        <v>4.0489794476228962</v>
      </c>
      <c r="J22">
        <f t="shared" si="4"/>
        <v>17.995464211657318</v>
      </c>
      <c r="K22">
        <f t="shared" si="5"/>
        <v>44.332324101824966</v>
      </c>
      <c r="L22">
        <v>21</v>
      </c>
      <c r="M22">
        <f t="shared" si="21"/>
        <v>4.0489794476228962</v>
      </c>
      <c r="N22">
        <f t="shared" si="6"/>
        <v>-1.4872532677580996</v>
      </c>
      <c r="O22">
        <f t="shared" si="7"/>
        <v>-26.506485755932637</v>
      </c>
      <c r="P22">
        <f t="shared" si="8"/>
        <v>-48.586861729072275</v>
      </c>
      <c r="Q22">
        <f t="shared" si="9"/>
        <v>-5.4660219445206302</v>
      </c>
      <c r="R22">
        <f t="shared" si="10"/>
        <v>-24.293430864536138</v>
      </c>
      <c r="S22">
        <f t="shared" si="11"/>
        <v>-178.9187788525453</v>
      </c>
      <c r="T22">
        <f t="shared" si="12"/>
        <v>-5.4660219445206302</v>
      </c>
      <c r="U22">
        <f t="shared" si="22"/>
        <v>13.320714298307381</v>
      </c>
      <c r="V22">
        <f t="shared" si="13"/>
        <v>5.7377878178371446</v>
      </c>
      <c r="W22">
        <f t="shared" si="14"/>
        <v>10.698116702311296</v>
      </c>
      <c r="X22">
        <f t="shared" si="15"/>
        <v>58.625107796881615</v>
      </c>
      <c r="Y22">
        <f t="shared" si="16"/>
        <v>6.5953246271491821</v>
      </c>
      <c r="Z22">
        <f t="shared" si="17"/>
        <v>29.312553898440807</v>
      </c>
      <c r="AA22">
        <f t="shared" si="18"/>
        <v>72.212287740601255</v>
      </c>
      <c r="AB22">
        <f t="shared" si="19"/>
        <v>6.5953246271491821</v>
      </c>
      <c r="AC22">
        <f t="shared" si="23"/>
        <v>-7.7142428107947802</v>
      </c>
      <c r="AD22">
        <f t="shared" si="24"/>
        <v>-74.572728310757043</v>
      </c>
      <c r="AE22">
        <f t="shared" si="25"/>
        <v>-173.94421798319138</v>
      </c>
      <c r="AF22">
        <f t="shared" si="26"/>
        <v>-19.568724523109033</v>
      </c>
      <c r="AG22">
        <f t="shared" si="27"/>
        <v>-86.97210899159569</v>
      </c>
      <c r="AH22">
        <f t="shared" si="28"/>
        <v>-503.36591609761012</v>
      </c>
      <c r="AI22">
        <f t="shared" si="29"/>
        <v>-19.568724523109033</v>
      </c>
    </row>
    <row r="23" spans="1:35" ht="15.75" thickBot="1" x14ac:dyDescent="0.3">
      <c r="A23" s="7" t="s">
        <v>24</v>
      </c>
      <c r="B23" s="8">
        <v>0.05</v>
      </c>
      <c r="C23" s="9" t="s">
        <v>25</v>
      </c>
      <c r="E23">
        <f t="shared" si="20"/>
        <v>69.933750066113731</v>
      </c>
      <c r="F23">
        <f t="shared" si="0"/>
        <v>3.3531422756856077</v>
      </c>
      <c r="G23">
        <f t="shared" si="1"/>
        <v>5.8668390998647926</v>
      </c>
      <c r="H23">
        <f t="shared" si="2"/>
        <v>33.317450033990639</v>
      </c>
      <c r="I23">
        <f t="shared" si="3"/>
        <v>3.7482131288239464</v>
      </c>
      <c r="J23">
        <f t="shared" si="4"/>
        <v>16.658725016995319</v>
      </c>
      <c r="K23">
        <f t="shared" si="5"/>
        <v>39.601163924087352</v>
      </c>
      <c r="L23">
        <v>22</v>
      </c>
      <c r="M23">
        <f t="shared" si="21"/>
        <v>3.7482131288239464</v>
      </c>
      <c r="N23">
        <f t="shared" si="6"/>
        <v>-1.5363366456119314</v>
      </c>
      <c r="O23">
        <f t="shared" si="7"/>
        <v>-26.64809584157047</v>
      </c>
      <c r="P23">
        <f t="shared" si="8"/>
        <v>-49.290150133966868</v>
      </c>
      <c r="Q23">
        <f t="shared" si="9"/>
        <v>-5.5451418900712737</v>
      </c>
      <c r="R23">
        <f t="shared" si="10"/>
        <v>-24.645075066983434</v>
      </c>
      <c r="S23">
        <f t="shared" si="11"/>
        <v>-179.87464693060068</v>
      </c>
      <c r="T23">
        <f t="shared" si="12"/>
        <v>-5.5451418900712737</v>
      </c>
      <c r="U23">
        <f t="shared" si="22"/>
        <v>13.986750013222752</v>
      </c>
      <c r="V23">
        <f t="shared" si="13"/>
        <v>5.4618854245229178</v>
      </c>
      <c r="W23">
        <f t="shared" si="14"/>
        <v>9.5564101767858016</v>
      </c>
      <c r="X23">
        <f t="shared" si="15"/>
        <v>54.27031714176691</v>
      </c>
      <c r="Y23">
        <f t="shared" si="16"/>
        <v>6.1054106784487772</v>
      </c>
      <c r="Z23">
        <f t="shared" si="17"/>
        <v>27.135158570883455</v>
      </c>
      <c r="AA23">
        <f t="shared" si="18"/>
        <v>64.505768693304162</v>
      </c>
      <c r="AB23">
        <f t="shared" si="19"/>
        <v>6.1054106784487772</v>
      </c>
      <c r="AC23">
        <f t="shared" si="23"/>
        <v>-8.4072191964715319</v>
      </c>
      <c r="AD23">
        <f t="shared" si="24"/>
        <v>-78.138485181809813</v>
      </c>
      <c r="AE23">
        <f t="shared" si="25"/>
        <v>-185.51419393833251</v>
      </c>
      <c r="AF23">
        <f t="shared" si="26"/>
        <v>-20.870346818062409</v>
      </c>
      <c r="AG23">
        <f t="shared" si="27"/>
        <v>-92.757096969166255</v>
      </c>
      <c r="AH23">
        <f t="shared" si="28"/>
        <v>-527.43477497721631</v>
      </c>
      <c r="AI23">
        <f t="shared" si="29"/>
        <v>-20.870346818062409</v>
      </c>
    </row>
    <row r="24" spans="1:35" ht="15.75" thickBot="1" x14ac:dyDescent="0.3">
      <c r="E24">
        <f t="shared" si="20"/>
        <v>73.430437569419425</v>
      </c>
      <c r="F24">
        <f t="shared" si="0"/>
        <v>3.1991600010151107</v>
      </c>
      <c r="G24">
        <f t="shared" si="1"/>
        <v>5.249220245499429</v>
      </c>
      <c r="H24">
        <f t="shared" si="2"/>
        <v>30.906837059815174</v>
      </c>
      <c r="I24">
        <f t="shared" si="3"/>
        <v>3.477019169229207</v>
      </c>
      <c r="J24">
        <f t="shared" si="4"/>
        <v>15.453418529907587</v>
      </c>
      <c r="K24">
        <f t="shared" si="5"/>
        <v>35.432236657121145</v>
      </c>
      <c r="L24">
        <v>23</v>
      </c>
      <c r="M24">
        <f t="shared" si="21"/>
        <v>3.477019169229207</v>
      </c>
      <c r="N24">
        <f t="shared" si="6"/>
        <v>-1.5888233007668322</v>
      </c>
      <c r="O24">
        <f t="shared" si="7"/>
        <v>-26.80598503340569</v>
      </c>
      <c r="P24">
        <f t="shared" si="8"/>
        <v>-50.050853602519972</v>
      </c>
      <c r="Q24">
        <f t="shared" si="9"/>
        <v>-5.6307210302834978</v>
      </c>
      <c r="R24">
        <f t="shared" si="10"/>
        <v>-25.025426801259986</v>
      </c>
      <c r="S24">
        <f t="shared" si="11"/>
        <v>-180.94039897548842</v>
      </c>
      <c r="T24">
        <f t="shared" si="12"/>
        <v>-5.6307210302834978</v>
      </c>
      <c r="U24">
        <f t="shared" si="22"/>
        <v>14.686087513883889</v>
      </c>
      <c r="V24">
        <f t="shared" si="13"/>
        <v>5.2110659028592545</v>
      </c>
      <c r="W24">
        <f t="shared" si="14"/>
        <v>8.5503796713015152</v>
      </c>
      <c r="X24">
        <f t="shared" si="15"/>
        <v>50.343704196265612</v>
      </c>
      <c r="Y24">
        <f t="shared" si="16"/>
        <v>5.6636667220798822</v>
      </c>
      <c r="Z24">
        <f t="shared" si="17"/>
        <v>25.171852098132806</v>
      </c>
      <c r="AA24">
        <f t="shared" si="18"/>
        <v>57.715062781285233</v>
      </c>
      <c r="AB24">
        <f t="shared" si="19"/>
        <v>5.6636667220798822</v>
      </c>
      <c r="AC24">
        <f t="shared" si="23"/>
        <v>-9.2378747789105073</v>
      </c>
      <c r="AD24">
        <f t="shared" si="24"/>
        <v>-82.486945543329739</v>
      </c>
      <c r="AE24">
        <f t="shared" si="25"/>
        <v>-199.44357462763932</v>
      </c>
      <c r="AF24">
        <f t="shared" si="26"/>
        <v>-22.437402145609422</v>
      </c>
      <c r="AG24">
        <f t="shared" si="27"/>
        <v>-99.721787313819661</v>
      </c>
      <c r="AH24">
        <f t="shared" si="28"/>
        <v>-556.78688241747568</v>
      </c>
      <c r="AI24">
        <f t="shared" si="29"/>
        <v>-22.437402145609422</v>
      </c>
    </row>
    <row r="25" spans="1:35" ht="15.75" thickBot="1" x14ac:dyDescent="0.3">
      <c r="A25" s="59" t="s">
        <v>40</v>
      </c>
      <c r="B25" s="60"/>
      <c r="C25" s="61"/>
      <c r="E25">
        <f t="shared" si="20"/>
        <v>77.101959447890394</v>
      </c>
      <c r="F25">
        <f t="shared" si="0"/>
        <v>3.0585679802154249</v>
      </c>
      <c r="G25">
        <f t="shared" si="1"/>
        <v>4.7033355375213945</v>
      </c>
      <c r="H25">
        <f t="shared" si="2"/>
        <v>28.72461355960624</v>
      </c>
      <c r="I25">
        <f t="shared" si="3"/>
        <v>3.2315190254557025</v>
      </c>
      <c r="J25">
        <f t="shared" si="4"/>
        <v>14.36230677980312</v>
      </c>
      <c r="K25">
        <f t="shared" si="5"/>
        <v>31.74751487826941</v>
      </c>
      <c r="L25">
        <v>24</v>
      </c>
      <c r="M25">
        <f t="shared" si="21"/>
        <v>3.2315190254557025</v>
      </c>
      <c r="N25">
        <f t="shared" si="6"/>
        <v>-1.6450798751031399</v>
      </c>
      <c r="O25">
        <f t="shared" si="7"/>
        <v>-26.982240594623093</v>
      </c>
      <c r="P25">
        <f t="shared" si="8"/>
        <v>-50.875278992633888</v>
      </c>
      <c r="Q25">
        <f t="shared" si="9"/>
        <v>-5.7234688866713128</v>
      </c>
      <c r="R25">
        <f t="shared" si="10"/>
        <v>-25.437639496316944</v>
      </c>
      <c r="S25">
        <f t="shared" si="11"/>
        <v>-182.13012401370588</v>
      </c>
      <c r="T25">
        <f t="shared" si="12"/>
        <v>-5.7234688866713128</v>
      </c>
      <c r="U25">
        <f t="shared" si="22"/>
        <v>15.420391889578084</v>
      </c>
      <c r="V25">
        <f t="shared" si="13"/>
        <v>4.9820575739320194</v>
      </c>
      <c r="W25">
        <f t="shared" si="14"/>
        <v>7.661195889391891</v>
      </c>
      <c r="X25">
        <f t="shared" si="15"/>
        <v>46.78911159359847</v>
      </c>
      <c r="Y25">
        <f t="shared" si="16"/>
        <v>5.2637750542798276</v>
      </c>
      <c r="Z25">
        <f t="shared" si="17"/>
        <v>23.394555796799235</v>
      </c>
      <c r="AA25">
        <f t="shared" si="18"/>
        <v>51.713072253395275</v>
      </c>
      <c r="AB25">
        <f t="shared" si="19"/>
        <v>5.2637750542798276</v>
      </c>
      <c r="AC25">
        <f t="shared" si="23"/>
        <v>-10.25176528868918</v>
      </c>
      <c r="AD25">
        <f t="shared" si="24"/>
        <v>-87.878734969605873</v>
      </c>
      <c r="AE25">
        <f t="shared" si="25"/>
        <v>-216.51338570388961</v>
      </c>
      <c r="AF25">
        <f t="shared" si="26"/>
        <v>-24.357755891687582</v>
      </c>
      <c r="AG25">
        <f t="shared" si="27"/>
        <v>-108.25669285194481</v>
      </c>
      <c r="AH25">
        <f t="shared" si="28"/>
        <v>-593.18146104483969</v>
      </c>
      <c r="AI25">
        <f t="shared" si="29"/>
        <v>-24.357755891687582</v>
      </c>
    </row>
    <row r="26" spans="1:35" ht="15.75" thickBot="1" x14ac:dyDescent="0.3">
      <c r="A26" s="59" t="s">
        <v>29</v>
      </c>
      <c r="B26" s="60"/>
      <c r="C26" s="61"/>
      <c r="E26">
        <f t="shared" si="20"/>
        <v>80.957057420284912</v>
      </c>
      <c r="F26">
        <f t="shared" si="0"/>
        <v>2.9296924315506363</v>
      </c>
      <c r="G26">
        <f t="shared" si="1"/>
        <v>4.21955201108661</v>
      </c>
      <c r="H26">
        <f t="shared" si="2"/>
        <v>26.742043446808612</v>
      </c>
      <c r="I26">
        <f t="shared" si="3"/>
        <v>3.0084798877659686</v>
      </c>
      <c r="J26">
        <f t="shared" si="4"/>
        <v>13.371021723404306</v>
      </c>
      <c r="K26">
        <f t="shared" si="5"/>
        <v>28.481976074834613</v>
      </c>
      <c r="L26">
        <v>25</v>
      </c>
      <c r="M26">
        <f t="shared" si="21"/>
        <v>3.0084798877659686</v>
      </c>
      <c r="N26">
        <f t="shared" si="6"/>
        <v>-1.705527637615968</v>
      </c>
      <c r="O26">
        <f t="shared" si="7"/>
        <v>-27.179268353658195</v>
      </c>
      <c r="P26">
        <f t="shared" si="8"/>
        <v>-51.770670474229483</v>
      </c>
      <c r="Q26">
        <f t="shared" si="9"/>
        <v>-5.8242004283508173</v>
      </c>
      <c r="R26">
        <f t="shared" si="10"/>
        <v>-25.885335237114742</v>
      </c>
      <c r="S26">
        <f t="shared" si="11"/>
        <v>-183.46006138719281</v>
      </c>
      <c r="T26">
        <f t="shared" si="12"/>
        <v>-5.8242004283508173</v>
      </c>
      <c r="U26">
        <f t="shared" si="22"/>
        <v>16.191411484056989</v>
      </c>
      <c r="V26">
        <f t="shared" si="13"/>
        <v>4.7721340386457989</v>
      </c>
      <c r="W26">
        <f t="shared" si="14"/>
        <v>6.8731678325990524</v>
      </c>
      <c r="X26">
        <f t="shared" si="15"/>
        <v>43.55973153397364</v>
      </c>
      <c r="Y26">
        <f t="shared" si="16"/>
        <v>4.9004697975720353</v>
      </c>
      <c r="Z26">
        <f t="shared" si="17"/>
        <v>21.77986576698682</v>
      </c>
      <c r="AA26">
        <f t="shared" si="18"/>
        <v>46.393882870043605</v>
      </c>
      <c r="AB26">
        <f t="shared" si="19"/>
        <v>4.9004697975720353</v>
      </c>
      <c r="AC26">
        <f t="shared" si="23"/>
        <v>-11.517036138388887</v>
      </c>
      <c r="AD26">
        <f t="shared" si="24"/>
        <v>-94.703578320427823</v>
      </c>
      <c r="AE26">
        <f t="shared" si="25"/>
        <v>-237.89190533055836</v>
      </c>
      <c r="AF26">
        <f t="shared" si="26"/>
        <v>-26.762839349687816</v>
      </c>
      <c r="AG26">
        <f t="shared" si="27"/>
        <v>-118.94595266527918</v>
      </c>
      <c r="AH26">
        <f t="shared" si="28"/>
        <v>-639.24915366288781</v>
      </c>
      <c r="AI26">
        <f t="shared" si="29"/>
        <v>-26.762839349687816</v>
      </c>
    </row>
    <row r="27" spans="1:35" x14ac:dyDescent="0.25">
      <c r="A27" s="1" t="s">
        <v>0</v>
      </c>
      <c r="B27" s="2">
        <f>ECS!O40</f>
        <v>0.315</v>
      </c>
      <c r="C27" s="3" t="s">
        <v>9</v>
      </c>
      <c r="E27">
        <f t="shared" si="20"/>
        <v>85.004910291299154</v>
      </c>
      <c r="F27">
        <f t="shared" si="0"/>
        <v>2.8111273783625732</v>
      </c>
      <c r="G27">
        <f t="shared" si="1"/>
        <v>3.7897803711971068</v>
      </c>
      <c r="H27">
        <f t="shared" si="2"/>
        <v>24.934982784185916</v>
      </c>
      <c r="I27">
        <f t="shared" si="3"/>
        <v>2.8051855632209155</v>
      </c>
      <c r="J27">
        <f t="shared" si="4"/>
        <v>12.467491392092958</v>
      </c>
      <c r="K27">
        <f t="shared" si="5"/>
        <v>25.581017505580469</v>
      </c>
      <c r="L27">
        <v>26</v>
      </c>
      <c r="M27">
        <f t="shared" si="21"/>
        <v>2.8051855632209155</v>
      </c>
      <c r="N27">
        <f t="shared" si="6"/>
        <v>-1.7706530518642685</v>
      </c>
      <c r="O27">
        <f t="shared" si="7"/>
        <v>-27.399853490488791</v>
      </c>
      <c r="P27">
        <f t="shared" si="8"/>
        <v>-52.745390675501881</v>
      </c>
      <c r="Q27">
        <f t="shared" si="9"/>
        <v>-5.9338564509939609</v>
      </c>
      <c r="R27">
        <f t="shared" si="10"/>
        <v>-26.37269533775094</v>
      </c>
      <c r="S27">
        <f t="shared" si="11"/>
        <v>-184.94901106079934</v>
      </c>
      <c r="T27">
        <f t="shared" si="12"/>
        <v>-5.9338564509939609</v>
      </c>
      <c r="U27">
        <f t="shared" si="22"/>
        <v>17.00098205825984</v>
      </c>
      <c r="V27">
        <f t="shared" si="13"/>
        <v>4.5790051217604413</v>
      </c>
      <c r="W27">
        <f t="shared" si="14"/>
        <v>6.1731189641668784</v>
      </c>
      <c r="X27">
        <f t="shared" si="15"/>
        <v>40.616236303849661</v>
      </c>
      <c r="Y27">
        <f t="shared" si="16"/>
        <v>4.569326584183087</v>
      </c>
      <c r="Z27">
        <f t="shared" si="17"/>
        <v>20.30811815192483</v>
      </c>
      <c r="AA27">
        <f t="shared" si="18"/>
        <v>41.66855300812643</v>
      </c>
      <c r="AB27">
        <f t="shared" si="19"/>
        <v>4.569326584183087</v>
      </c>
      <c r="AC27">
        <f t="shared" si="23"/>
        <v>-13.140405739479583</v>
      </c>
      <c r="AD27">
        <f t="shared" si="24"/>
        <v>-103.57163189788339</v>
      </c>
      <c r="AE27">
        <f t="shared" si="25"/>
        <v>-265.40866382436309</v>
      </c>
      <c r="AF27">
        <f t="shared" si="26"/>
        <v>-29.858474680240846</v>
      </c>
      <c r="AG27">
        <f t="shared" si="27"/>
        <v>-132.70433191218154</v>
      </c>
      <c r="AH27">
        <f t="shared" si="28"/>
        <v>-699.10851531071273</v>
      </c>
      <c r="AI27">
        <f t="shared" si="29"/>
        <v>-29.858474680240846</v>
      </c>
    </row>
    <row r="28" spans="1:35" ht="15.75" thickBot="1" x14ac:dyDescent="0.3">
      <c r="A28" s="4" t="s">
        <v>1</v>
      </c>
      <c r="B28" s="5">
        <f>ECS!O39</f>
        <v>300</v>
      </c>
      <c r="C28" s="6" t="s">
        <v>10</v>
      </c>
      <c r="E28">
        <f t="shared" si="20"/>
        <v>89.255155805864121</v>
      </c>
      <c r="F28">
        <f t="shared" si="0"/>
        <v>2.7016831480941876</v>
      </c>
      <c r="G28">
        <f t="shared" si="1"/>
        <v>3.4071802392283996</v>
      </c>
      <c r="H28">
        <f t="shared" si="2"/>
        <v>23.282996938134815</v>
      </c>
      <c r="I28">
        <f t="shared" si="3"/>
        <v>2.6193371555401663</v>
      </c>
      <c r="J28">
        <f t="shared" si="4"/>
        <v>11.641498469067407</v>
      </c>
      <c r="K28">
        <f t="shared" si="5"/>
        <v>22.998466614791703</v>
      </c>
      <c r="L28">
        <v>27</v>
      </c>
      <c r="M28">
        <f t="shared" si="21"/>
        <v>2.6193371555401663</v>
      </c>
      <c r="N28">
        <f t="shared" si="6"/>
        <v>-1.8410208952372016</v>
      </c>
      <c r="O28">
        <f t="shared" si="7"/>
        <v>-27.647235891631794</v>
      </c>
      <c r="P28">
        <f t="shared" si="8"/>
        <v>-53.809145572993067</v>
      </c>
      <c r="Q28">
        <f t="shared" si="9"/>
        <v>-6.0535288769617202</v>
      </c>
      <c r="R28">
        <f t="shared" si="10"/>
        <v>-26.904572786496534</v>
      </c>
      <c r="S28">
        <f t="shared" si="11"/>
        <v>-186.61884226851461</v>
      </c>
      <c r="T28">
        <f t="shared" si="12"/>
        <v>-6.0535288769617202</v>
      </c>
      <c r="U28">
        <f t="shared" si="22"/>
        <v>17.851031161172834</v>
      </c>
      <c r="V28">
        <f t="shared" si="13"/>
        <v>4.4007329826879049</v>
      </c>
      <c r="W28">
        <f t="shared" si="14"/>
        <v>5.5499070893313123</v>
      </c>
      <c r="X28">
        <f t="shared" si="15"/>
        <v>37.925340221243147</v>
      </c>
      <c r="Y28">
        <f t="shared" si="16"/>
        <v>4.266600774889854</v>
      </c>
      <c r="Z28">
        <f t="shared" si="17"/>
        <v>18.962670110621573</v>
      </c>
      <c r="AA28">
        <f t="shared" si="18"/>
        <v>37.46187285298636</v>
      </c>
      <c r="AB28">
        <f t="shared" si="19"/>
        <v>4.266600774889854</v>
      </c>
      <c r="AC28">
        <f t="shared" si="23"/>
        <v>-15.298956554363722</v>
      </c>
      <c r="AD28">
        <f t="shared" si="24"/>
        <v>-115.49514538962072</v>
      </c>
      <c r="AE28">
        <f t="shared" si="25"/>
        <v>-302.0994330415752</v>
      </c>
      <c r="AF28">
        <f t="shared" si="26"/>
        <v>-33.986186217177213</v>
      </c>
      <c r="AG28">
        <f t="shared" si="27"/>
        <v>-151.0497165207876</v>
      </c>
      <c r="AH28">
        <f t="shared" si="28"/>
        <v>-779.59223137993979</v>
      </c>
      <c r="AI28">
        <f t="shared" si="29"/>
        <v>-33.986186217177213</v>
      </c>
    </row>
    <row r="29" spans="1:35" x14ac:dyDescent="0.25">
      <c r="A29" s="1" t="s">
        <v>11</v>
      </c>
      <c r="B29" s="2" t="str">
        <f>ECS!O38</f>
        <v>mi</v>
      </c>
      <c r="C29" s="3" t="s">
        <v>12</v>
      </c>
      <c r="E29">
        <f t="shared" si="20"/>
        <v>93.717913596157331</v>
      </c>
      <c r="F29">
        <f t="shared" si="0"/>
        <v>2.6003463159746074</v>
      </c>
      <c r="G29">
        <f t="shared" si="1"/>
        <v>3.0659307480226805</v>
      </c>
      <c r="H29">
        <f t="shared" si="2"/>
        <v>21.768673924634086</v>
      </c>
      <c r="I29">
        <f t="shared" si="3"/>
        <v>2.4489758165213344</v>
      </c>
      <c r="J29">
        <f t="shared" si="4"/>
        <v>10.884336962317043</v>
      </c>
      <c r="K29">
        <f t="shared" si="5"/>
        <v>20.69503254915309</v>
      </c>
      <c r="L29">
        <v>28</v>
      </c>
      <c r="M29">
        <f t="shared" si="21"/>
        <v>2.4489758165213344</v>
      </c>
      <c r="N29">
        <f t="shared" si="6"/>
        <v>-1.9172906790968867</v>
      </c>
      <c r="O29">
        <f t="shared" si="7"/>
        <v>-27.925204349666711</v>
      </c>
      <c r="P29">
        <f t="shared" si="8"/>
        <v>-54.973265966485563</v>
      </c>
      <c r="Q29">
        <f t="shared" si="9"/>
        <v>-6.1844924212296268</v>
      </c>
      <c r="R29">
        <f t="shared" si="10"/>
        <v>-27.486632983242782</v>
      </c>
      <c r="S29">
        <f t="shared" si="11"/>
        <v>-188.4951293602503</v>
      </c>
      <c r="T29">
        <f t="shared" si="12"/>
        <v>-6.1844924212296268</v>
      </c>
      <c r="U29">
        <f t="shared" si="22"/>
        <v>18.743582719231476</v>
      </c>
      <c r="V29">
        <f t="shared" si="13"/>
        <v>4.2356668683345884</v>
      </c>
      <c r="W29">
        <f t="shared" si="14"/>
        <v>4.9940506809535083</v>
      </c>
      <c r="X29">
        <f t="shared" si="15"/>
        <v>35.458681154780464</v>
      </c>
      <c r="Y29">
        <f t="shared" si="16"/>
        <v>3.9891016299128017</v>
      </c>
      <c r="Z29">
        <f t="shared" si="17"/>
        <v>17.729340577390232</v>
      </c>
      <c r="AA29">
        <f t="shared" si="18"/>
        <v>33.709842096436184</v>
      </c>
      <c r="AB29">
        <f t="shared" si="19"/>
        <v>3.9891016299128017</v>
      </c>
      <c r="AC29">
        <f t="shared" si="23"/>
        <v>-18.309573615477451</v>
      </c>
      <c r="AD29">
        <f t="shared" si="24"/>
        <v>-132.28525207485549</v>
      </c>
      <c r="AE29">
        <f t="shared" si="25"/>
        <v>-353.39660091224835</v>
      </c>
      <c r="AF29">
        <f t="shared" si="26"/>
        <v>-39.757117602627943</v>
      </c>
      <c r="AG29">
        <f t="shared" si="27"/>
        <v>-176.69830045612417</v>
      </c>
      <c r="AH29">
        <f t="shared" si="28"/>
        <v>-892.92545150527462</v>
      </c>
      <c r="AI29">
        <f t="shared" si="29"/>
        <v>-39.757117602627943</v>
      </c>
    </row>
    <row r="30" spans="1:35" x14ac:dyDescent="0.25">
      <c r="A30" s="4" t="s">
        <v>14</v>
      </c>
      <c r="B30" s="5">
        <f>ECS!O41</f>
        <v>0.1</v>
      </c>
      <c r="C30" s="6" t="s">
        <v>28</v>
      </c>
      <c r="E30">
        <f t="shared" si="20"/>
        <v>98.403809275965202</v>
      </c>
      <c r="F30">
        <f t="shared" si="0"/>
        <v>2.5062482322001136</v>
      </c>
      <c r="G30">
        <f t="shared" si="1"/>
        <v>2.7610501438522985</v>
      </c>
      <c r="H30">
        <f t="shared" si="2"/>
        <v>20.377084898269725</v>
      </c>
      <c r="I30">
        <f t="shared" si="3"/>
        <v>2.2924220510553441</v>
      </c>
      <c r="J30">
        <f t="shared" si="4"/>
        <v>10.188542449134863</v>
      </c>
      <c r="K30">
        <f t="shared" si="5"/>
        <v>18.637088471003015</v>
      </c>
      <c r="L30">
        <v>29</v>
      </c>
      <c r="M30">
        <f t="shared" si="21"/>
        <v>2.2924220510553441</v>
      </c>
      <c r="N30">
        <f t="shared" si="6"/>
        <v>-2.0002373811450558</v>
      </c>
      <c r="O30">
        <f t="shared" si="7"/>
        <v>-28.238215381689045</v>
      </c>
      <c r="P30">
        <f t="shared" si="8"/>
        <v>-56.251062876100356</v>
      </c>
      <c r="Q30">
        <f t="shared" si="9"/>
        <v>-6.3282445735612898</v>
      </c>
      <c r="R30">
        <f t="shared" si="10"/>
        <v>-28.125531438050178</v>
      </c>
      <c r="S30">
        <f t="shared" si="11"/>
        <v>-190.60795382640106</v>
      </c>
      <c r="T30">
        <f t="shared" si="12"/>
        <v>-6.3282445735612898</v>
      </c>
      <c r="U30">
        <f t="shared" si="22"/>
        <v>19.680761855193051</v>
      </c>
      <c r="V30">
        <f t="shared" si="13"/>
        <v>4.0823918474772176</v>
      </c>
      <c r="W30">
        <f t="shared" si="14"/>
        <v>4.4974350317420644</v>
      </c>
      <c r="X30">
        <f t="shared" si="15"/>
        <v>33.19194172199829</v>
      </c>
      <c r="Y30">
        <f t="shared" si="16"/>
        <v>3.7340934437248072</v>
      </c>
      <c r="Z30">
        <f t="shared" si="17"/>
        <v>16.595970860999145</v>
      </c>
      <c r="AA30">
        <f t="shared" si="18"/>
        <v>30.357686464258933</v>
      </c>
      <c r="AB30">
        <f t="shared" si="19"/>
        <v>3.7340934437248072</v>
      </c>
      <c r="AC30">
        <f t="shared" si="23"/>
        <v>-22.800833890058474</v>
      </c>
      <c r="AD30">
        <f t="shared" si="24"/>
        <v>-157.53419232391678</v>
      </c>
      <c r="AE30">
        <f t="shared" si="25"/>
        <v>-430.07584618444946</v>
      </c>
      <c r="AF30">
        <f t="shared" si="26"/>
        <v>-48.38353269575056</v>
      </c>
      <c r="AG30">
        <f t="shared" si="27"/>
        <v>-215.03792309222473</v>
      </c>
      <c r="AH30">
        <f t="shared" si="28"/>
        <v>-1063.3557981864383</v>
      </c>
      <c r="AI30">
        <f t="shared" si="29"/>
        <v>-48.38353269575056</v>
      </c>
    </row>
    <row r="31" spans="1:35" ht="15.75" thickBot="1" x14ac:dyDescent="0.3">
      <c r="A31" s="7" t="s">
        <v>13</v>
      </c>
      <c r="B31" s="8">
        <f>ECS!O42</f>
        <v>4200</v>
      </c>
      <c r="C31" s="9" t="s">
        <v>15</v>
      </c>
      <c r="E31">
        <f t="shared" si="20"/>
        <v>103.32399973976347</v>
      </c>
      <c r="F31">
        <f t="shared" si="0"/>
        <v>2.4186400607330083</v>
      </c>
      <c r="G31">
        <f t="shared" si="1"/>
        <v>2.4882525636025434</v>
      </c>
      <c r="H31">
        <f t="shared" si="2"/>
        <v>19.095356266419692</v>
      </c>
      <c r="I31">
        <f t="shared" si="3"/>
        <v>2.148227579972215</v>
      </c>
      <c r="J31">
        <f t="shared" si="4"/>
        <v>9.5476781332098462</v>
      </c>
      <c r="K31">
        <f t="shared" si="5"/>
        <v>16.795704804317172</v>
      </c>
      <c r="L31">
        <v>30</v>
      </c>
      <c r="M31">
        <f t="shared" si="21"/>
        <v>2.148227579972215</v>
      </c>
      <c r="N31">
        <f t="shared" si="6"/>
        <v>-2.0907778717014858</v>
      </c>
      <c r="O31">
        <f t="shared" si="7"/>
        <v>-28.591544557170554</v>
      </c>
      <c r="P31">
        <f t="shared" si="8"/>
        <v>-57.658280547678466</v>
      </c>
      <c r="Q31">
        <f t="shared" si="9"/>
        <v>-6.4865565616138268</v>
      </c>
      <c r="R31">
        <f t="shared" si="10"/>
        <v>-28.829140273839233</v>
      </c>
      <c r="S31">
        <f t="shared" si="11"/>
        <v>-192.99292576090124</v>
      </c>
      <c r="T31">
        <f t="shared" si="12"/>
        <v>-6.4865565616138268</v>
      </c>
      <c r="U31">
        <f t="shared" si="22"/>
        <v>20.664799947952705</v>
      </c>
      <c r="V31">
        <f t="shared" si="13"/>
        <v>3.9396881518198508</v>
      </c>
      <c r="W31">
        <f t="shared" si="14"/>
        <v>4.0530789606574853</v>
      </c>
      <c r="X31">
        <f t="shared" si="15"/>
        <v>31.104152312267967</v>
      </c>
      <c r="Y31">
        <f t="shared" si="16"/>
        <v>3.499217135130146</v>
      </c>
      <c r="Z31">
        <f t="shared" si="17"/>
        <v>15.552076156133984</v>
      </c>
      <c r="AA31">
        <f t="shared" si="18"/>
        <v>27.358282984438024</v>
      </c>
      <c r="AB31">
        <f t="shared" si="19"/>
        <v>3.499217135130146</v>
      </c>
      <c r="AC31">
        <f t="shared" si="23"/>
        <v>-30.221203411944</v>
      </c>
      <c r="AD31">
        <f t="shared" si="24"/>
        <v>-199.51929566817208</v>
      </c>
      <c r="AE31">
        <f t="shared" si="25"/>
        <v>-556.96808917345811</v>
      </c>
      <c r="AF31">
        <f t="shared" si="26"/>
        <v>-62.658910032014042</v>
      </c>
      <c r="AG31">
        <f t="shared" si="27"/>
        <v>-278.48404458672906</v>
      </c>
      <c r="AH31">
        <f t="shared" si="28"/>
        <v>-1346.7552457601614</v>
      </c>
      <c r="AI31">
        <f t="shared" si="29"/>
        <v>-62.658910032014042</v>
      </c>
    </row>
    <row r="32" spans="1:35" ht="15.75" thickBot="1" x14ac:dyDescent="0.3">
      <c r="A32" s="59" t="s">
        <v>30</v>
      </c>
      <c r="B32" s="60"/>
      <c r="C32" s="61"/>
      <c r="E32">
        <f t="shared" si="20"/>
        <v>108.49019972675164</v>
      </c>
      <c r="F32">
        <f t="shared" si="0"/>
        <v>2.3368728103404615</v>
      </c>
      <c r="G32">
        <f t="shared" si="1"/>
        <v>2.2438333124100023</v>
      </c>
      <c r="H32">
        <f t="shared" si="2"/>
        <v>17.912327382134208</v>
      </c>
      <c r="I32">
        <f t="shared" si="3"/>
        <v>2.015136830490099</v>
      </c>
      <c r="J32">
        <f t="shared" si="4"/>
        <v>8.9561636910671041</v>
      </c>
      <c r="K32">
        <f t="shared" si="5"/>
        <v>15.145874858767515</v>
      </c>
      <c r="L32">
        <v>31</v>
      </c>
      <c r="M32">
        <f t="shared" si="21"/>
        <v>2.015136830490099</v>
      </c>
      <c r="N32">
        <f t="shared" si="6"/>
        <v>-2.1900049458055677</v>
      </c>
      <c r="O32">
        <f t="shared" si="7"/>
        <v>-28.991481255454904</v>
      </c>
      <c r="P32">
        <f t="shared" si="8"/>
        <v>-59.213679842075756</v>
      </c>
      <c r="Q32">
        <f t="shared" si="9"/>
        <v>-6.6615389822335223</v>
      </c>
      <c r="R32">
        <f t="shared" si="10"/>
        <v>-29.606839921037878</v>
      </c>
      <c r="S32">
        <f t="shared" si="11"/>
        <v>-195.69249847432062</v>
      </c>
      <c r="T32">
        <f t="shared" si="12"/>
        <v>-6.6615389822335223</v>
      </c>
      <c r="U32">
        <f t="shared" si="22"/>
        <v>21.698039945350342</v>
      </c>
      <c r="V32">
        <f t="shared" si="13"/>
        <v>3.8064986488390828</v>
      </c>
      <c r="W32">
        <f t="shared" si="14"/>
        <v>3.6549479433005252</v>
      </c>
      <c r="X32">
        <f t="shared" si="15"/>
        <v>29.177133507631268</v>
      </c>
      <c r="Y32">
        <f t="shared" si="16"/>
        <v>3.2824275196085178</v>
      </c>
      <c r="Z32">
        <f t="shared" si="17"/>
        <v>14.588566753815634</v>
      </c>
      <c r="AA32">
        <f t="shared" si="18"/>
        <v>24.670898617278542</v>
      </c>
      <c r="AB32">
        <f t="shared" si="19"/>
        <v>3.2824275196085178</v>
      </c>
      <c r="AC32">
        <f t="shared" si="23"/>
        <v>-44.822661638782193</v>
      </c>
      <c r="AD32">
        <f t="shared" si="24"/>
        <v>-282.53797550174232</v>
      </c>
      <c r="AE32">
        <f t="shared" si="25"/>
        <v>-806.96448065981497</v>
      </c>
      <c r="AF32">
        <f t="shared" si="26"/>
        <v>-90.783504074229185</v>
      </c>
      <c r="AG32">
        <f t="shared" si="27"/>
        <v>-403.48224032990748</v>
      </c>
      <c r="AH32">
        <f t="shared" si="28"/>
        <v>-1907.1313346367606</v>
      </c>
      <c r="AI32">
        <f t="shared" si="29"/>
        <v>-90.783504074229185</v>
      </c>
    </row>
    <row r="33" spans="1:35" x14ac:dyDescent="0.25">
      <c r="A33" s="1" t="s">
        <v>0</v>
      </c>
      <c r="B33" s="2">
        <f>ECS!O46</f>
        <v>0.64500000000000002</v>
      </c>
      <c r="C33" s="3" t="s">
        <v>9</v>
      </c>
      <c r="E33">
        <f t="shared" si="20"/>
        <v>113.91470971308922</v>
      </c>
      <c r="F33">
        <f t="shared" si="0"/>
        <v>2.2603812305939064</v>
      </c>
      <c r="G33">
        <f t="shared" si="1"/>
        <v>2.0245762072090026</v>
      </c>
      <c r="H33">
        <f t="shared" si="2"/>
        <v>16.818274490925496</v>
      </c>
      <c r="I33">
        <f t="shared" si="3"/>
        <v>1.8920558802291183</v>
      </c>
      <c r="J33">
        <f t="shared" si="4"/>
        <v>8.4091372454627482</v>
      </c>
      <c r="K33">
        <f t="shared" si="5"/>
        <v>13.665889398660768</v>
      </c>
      <c r="L33">
        <v>32</v>
      </c>
      <c r="M33">
        <f t="shared" si="21"/>
        <v>1.8920558802291183</v>
      </c>
      <c r="N33">
        <f t="shared" si="6"/>
        <v>-2.2992316437169893</v>
      </c>
      <c r="O33">
        <f t="shared" si="7"/>
        <v>-29.445582176889932</v>
      </c>
      <c r="P33">
        <f t="shared" si="8"/>
        <v>-60.939797995401555</v>
      </c>
      <c r="Q33">
        <f t="shared" si="9"/>
        <v>-6.8557272744826747</v>
      </c>
      <c r="R33">
        <f t="shared" si="10"/>
        <v>-30.469898997700778</v>
      </c>
      <c r="S33">
        <f t="shared" si="11"/>
        <v>-198.75767969400704</v>
      </c>
      <c r="T33">
        <f t="shared" si="12"/>
        <v>-6.8557272744826747</v>
      </c>
      <c r="U33">
        <f t="shared" si="22"/>
        <v>22.78294194261786</v>
      </c>
      <c r="V33">
        <f t="shared" si="13"/>
        <v>3.6819026102081196</v>
      </c>
      <c r="W33">
        <f t="shared" si="14"/>
        <v>3.2978031851421306</v>
      </c>
      <c r="X33">
        <f t="shared" si="15"/>
        <v>27.395046423680075</v>
      </c>
      <c r="Y33">
        <f t="shared" si="16"/>
        <v>3.0819427226640084</v>
      </c>
      <c r="Z33">
        <f t="shared" si="17"/>
        <v>13.697523211840037</v>
      </c>
      <c r="AA33">
        <f t="shared" si="18"/>
        <v>22.260171499709383</v>
      </c>
      <c r="AB33">
        <f t="shared" si="19"/>
        <v>3.0819427226640084</v>
      </c>
      <c r="AC33">
        <f t="shared" si="23"/>
        <v>-86.802450155859489</v>
      </c>
      <c r="AD33">
        <f t="shared" si="24"/>
        <v>-522.00343426545851</v>
      </c>
      <c r="AE33">
        <f t="shared" si="25"/>
        <v>-1526.3035224430046</v>
      </c>
      <c r="AF33">
        <f t="shared" si="26"/>
        <v>-171.70914627483802</v>
      </c>
      <c r="AG33">
        <f t="shared" si="27"/>
        <v>-763.15176122150228</v>
      </c>
      <c r="AH33">
        <f t="shared" si="28"/>
        <v>-3523.523181291845</v>
      </c>
      <c r="AI33">
        <f t="shared" si="29"/>
        <v>-171.70914627483802</v>
      </c>
    </row>
    <row r="34" spans="1:35" ht="15.75" thickBot="1" x14ac:dyDescent="0.3">
      <c r="A34" s="4" t="s">
        <v>1</v>
      </c>
      <c r="B34" s="5">
        <f>ECS!O45</f>
        <v>24</v>
      </c>
      <c r="C34" s="6" t="s">
        <v>10</v>
      </c>
      <c r="E34">
        <f t="shared" si="20"/>
        <v>119.61044519874369</v>
      </c>
      <c r="F34">
        <f t="shared" si="0"/>
        <v>2.1886707273681925</v>
      </c>
      <c r="G34">
        <f t="shared" si="1"/>
        <v>1.8276781616329416</v>
      </c>
      <c r="H34">
        <f t="shared" si="2"/>
        <v>15.804686437888433</v>
      </c>
      <c r="I34">
        <f t="shared" si="3"/>
        <v>1.7780272242624486</v>
      </c>
      <c r="J34">
        <f t="shared" si="4"/>
        <v>7.9023432189442167</v>
      </c>
      <c r="K34">
        <f t="shared" si="5"/>
        <v>12.336827591022356</v>
      </c>
      <c r="L34">
        <v>33</v>
      </c>
      <c r="M34">
        <f t="shared" si="21"/>
        <v>1.7780272242624486</v>
      </c>
      <c r="N34">
        <f t="shared" si="6"/>
        <v>-2.4200496810739711</v>
      </c>
      <c r="O34">
        <f t="shared" si="7"/>
        <v>-29.963005438404736</v>
      </c>
      <c r="P34">
        <f t="shared" si="8"/>
        <v>-62.863950257506943</v>
      </c>
      <c r="Q34">
        <f t="shared" si="9"/>
        <v>-7.0721944039695313</v>
      </c>
      <c r="R34">
        <f t="shared" si="10"/>
        <v>-31.431975128753471</v>
      </c>
      <c r="S34">
        <f t="shared" si="11"/>
        <v>-202.25028670923197</v>
      </c>
      <c r="T34">
        <f t="shared" si="12"/>
        <v>-7.0721944039695313</v>
      </c>
      <c r="U34">
        <f t="shared" si="22"/>
        <v>23.922089039748755</v>
      </c>
      <c r="V34">
        <f t="shared" si="13"/>
        <v>3.5650943986407633</v>
      </c>
      <c r="W34">
        <f t="shared" si="14"/>
        <v>2.9770787789494206</v>
      </c>
      <c r="X34">
        <f t="shared" si="15"/>
        <v>25.744027362097981</v>
      </c>
      <c r="Y34">
        <f t="shared" si="16"/>
        <v>2.8962030782360229</v>
      </c>
      <c r="Z34">
        <f t="shared" si="17"/>
        <v>12.87201368104899</v>
      </c>
      <c r="AA34">
        <f t="shared" si="18"/>
        <v>20.095281757908587</v>
      </c>
      <c r="AB34">
        <f t="shared" si="19"/>
        <v>2.8962030782360229</v>
      </c>
      <c r="AC34">
        <f t="shared" si="23"/>
        <v>-1388.6048645755413</v>
      </c>
      <c r="AD34">
        <f t="shared" si="24"/>
        <v>-7960.4549011278123</v>
      </c>
      <c r="AE34">
        <f t="shared" si="25"/>
        <v>-23842.601785547111</v>
      </c>
      <c r="AF34">
        <f t="shared" si="26"/>
        <v>-2682.2927008740498</v>
      </c>
      <c r="AG34">
        <f t="shared" si="27"/>
        <v>-11921.300892773555</v>
      </c>
      <c r="AH34">
        <f t="shared" si="28"/>
        <v>-53733.070582612731</v>
      </c>
      <c r="AI34">
        <f t="shared" si="29"/>
        <v>-2682.2927008740498</v>
      </c>
    </row>
    <row r="35" spans="1:35" x14ac:dyDescent="0.25">
      <c r="A35" s="1" t="s">
        <v>11</v>
      </c>
      <c r="B35" s="2" t="str">
        <f>ECS!O44</f>
        <v>mi</v>
      </c>
      <c r="C35" s="3" t="s">
        <v>12</v>
      </c>
      <c r="E35">
        <f t="shared" si="20"/>
        <v>125.59096745868088</v>
      </c>
      <c r="F35">
        <f t="shared" si="0"/>
        <v>2.1213066573412078</v>
      </c>
      <c r="G35">
        <f t="shared" si="1"/>
        <v>1.6506873584601018</v>
      </c>
      <c r="H35">
        <f t="shared" si="2"/>
        <v>14.864081155181562</v>
      </c>
      <c r="I35">
        <f t="shared" si="3"/>
        <v>1.6722091299579258</v>
      </c>
      <c r="J35">
        <f t="shared" si="4"/>
        <v>7.4320405775907812</v>
      </c>
      <c r="K35">
        <f t="shared" si="5"/>
        <v>11.142139669605688</v>
      </c>
      <c r="L35">
        <v>34</v>
      </c>
      <c r="M35">
        <f t="shared" si="21"/>
        <v>1.6722091299579258</v>
      </c>
      <c r="N35">
        <f t="shared" si="6"/>
        <v>-2.5544075228759815</v>
      </c>
      <c r="O35">
        <f t="shared" si="7"/>
        <v>-30.554956872523395</v>
      </c>
      <c r="P35">
        <f t="shared" si="8"/>
        <v>-65.019568280177509</v>
      </c>
      <c r="Q35">
        <f t="shared" si="9"/>
        <v>-7.3147014315199694</v>
      </c>
      <c r="R35">
        <f t="shared" si="10"/>
        <v>-32.509784140088755</v>
      </c>
      <c r="S35">
        <f t="shared" si="11"/>
        <v>-206.24595888953291</v>
      </c>
      <c r="T35">
        <f t="shared" si="12"/>
        <v>-7.3147014315199694</v>
      </c>
      <c r="U35">
        <f t="shared" si="22"/>
        <v>25.118193491736193</v>
      </c>
      <c r="V35">
        <f t="shared" si="13"/>
        <v>3.4553660298551891</v>
      </c>
      <c r="W35">
        <f t="shared" si="14"/>
        <v>2.6887809947682602</v>
      </c>
      <c r="X35">
        <f t="shared" si="15"/>
        <v>24.211888889746572</v>
      </c>
      <c r="Y35">
        <f t="shared" si="16"/>
        <v>2.7238375000964892</v>
      </c>
      <c r="Z35">
        <f t="shared" si="17"/>
        <v>12.105944444873286</v>
      </c>
      <c r="AA35">
        <f t="shared" si="18"/>
        <v>18.149271714685757</v>
      </c>
      <c r="AB35">
        <f t="shared" si="19"/>
        <v>2.7238375000964892</v>
      </c>
      <c r="AC35">
        <f t="shared" si="23"/>
        <v>99.101528944118499</v>
      </c>
      <c r="AD35">
        <f t="shared" si="24"/>
        <v>541.14398971759806</v>
      </c>
      <c r="AE35">
        <f t="shared" si="25"/>
        <v>1661.2509496149437</v>
      </c>
      <c r="AF35">
        <f t="shared" si="26"/>
        <v>186.89073183168117</v>
      </c>
      <c r="AG35">
        <f t="shared" si="27"/>
        <v>830.62547480747185</v>
      </c>
      <c r="AH35">
        <f t="shared" si="28"/>
        <v>3652.721930593787</v>
      </c>
      <c r="AI35">
        <f t="shared" si="29"/>
        <v>186.89073183168117</v>
      </c>
    </row>
    <row r="36" spans="1:35" x14ac:dyDescent="0.25">
      <c r="A36" s="4" t="s">
        <v>14</v>
      </c>
      <c r="B36" s="5">
        <f>ECS!O47</f>
        <v>0.1</v>
      </c>
      <c r="C36" s="6" t="s">
        <v>28</v>
      </c>
      <c r="E36">
        <f t="shared" si="20"/>
        <v>131.87051583161494</v>
      </c>
      <c r="F36">
        <f t="shared" si="0"/>
        <v>2.0579055116992566</v>
      </c>
      <c r="G36">
        <f t="shared" si="1"/>
        <v>1.4914522164749349</v>
      </c>
      <c r="H36">
        <f t="shared" si="2"/>
        <v>13.989854533434217</v>
      </c>
      <c r="I36">
        <f t="shared" si="3"/>
        <v>1.5738586350113493</v>
      </c>
      <c r="J36">
        <f t="shared" si="4"/>
        <v>6.9949272667171085</v>
      </c>
      <c r="K36">
        <f t="shared" si="5"/>
        <v>10.067302461205809</v>
      </c>
      <c r="L36">
        <v>35</v>
      </c>
      <c r="M36">
        <f t="shared" si="21"/>
        <v>1.5738586350113493</v>
      </c>
      <c r="N36">
        <f t="shared" si="6"/>
        <v>-2.7047162634419126</v>
      </c>
      <c r="O36">
        <f t="shared" si="7"/>
        <v>-31.235295166086107</v>
      </c>
      <c r="P36">
        <f t="shared" si="8"/>
        <v>-67.448015177651783</v>
      </c>
      <c r="Q36">
        <f t="shared" si="9"/>
        <v>-7.5879017074858259</v>
      </c>
      <c r="R36">
        <f t="shared" si="10"/>
        <v>-33.724007588825891</v>
      </c>
      <c r="S36">
        <f t="shared" si="11"/>
        <v>-210.83824237108121</v>
      </c>
      <c r="T36">
        <f t="shared" si="12"/>
        <v>-7.5879017074858259</v>
      </c>
      <c r="U36">
        <f t="shared" si="22"/>
        <v>26.374103166323003</v>
      </c>
      <c r="V36">
        <f t="shared" si="13"/>
        <v>3.3520928118379127</v>
      </c>
      <c r="W36">
        <f t="shared" si="14"/>
        <v>2.4294051527745619</v>
      </c>
      <c r="X36">
        <f t="shared" si="15"/>
        <v>22.787873667465128</v>
      </c>
      <c r="Y36">
        <f t="shared" si="16"/>
        <v>2.5636357875898272</v>
      </c>
      <c r="Z36">
        <f t="shared" si="17"/>
        <v>11.393936833732564</v>
      </c>
      <c r="AA36">
        <f t="shared" si="18"/>
        <v>16.398484781228294</v>
      </c>
      <c r="AB36">
        <f t="shared" si="19"/>
        <v>2.5636357875898272</v>
      </c>
      <c r="AC36">
        <f t="shared" si="23"/>
        <v>47.819376676071151</v>
      </c>
      <c r="AD36">
        <f t="shared" si="24"/>
        <v>248.52224639158649</v>
      </c>
      <c r="AE36">
        <f t="shared" si="25"/>
        <v>782.44282992850776</v>
      </c>
      <c r="AF36">
        <f t="shared" si="26"/>
        <v>88.02481836695712</v>
      </c>
      <c r="AG36">
        <f t="shared" si="27"/>
        <v>391.22141496425388</v>
      </c>
      <c r="AH36">
        <f t="shared" si="28"/>
        <v>1677.5251631432088</v>
      </c>
      <c r="AI36">
        <f t="shared" si="29"/>
        <v>88.02481836695712</v>
      </c>
    </row>
    <row r="37" spans="1:35" ht="15.75" thickBot="1" x14ac:dyDescent="0.3">
      <c r="A37" s="7" t="s">
        <v>13</v>
      </c>
      <c r="B37" s="8">
        <f>ECS!O48</f>
        <v>2400</v>
      </c>
      <c r="C37" s="9" t="s">
        <v>15</v>
      </c>
      <c r="E37">
        <f t="shared" si="20"/>
        <v>138.4640416231957</v>
      </c>
      <c r="F37">
        <f t="shared" si="0"/>
        <v>1.998127611207251</v>
      </c>
      <c r="G37">
        <f t="shared" si="1"/>
        <v>1.348078997826174</v>
      </c>
      <c r="H37">
        <f t="shared" si="2"/>
        <v>13.176155199845576</v>
      </c>
      <c r="I37">
        <f t="shared" si="3"/>
        <v>1.4823174599826274</v>
      </c>
      <c r="J37">
        <f t="shared" si="4"/>
        <v>6.5880775999227881</v>
      </c>
      <c r="K37">
        <f t="shared" si="5"/>
        <v>9.0995332353266765</v>
      </c>
      <c r="L37">
        <v>36</v>
      </c>
      <c r="M37">
        <f t="shared" si="21"/>
        <v>1.4823174599826274</v>
      </c>
      <c r="N37">
        <f t="shared" si="6"/>
        <v>-2.8739955950044629</v>
      </c>
      <c r="O37">
        <f t="shared" si="7"/>
        <v>-32.021366021035256</v>
      </c>
      <c r="P37">
        <f t="shared" si="8"/>
        <v>-70.201087819393933</v>
      </c>
      <c r="Q37">
        <f t="shared" si="9"/>
        <v>-7.8976223796818177</v>
      </c>
      <c r="R37">
        <f t="shared" si="10"/>
        <v>-35.100543909696967</v>
      </c>
      <c r="S37">
        <f t="shared" si="11"/>
        <v>-216.14422064198794</v>
      </c>
      <c r="T37">
        <f t="shared" si="12"/>
        <v>-7.8976223796818177</v>
      </c>
      <c r="U37">
        <f t="shared" si="22"/>
        <v>27.692808324639156</v>
      </c>
      <c r="V37">
        <f t="shared" si="13"/>
        <v>3.2547214459482534</v>
      </c>
      <c r="W37">
        <f t="shared" si="14"/>
        <v>2.1958665705071319</v>
      </c>
      <c r="X37">
        <f t="shared" si="15"/>
        <v>21.462450477909869</v>
      </c>
      <c r="Y37">
        <f t="shared" si="16"/>
        <v>2.4145256787648601</v>
      </c>
      <c r="Z37">
        <f t="shared" si="17"/>
        <v>10.731225238954934</v>
      </c>
      <c r="AA37">
        <f t="shared" si="18"/>
        <v>14.822099350923141</v>
      </c>
      <c r="AB37">
        <f t="shared" si="19"/>
        <v>2.4145256787648601</v>
      </c>
      <c r="AC37">
        <f t="shared" si="23"/>
        <v>31.502062791964892</v>
      </c>
      <c r="AD37">
        <f t="shared" si="24"/>
        <v>155.69880956888059</v>
      </c>
      <c r="AE37">
        <f t="shared" si="25"/>
        <v>503.03179496366499</v>
      </c>
      <c r="AF37">
        <f t="shared" si="26"/>
        <v>56.591076933412317</v>
      </c>
      <c r="AG37">
        <f t="shared" si="27"/>
        <v>251.5158974818325</v>
      </c>
      <c r="AH37">
        <f t="shared" si="28"/>
        <v>1050.9669645899439</v>
      </c>
      <c r="AI37">
        <f t="shared" si="29"/>
        <v>56.591076933412317</v>
      </c>
    </row>
    <row r="38" spans="1:35" x14ac:dyDescent="0.25">
      <c r="A38" s="4"/>
      <c r="B38" s="5"/>
      <c r="E38">
        <f t="shared" si="20"/>
        <v>145.38724370435548</v>
      </c>
      <c r="F38">
        <f t="shared" si="0"/>
        <v>1.9416710187673247</v>
      </c>
      <c r="G38">
        <f t="shared" si="1"/>
        <v>1.2188963812270031</v>
      </c>
      <c r="H38">
        <f t="shared" si="2"/>
        <v>12.417780165142915</v>
      </c>
      <c r="I38">
        <f t="shared" si="3"/>
        <v>1.3970002685785781</v>
      </c>
      <c r="J38">
        <f t="shared" si="4"/>
        <v>6.2088900825714575</v>
      </c>
      <c r="K38">
        <f t="shared" si="5"/>
        <v>8.2275505732822705</v>
      </c>
      <c r="L38">
        <v>37</v>
      </c>
      <c r="M38">
        <f t="shared" si="21"/>
        <v>1.3970002685785781</v>
      </c>
      <c r="N38">
        <f t="shared" si="6"/>
        <v>-3.0660787659132667</v>
      </c>
      <c r="O38">
        <f t="shared" si="7"/>
        <v>-32.935173338968305</v>
      </c>
      <c r="P38">
        <f t="shared" si="8"/>
        <v>-73.344530371841316</v>
      </c>
      <c r="Q38">
        <f t="shared" si="9"/>
        <v>-8.2512596668321496</v>
      </c>
      <c r="R38">
        <f t="shared" si="10"/>
        <v>-36.672265185920658</v>
      </c>
      <c r="S38">
        <f t="shared" si="11"/>
        <v>-222.31242003803604</v>
      </c>
      <c r="T38">
        <f t="shared" si="12"/>
        <v>-8.2512596668321496</v>
      </c>
      <c r="U38">
        <f t="shared" si="22"/>
        <v>29.077448740871116</v>
      </c>
      <c r="V38">
        <f t="shared" si="13"/>
        <v>3.162760111172259</v>
      </c>
      <c r="W38">
        <f t="shared" si="14"/>
        <v>1.9854428566608473</v>
      </c>
      <c r="X38">
        <f t="shared" si="15"/>
        <v>20.227144246378849</v>
      </c>
      <c r="Y38">
        <f t="shared" si="16"/>
        <v>2.2755537277176208</v>
      </c>
      <c r="Z38">
        <f t="shared" si="17"/>
        <v>10.113572123189424</v>
      </c>
      <c r="AA38">
        <f t="shared" si="18"/>
        <v>13.401739282460721</v>
      </c>
      <c r="AB38">
        <f t="shared" si="19"/>
        <v>2.2755537277176208</v>
      </c>
      <c r="AC38">
        <f t="shared" si="23"/>
        <v>23.481644046220289</v>
      </c>
      <c r="AD38">
        <f t="shared" si="24"/>
        <v>110.28503815321902</v>
      </c>
      <c r="AE38">
        <f t="shared" si="25"/>
        <v>365.85302871640613</v>
      </c>
      <c r="AF38">
        <f t="shared" si="26"/>
        <v>41.158465730595694</v>
      </c>
      <c r="AG38">
        <f t="shared" si="27"/>
        <v>182.92651435820306</v>
      </c>
      <c r="AH38">
        <f t="shared" si="28"/>
        <v>744.42400753422828</v>
      </c>
      <c r="AI38">
        <f t="shared" si="29"/>
        <v>41.158465730595694</v>
      </c>
    </row>
    <row r="39" spans="1:35" x14ac:dyDescent="0.25">
      <c r="E39">
        <f t="shared" si="20"/>
        <v>152.65660588957326</v>
      </c>
      <c r="F39">
        <f t="shared" si="0"/>
        <v>1.8882664391299486</v>
      </c>
      <c r="G39">
        <f t="shared" si="1"/>
        <v>1.1024256888949622</v>
      </c>
      <c r="H39">
        <f t="shared" si="2"/>
        <v>11.71008739084394</v>
      </c>
      <c r="I39">
        <f t="shared" si="3"/>
        <v>1.3173848314699432</v>
      </c>
      <c r="J39">
        <f t="shared" si="4"/>
        <v>5.85504369542197</v>
      </c>
      <c r="K39">
        <f t="shared" si="5"/>
        <v>7.4413734000409946</v>
      </c>
      <c r="L39">
        <v>38</v>
      </c>
      <c r="M39">
        <f t="shared" si="21"/>
        <v>1.3173848314699432</v>
      </c>
      <c r="N39">
        <f t="shared" si="6"/>
        <v>-3.285906349410856</v>
      </c>
      <c r="O39">
        <f t="shared" si="7"/>
        <v>-34.005057831616817</v>
      </c>
      <c r="P39">
        <f t="shared" si="8"/>
        <v>-76.963070305691616</v>
      </c>
      <c r="Q39">
        <f t="shared" si="9"/>
        <v>-8.6583454093903054</v>
      </c>
      <c r="R39">
        <f t="shared" si="10"/>
        <v>-38.481535152845808</v>
      </c>
      <c r="S39">
        <f t="shared" si="11"/>
        <v>-229.53414036341354</v>
      </c>
      <c r="T39">
        <f t="shared" si="12"/>
        <v>-8.6583454093903054</v>
      </c>
      <c r="U39">
        <f t="shared" si="22"/>
        <v>30.531321177914673</v>
      </c>
      <c r="V39">
        <f t="shared" si="13"/>
        <v>3.07577015633519</v>
      </c>
      <c r="W39">
        <f t="shared" si="14"/>
        <v>1.795725414175531</v>
      </c>
      <c r="X39">
        <f t="shared" si="15"/>
        <v>19.074393622877963</v>
      </c>
      <c r="Y39">
        <f t="shared" si="16"/>
        <v>2.1458692825737709</v>
      </c>
      <c r="Z39">
        <f t="shared" si="17"/>
        <v>9.5371968114389816</v>
      </c>
      <c r="AA39">
        <f t="shared" si="18"/>
        <v>12.121146545684834</v>
      </c>
      <c r="AB39">
        <f t="shared" si="19"/>
        <v>2.1458692825737709</v>
      </c>
      <c r="AC39">
        <f t="shared" si="23"/>
        <v>18.712734436791035</v>
      </c>
      <c r="AD39">
        <f t="shared" si="24"/>
        <v>83.44976624115904</v>
      </c>
      <c r="AE39">
        <f t="shared" si="25"/>
        <v>284.41412531990909</v>
      </c>
      <c r="AF39">
        <f t="shared" si="26"/>
        <v>31.996589098489771</v>
      </c>
      <c r="AG39">
        <f t="shared" si="27"/>
        <v>142.20706265995454</v>
      </c>
      <c r="AH39">
        <f t="shared" si="28"/>
        <v>563.28592212782348</v>
      </c>
      <c r="AI39">
        <f t="shared" si="29"/>
        <v>31.996589098489771</v>
      </c>
    </row>
    <row r="40" spans="1:35" x14ac:dyDescent="0.25">
      <c r="E40">
        <f t="shared" si="20"/>
        <v>160.28943618405194</v>
      </c>
      <c r="F40">
        <f t="shared" si="0"/>
        <v>1.83767292391389</v>
      </c>
      <c r="G40">
        <f t="shared" si="1"/>
        <v>0.99735573169221592</v>
      </c>
      <c r="H40">
        <f t="shared" si="2"/>
        <v>11.048922159560131</v>
      </c>
      <c r="I40">
        <f t="shared" si="3"/>
        <v>1.2430037429505147</v>
      </c>
      <c r="J40">
        <f t="shared" si="4"/>
        <v>5.5244610797800657</v>
      </c>
      <c r="K40">
        <f t="shared" si="5"/>
        <v>6.7321511889224572</v>
      </c>
      <c r="L40">
        <v>39</v>
      </c>
      <c r="M40">
        <f t="shared" si="21"/>
        <v>1.2430037429505147</v>
      </c>
      <c r="N40">
        <f t="shared" si="6"/>
        <v>-3.5399572140358799</v>
      </c>
      <c r="O40">
        <f t="shared" si="7"/>
        <v>-35.268159574822285</v>
      </c>
      <c r="P40">
        <f t="shared" si="8"/>
        <v>-81.167806429720613</v>
      </c>
      <c r="Q40">
        <f t="shared" si="9"/>
        <v>-9.1313782233435674</v>
      </c>
      <c r="R40">
        <f t="shared" si="10"/>
        <v>-40.583903214860307</v>
      </c>
      <c r="S40">
        <f t="shared" si="11"/>
        <v>-238.06007713005042</v>
      </c>
      <c r="T40">
        <f t="shared" si="12"/>
        <v>-9.1313782233435674</v>
      </c>
      <c r="U40">
        <f t="shared" si="22"/>
        <v>32.057887236810409</v>
      </c>
      <c r="V40">
        <f t="shared" si="13"/>
        <v>2.9933591040700525</v>
      </c>
      <c r="W40">
        <f t="shared" si="14"/>
        <v>1.6245784658452269</v>
      </c>
      <c r="X40">
        <f t="shared" si="15"/>
        <v>17.997431047762664</v>
      </c>
      <c r="Y40">
        <f t="shared" si="16"/>
        <v>2.0247109928732998</v>
      </c>
      <c r="Z40">
        <f t="shared" si="17"/>
        <v>8.9987155238813319</v>
      </c>
      <c r="AA40">
        <f t="shared" si="18"/>
        <v>10.965904644455282</v>
      </c>
      <c r="AB40">
        <f t="shared" si="19"/>
        <v>2.0247109928732998</v>
      </c>
      <c r="AC40">
        <f t="shared" si="23"/>
        <v>15.551318776781498</v>
      </c>
      <c r="AD40">
        <f t="shared" si="24"/>
        <v>65.798239520314596</v>
      </c>
      <c r="AE40">
        <f t="shared" si="25"/>
        <v>230.53189321315233</v>
      </c>
      <c r="AF40">
        <f t="shared" si="26"/>
        <v>25.934837986479632</v>
      </c>
      <c r="AG40">
        <f t="shared" si="27"/>
        <v>115.26594660657616</v>
      </c>
      <c r="AH40">
        <f t="shared" si="28"/>
        <v>444.13811676212345</v>
      </c>
      <c r="AI40">
        <f t="shared" si="29"/>
        <v>25.934837986479632</v>
      </c>
    </row>
    <row r="41" spans="1:35" x14ac:dyDescent="0.25">
      <c r="E41">
        <f t="shared" si="20"/>
        <v>168.30390799325454</v>
      </c>
      <c r="F41">
        <f t="shared" si="0"/>
        <v>1.7896742373923826</v>
      </c>
      <c r="G41">
        <f t="shared" si="1"/>
        <v>0.90252144955791136</v>
      </c>
      <c r="H41">
        <f t="shared" si="2"/>
        <v>10.430554770534124</v>
      </c>
      <c r="I41">
        <f t="shared" si="3"/>
        <v>1.173437411685089</v>
      </c>
      <c r="J41">
        <f t="shared" si="4"/>
        <v>5.2152773852670622</v>
      </c>
      <c r="K41">
        <f t="shared" si="5"/>
        <v>6.0920197845159016</v>
      </c>
      <c r="L41">
        <v>40</v>
      </c>
      <c r="M41">
        <f t="shared" si="21"/>
        <v>1.173437411685089</v>
      </c>
      <c r="N41">
        <f t="shared" si="6"/>
        <v>-3.8368977643826572</v>
      </c>
      <c r="O41">
        <f t="shared" si="7"/>
        <v>-36.774127753837355</v>
      </c>
      <c r="P41">
        <f t="shared" si="8"/>
        <v>-86.10733870082619</v>
      </c>
      <c r="Q41">
        <f t="shared" si="9"/>
        <v>-9.6870756038429473</v>
      </c>
      <c r="R41">
        <f t="shared" si="10"/>
        <v>-43.053669350413095</v>
      </c>
      <c r="S41">
        <f t="shared" si="11"/>
        <v>-248.22536233840216</v>
      </c>
      <c r="T41">
        <f t="shared" si="12"/>
        <v>-9.6870756038429473</v>
      </c>
      <c r="U41">
        <f t="shared" si="22"/>
        <v>33.660781598650928</v>
      </c>
      <c r="V41">
        <f t="shared" si="13"/>
        <v>2.9151747310987441</v>
      </c>
      <c r="W41">
        <f t="shared" si="14"/>
        <v>1.4701042620244118</v>
      </c>
      <c r="X41">
        <f t="shared" si="15"/>
        <v>16.990181264891209</v>
      </c>
      <c r="Y41">
        <f t="shared" si="16"/>
        <v>1.9113953923002609</v>
      </c>
      <c r="Z41">
        <f t="shared" si="17"/>
        <v>8.4950906324456046</v>
      </c>
      <c r="AA41">
        <f t="shared" si="18"/>
        <v>9.9232037686647807</v>
      </c>
      <c r="AB41">
        <f t="shared" si="19"/>
        <v>1.9113953923002609</v>
      </c>
      <c r="AC41">
        <f t="shared" si="23"/>
        <v>13.301849075698987</v>
      </c>
      <c r="AD41">
        <f t="shared" si="24"/>
        <v>53.355524797603117</v>
      </c>
      <c r="AE41">
        <f t="shared" si="25"/>
        <v>192.28257890224981</v>
      </c>
      <c r="AF41">
        <f t="shared" si="26"/>
        <v>21.631790126503105</v>
      </c>
      <c r="AG41">
        <f t="shared" si="27"/>
        <v>96.141289451124905</v>
      </c>
      <c r="AH41">
        <f t="shared" si="28"/>
        <v>360.14979238382102</v>
      </c>
      <c r="AI41">
        <f t="shared" si="29"/>
        <v>21.631790126503105</v>
      </c>
    </row>
    <row r="42" spans="1:35" x14ac:dyDescent="0.25">
      <c r="A42" s="4"/>
      <c r="B42" s="5"/>
      <c r="E42">
        <f t="shared" si="20"/>
        <v>176.71910339291728</v>
      </c>
      <c r="F42">
        <f t="shared" si="0"/>
        <v>1.7440757674112679</v>
      </c>
      <c r="G42">
        <f t="shared" si="1"/>
        <v>0.81688568901650582</v>
      </c>
      <c r="H42">
        <f t="shared" si="2"/>
        <v>9.8516275781833205</v>
      </c>
      <c r="I42">
        <f t="shared" si="3"/>
        <v>1.1083081025456234</v>
      </c>
      <c r="J42">
        <f t="shared" si="4"/>
        <v>4.9258137890916602</v>
      </c>
      <c r="K42">
        <f t="shared" si="5"/>
        <v>5.513978400861415</v>
      </c>
      <c r="L42">
        <v>41</v>
      </c>
      <c r="M42">
        <f t="shared" si="21"/>
        <v>1.1083081025456234</v>
      </c>
      <c r="N42">
        <f t="shared" si="6"/>
        <v>-4.1885903123246999</v>
      </c>
      <c r="O42">
        <f t="shared" si="7"/>
        <v>-38.590882513575814</v>
      </c>
      <c r="P42">
        <f t="shared" si="8"/>
        <v>-91.98505455506637</v>
      </c>
      <c r="Q42">
        <f t="shared" si="9"/>
        <v>-10.348318637444967</v>
      </c>
      <c r="R42">
        <f t="shared" si="10"/>
        <v>-45.992527277533185</v>
      </c>
      <c r="S42">
        <f t="shared" si="11"/>
        <v>-260.48845696663676</v>
      </c>
      <c r="T42">
        <f t="shared" si="12"/>
        <v>-10.348318637444967</v>
      </c>
      <c r="U42">
        <f t="shared" si="22"/>
        <v>35.343820678583477</v>
      </c>
      <c r="V42">
        <f t="shared" si="13"/>
        <v>2.8409000364708601</v>
      </c>
      <c r="W42">
        <f t="shared" si="14"/>
        <v>1.3306133982723207</v>
      </c>
      <c r="X42">
        <f t="shared" si="15"/>
        <v>16.04717505346694</v>
      </c>
      <c r="Y42">
        <f t="shared" si="16"/>
        <v>1.8053071935150309</v>
      </c>
      <c r="Z42">
        <f t="shared" si="17"/>
        <v>8.0235875267334702</v>
      </c>
      <c r="AA42">
        <f t="shared" si="18"/>
        <v>8.9816404383381645</v>
      </c>
      <c r="AB42">
        <f t="shared" si="19"/>
        <v>1.8053071935150309</v>
      </c>
      <c r="AC42">
        <f t="shared" si="23"/>
        <v>11.61947280589813</v>
      </c>
      <c r="AD42">
        <f t="shared" si="24"/>
        <v>44.150673074262833</v>
      </c>
      <c r="AE42">
        <f t="shared" si="25"/>
        <v>163.75435160986359</v>
      </c>
      <c r="AF42">
        <f t="shared" si="26"/>
        <v>18.422364556109653</v>
      </c>
      <c r="AG42">
        <f t="shared" si="27"/>
        <v>81.877175804931795</v>
      </c>
      <c r="AH42">
        <f t="shared" si="28"/>
        <v>298.01704325127417</v>
      </c>
      <c r="AI42">
        <f t="shared" si="29"/>
        <v>18.422364556109653</v>
      </c>
    </row>
    <row r="43" spans="1:35" x14ac:dyDescent="0.25">
      <c r="E43">
        <f t="shared" si="20"/>
        <v>185.55505856256315</v>
      </c>
      <c r="F43">
        <f t="shared" si="0"/>
        <v>1.700701888367947</v>
      </c>
      <c r="G43">
        <f t="shared" si="1"/>
        <v>0.73952358800166784</v>
      </c>
      <c r="H43">
        <f t="shared" si="2"/>
        <v>9.3091097782161292</v>
      </c>
      <c r="I43">
        <f t="shared" si="3"/>
        <v>1.0472748500493145</v>
      </c>
      <c r="J43">
        <f t="shared" si="4"/>
        <v>4.6545548891080646</v>
      </c>
      <c r="K43">
        <f t="shared" si="5"/>
        <v>4.991784219011258</v>
      </c>
      <c r="L43">
        <v>42</v>
      </c>
      <c r="M43">
        <f t="shared" si="21"/>
        <v>1.0472748500493145</v>
      </c>
      <c r="N43">
        <f t="shared" si="6"/>
        <v>-4.6117158792239419</v>
      </c>
      <c r="O43">
        <f t="shared" si="7"/>
        <v>-40.813887773494727</v>
      </c>
      <c r="P43">
        <f t="shared" si="8"/>
        <v>-99.086948340125559</v>
      </c>
      <c r="Q43">
        <f t="shared" si="9"/>
        <v>-11.147281688264124</v>
      </c>
      <c r="R43">
        <f t="shared" si="10"/>
        <v>-49.54347417006278</v>
      </c>
      <c r="S43">
        <f t="shared" si="11"/>
        <v>-275.49374247108943</v>
      </c>
      <c r="T43">
        <f t="shared" si="12"/>
        <v>-11.147281688264124</v>
      </c>
      <c r="U43">
        <f t="shared" si="22"/>
        <v>37.111011712512649</v>
      </c>
      <c r="V43">
        <f t="shared" si="13"/>
        <v>2.7702489461578805</v>
      </c>
      <c r="W43">
        <f t="shared" si="14"/>
        <v>1.2045993800162609</v>
      </c>
      <c r="X43">
        <f t="shared" si="15"/>
        <v>15.163475579790667</v>
      </c>
      <c r="Y43">
        <f t="shared" si="16"/>
        <v>1.7058910027264498</v>
      </c>
      <c r="Z43">
        <f t="shared" si="17"/>
        <v>7.5817377898953335</v>
      </c>
      <c r="AA43">
        <f t="shared" si="18"/>
        <v>8.1310458151097613</v>
      </c>
      <c r="AB43">
        <f t="shared" si="19"/>
        <v>1.7058910027264498</v>
      </c>
      <c r="AC43">
        <f t="shared" si="23"/>
        <v>10.313748627111545</v>
      </c>
      <c r="AD43">
        <f t="shared" si="24"/>
        <v>37.095096570421788</v>
      </c>
      <c r="AE43">
        <f t="shared" si="25"/>
        <v>141.68243006198961</v>
      </c>
      <c r="AF43">
        <f t="shared" si="26"/>
        <v>15.93927338197383</v>
      </c>
      <c r="AG43">
        <f t="shared" si="27"/>
        <v>70.841215030994803</v>
      </c>
      <c r="AH43">
        <f t="shared" si="28"/>
        <v>250.3919018503471</v>
      </c>
      <c r="AI43">
        <f t="shared" si="29"/>
        <v>15.93927338197383</v>
      </c>
    </row>
    <row r="44" spans="1:35" x14ac:dyDescent="0.25">
      <c r="E44">
        <f t="shared" si="20"/>
        <v>194.83281149069131</v>
      </c>
      <c r="F44">
        <f t="shared" si="0"/>
        <v>1.6593937009076449</v>
      </c>
      <c r="G44">
        <f t="shared" si="1"/>
        <v>0.66960913909239095</v>
      </c>
      <c r="H44">
        <f t="shared" si="2"/>
        <v>8.800258649797188</v>
      </c>
      <c r="I44">
        <f t="shared" si="3"/>
        <v>0.99002909810218365</v>
      </c>
      <c r="J44">
        <f t="shared" si="4"/>
        <v>4.400129324898594</v>
      </c>
      <c r="K44">
        <f t="shared" si="5"/>
        <v>4.5198616888736396</v>
      </c>
      <c r="L44">
        <v>43</v>
      </c>
      <c r="M44">
        <f t="shared" si="21"/>
        <v>0.99002909810218365</v>
      </c>
      <c r="N44">
        <f t="shared" si="6"/>
        <v>-5.1304975912031345</v>
      </c>
      <c r="O44">
        <f t="shared" si="7"/>
        <v>-43.581713076583121</v>
      </c>
      <c r="P44">
        <f t="shared" si="8"/>
        <v>-107.8283080563313</v>
      </c>
      <c r="Q44">
        <f t="shared" si="9"/>
        <v>-12.130684656337268</v>
      </c>
      <c r="R44">
        <f t="shared" si="10"/>
        <v>-53.914154028165648</v>
      </c>
      <c r="S44">
        <f t="shared" si="11"/>
        <v>-294.17656326693606</v>
      </c>
      <c r="T44">
        <f t="shared" si="12"/>
        <v>-12.130684656337268</v>
      </c>
      <c r="U44">
        <f t="shared" si="22"/>
        <v>38.966562298138285</v>
      </c>
      <c r="V44">
        <f t="shared" si="13"/>
        <v>2.702962631276788</v>
      </c>
      <c r="W44">
        <f t="shared" si="14"/>
        <v>1.090716735599375</v>
      </c>
      <c r="X44">
        <f t="shared" si="15"/>
        <v>14.334615265178703</v>
      </c>
      <c r="Y44">
        <f t="shared" si="16"/>
        <v>1.6126442173326041</v>
      </c>
      <c r="Z44">
        <f t="shared" si="17"/>
        <v>7.1673076325893517</v>
      </c>
      <c r="AA44">
        <f t="shared" si="18"/>
        <v>7.3623379652957821</v>
      </c>
      <c r="AB44">
        <f t="shared" si="19"/>
        <v>1.6126442173326041</v>
      </c>
      <c r="AC44">
        <f t="shared" si="23"/>
        <v>9.2709228119383695</v>
      </c>
      <c r="AD44">
        <f t="shared" si="24"/>
        <v>31.53843536064927</v>
      </c>
      <c r="AE44">
        <f t="shared" si="25"/>
        <v>124.11667843263311</v>
      </c>
      <c r="AF44">
        <f t="shared" si="26"/>
        <v>13.963126323671224</v>
      </c>
      <c r="AG44">
        <f t="shared" si="27"/>
        <v>62.058339216316554</v>
      </c>
      <c r="AH44">
        <f t="shared" si="28"/>
        <v>212.88443868438256</v>
      </c>
      <c r="AI44">
        <f t="shared" si="29"/>
        <v>13.963126323671224</v>
      </c>
    </row>
    <row r="45" spans="1:35" x14ac:dyDescent="0.25">
      <c r="E45">
        <f t="shared" si="20"/>
        <v>204.5744520652259</v>
      </c>
      <c r="F45">
        <f t="shared" si="0"/>
        <v>1.6200070870108807</v>
      </c>
      <c r="G45">
        <f t="shared" si="1"/>
        <v>0.60640358194443222</v>
      </c>
      <c r="H45">
        <f t="shared" si="2"/>
        <v>8.32258620253935</v>
      </c>
      <c r="I45">
        <f t="shared" si="3"/>
        <v>0.93629094778567701</v>
      </c>
      <c r="J45">
        <f t="shared" si="4"/>
        <v>4.161293101269675</v>
      </c>
      <c r="K45">
        <f t="shared" si="5"/>
        <v>4.0932241781249177</v>
      </c>
      <c r="L45">
        <v>44</v>
      </c>
      <c r="M45">
        <f t="shared" si="21"/>
        <v>0.93629094778567701</v>
      </c>
      <c r="N45">
        <f t="shared" si="6"/>
        <v>-5.7815064784423118</v>
      </c>
      <c r="O45">
        <f t="shared" si="7"/>
        <v>-47.103494822194421</v>
      </c>
      <c r="P45">
        <f t="shared" si="8"/>
        <v>-118.83610045132977</v>
      </c>
      <c r="Q45">
        <f t="shared" si="9"/>
        <v>-13.369061300774602</v>
      </c>
      <c r="R45">
        <f t="shared" si="10"/>
        <v>-59.418050225664885</v>
      </c>
      <c r="S45">
        <f t="shared" si="11"/>
        <v>-317.94859004981237</v>
      </c>
      <c r="T45">
        <f t="shared" si="12"/>
        <v>-13.369061300774602</v>
      </c>
      <c r="U45">
        <f t="shared" si="22"/>
        <v>40.9148904130452</v>
      </c>
      <c r="V45">
        <f t="shared" si="13"/>
        <v>2.6388063400499084</v>
      </c>
      <c r="W45">
        <f t="shared" si="14"/>
        <v>0.9877621088784736</v>
      </c>
      <c r="X45">
        <f t="shared" si="15"/>
        <v>13.556541457725867</v>
      </c>
      <c r="Y45">
        <f t="shared" si="16"/>
        <v>1.5251109139941601</v>
      </c>
      <c r="Z45">
        <f t="shared" si="17"/>
        <v>6.7782707288629336</v>
      </c>
      <c r="AA45">
        <f t="shared" si="18"/>
        <v>6.6673942349296969</v>
      </c>
      <c r="AB45">
        <f t="shared" si="19"/>
        <v>1.5251109139941601</v>
      </c>
      <c r="AC45">
        <f t="shared" si="23"/>
        <v>8.4188587639578358</v>
      </c>
      <c r="AD45">
        <f t="shared" si="24"/>
        <v>27.068155848155641</v>
      </c>
      <c r="AE45">
        <f t="shared" si="25"/>
        <v>109.82039816039074</v>
      </c>
      <c r="AF45">
        <f t="shared" si="26"/>
        <v>12.354794793043959</v>
      </c>
      <c r="AG45">
        <f t="shared" si="27"/>
        <v>54.910199080195369</v>
      </c>
      <c r="AH45">
        <f t="shared" si="28"/>
        <v>182.71005197505056</v>
      </c>
      <c r="AI45">
        <f t="shared" si="29"/>
        <v>12.354794793043959</v>
      </c>
    </row>
    <row r="46" spans="1:35" x14ac:dyDescent="0.25">
      <c r="A46" s="4"/>
      <c r="B46" s="5"/>
      <c r="E46">
        <f t="shared" si="20"/>
        <v>214.8031746684872</v>
      </c>
      <c r="F46">
        <f t="shared" si="0"/>
        <v>1.5824110302962353</v>
      </c>
      <c r="G46">
        <f t="shared" si="1"/>
        <v>0.54924533903685024</v>
      </c>
      <c r="H46">
        <f t="shared" si="2"/>
        <v>7.8738303682491413</v>
      </c>
      <c r="I46">
        <f t="shared" si="3"/>
        <v>0.88580591642802842</v>
      </c>
      <c r="J46">
        <f t="shared" si="4"/>
        <v>3.9369151841245706</v>
      </c>
      <c r="K46">
        <f t="shared" si="5"/>
        <v>3.7074060384987391</v>
      </c>
      <c r="L46">
        <v>45</v>
      </c>
      <c r="M46">
        <f t="shared" si="21"/>
        <v>0.88580591642802842</v>
      </c>
      <c r="N46">
        <f t="shared" si="6"/>
        <v>-6.6226786527283403</v>
      </c>
      <c r="O46">
        <f t="shared" si="7"/>
        <v>-51.710462452104217</v>
      </c>
      <c r="P46">
        <f t="shared" si="8"/>
        <v>-133.10355116959431</v>
      </c>
      <c r="Q46">
        <f t="shared" si="9"/>
        <v>-14.974149506579359</v>
      </c>
      <c r="R46">
        <f t="shared" si="10"/>
        <v>-66.551775584797156</v>
      </c>
      <c r="S46">
        <f t="shared" si="11"/>
        <v>-349.0456215517035</v>
      </c>
      <c r="T46">
        <f t="shared" si="12"/>
        <v>-14.974149506579359</v>
      </c>
      <c r="U46">
        <f t="shared" si="22"/>
        <v>42.960634933697463</v>
      </c>
      <c r="V46">
        <f t="shared" si="13"/>
        <v>2.5775666617701454</v>
      </c>
      <c r="W46">
        <f t="shared" si="14"/>
        <v>0.89465786570572337</v>
      </c>
      <c r="X46">
        <f t="shared" si="15"/>
        <v>12.825569506952272</v>
      </c>
      <c r="Y46">
        <f t="shared" si="16"/>
        <v>1.4428765695321306</v>
      </c>
      <c r="Z46">
        <f t="shared" si="17"/>
        <v>6.412784753476136</v>
      </c>
      <c r="AA46">
        <f t="shared" si="18"/>
        <v>6.0389405935136322</v>
      </c>
      <c r="AB46">
        <f t="shared" si="19"/>
        <v>1.4428765695321306</v>
      </c>
      <c r="AC46">
        <f t="shared" si="23"/>
        <v>7.7095997054984498</v>
      </c>
      <c r="AD46">
        <f t="shared" si="24"/>
        <v>23.409910080736527</v>
      </c>
      <c r="AE46">
        <f t="shared" si="25"/>
        <v>97.971402671680153</v>
      </c>
      <c r="AF46">
        <f t="shared" si="26"/>
        <v>11.021782800564019</v>
      </c>
      <c r="AG46">
        <f t="shared" si="27"/>
        <v>48.985701335840076</v>
      </c>
      <c r="AH46">
        <f t="shared" si="28"/>
        <v>158.01689304497154</v>
      </c>
      <c r="AI46">
        <f t="shared" si="29"/>
        <v>11.021782800564019</v>
      </c>
    </row>
    <row r="47" spans="1:35" x14ac:dyDescent="0.25">
      <c r="E47">
        <f t="shared" si="20"/>
        <v>225.54333340191158</v>
      </c>
      <c r="F47">
        <f t="shared" si="0"/>
        <v>1.5464861602828308</v>
      </c>
      <c r="G47">
        <f t="shared" si="1"/>
        <v>0.49754125948225075</v>
      </c>
      <c r="H47">
        <f t="shared" si="2"/>
        <v>7.4519300302717619</v>
      </c>
      <c r="I47">
        <f t="shared" si="3"/>
        <v>0.83834212840557332</v>
      </c>
      <c r="J47">
        <f t="shared" si="4"/>
        <v>3.725965015135881</v>
      </c>
      <c r="K47">
        <f t="shared" si="5"/>
        <v>3.3584035015051925</v>
      </c>
      <c r="L47">
        <v>46</v>
      </c>
      <c r="M47">
        <f t="shared" si="21"/>
        <v>0.83834212840557332</v>
      </c>
      <c r="N47">
        <f t="shared" si="6"/>
        <v>-7.7515858095078611</v>
      </c>
      <c r="O47">
        <f t="shared" si="7"/>
        <v>-57.960340714521166</v>
      </c>
      <c r="P47">
        <f t="shared" si="8"/>
        <v>-152.30335332109991</v>
      </c>
      <c r="Q47">
        <f t="shared" si="9"/>
        <v>-17.134127248623741</v>
      </c>
      <c r="R47">
        <f t="shared" si="10"/>
        <v>-76.151676660549953</v>
      </c>
      <c r="S47">
        <f t="shared" si="11"/>
        <v>-391.23229982301785</v>
      </c>
      <c r="T47">
        <f t="shared" si="12"/>
        <v>-17.134127248623741</v>
      </c>
      <c r="U47">
        <f t="shared" si="22"/>
        <v>45.108666680382335</v>
      </c>
      <c r="V47">
        <f t="shared" si="13"/>
        <v>2.5190491555709866</v>
      </c>
      <c r="W47">
        <f t="shared" si="14"/>
        <v>0.81043783109657497</v>
      </c>
      <c r="X47">
        <f t="shared" si="15"/>
        <v>12.138342089461087</v>
      </c>
      <c r="Y47">
        <f t="shared" si="16"/>
        <v>1.3655634850643723</v>
      </c>
      <c r="Z47">
        <f t="shared" si="17"/>
        <v>6.0691710447305436</v>
      </c>
      <c r="AA47">
        <f t="shared" si="18"/>
        <v>5.470455359901881</v>
      </c>
      <c r="AB47">
        <f t="shared" si="19"/>
        <v>1.3655634850643723</v>
      </c>
      <c r="AC47">
        <f t="shared" si="23"/>
        <v>7.1100208259636197</v>
      </c>
      <c r="AD47">
        <f t="shared" si="24"/>
        <v>20.374120421256222</v>
      </c>
      <c r="AE47">
        <f t="shared" si="25"/>
        <v>88.001768568660452</v>
      </c>
      <c r="AF47">
        <f t="shared" si="26"/>
        <v>9.9001989639743009</v>
      </c>
      <c r="AG47">
        <f t="shared" si="27"/>
        <v>44.000884284330226</v>
      </c>
      <c r="AH47">
        <f t="shared" si="28"/>
        <v>137.5253128434795</v>
      </c>
      <c r="AI47">
        <f t="shared" si="29"/>
        <v>9.9001989639743009</v>
      </c>
    </row>
    <row r="48" spans="1:35" x14ac:dyDescent="0.25">
      <c r="E48">
        <f t="shared" si="20"/>
        <v>236.82050007200718</v>
      </c>
      <c r="F48">
        <f t="shared" si="0"/>
        <v>1.5121234865315381</v>
      </c>
      <c r="G48">
        <f t="shared" si="1"/>
        <v>0.45075897634091605</v>
      </c>
      <c r="H48">
        <f t="shared" si="2"/>
        <v>7.0550033062820887</v>
      </c>
      <c r="I48">
        <f t="shared" si="3"/>
        <v>0.79368787195673507</v>
      </c>
      <c r="J48">
        <f t="shared" si="4"/>
        <v>3.5275016531410444</v>
      </c>
      <c r="K48">
        <f t="shared" si="5"/>
        <v>3.0426230903011833</v>
      </c>
      <c r="L48">
        <v>47</v>
      </c>
      <c r="M48">
        <f t="shared" si="21"/>
        <v>0.79368787195673507</v>
      </c>
      <c r="N48">
        <f t="shared" si="6"/>
        <v>-9.3463229689172493</v>
      </c>
      <c r="O48">
        <f t="shared" si="7"/>
        <v>-66.870993235887283</v>
      </c>
      <c r="P48">
        <f t="shared" si="8"/>
        <v>-179.4886001460041</v>
      </c>
      <c r="Q48">
        <f t="shared" si="9"/>
        <v>-20.192467516425459</v>
      </c>
      <c r="R48">
        <f t="shared" si="10"/>
        <v>-89.744300073002051</v>
      </c>
      <c r="S48">
        <f t="shared" si="11"/>
        <v>-451.37920434223912</v>
      </c>
      <c r="T48">
        <f t="shared" si="12"/>
        <v>-20.192467516425459</v>
      </c>
      <c r="U48">
        <f t="shared" si="22"/>
        <v>47.364100014401451</v>
      </c>
      <c r="V48">
        <f t="shared" si="13"/>
        <v>2.4630762884872457</v>
      </c>
      <c r="W48">
        <f t="shared" si="14"/>
        <v>0.73423484016821861</v>
      </c>
      <c r="X48">
        <f t="shared" si="15"/>
        <v>11.491793834087837</v>
      </c>
      <c r="Y48">
        <f t="shared" si="16"/>
        <v>1.2928268063348816</v>
      </c>
      <c r="Z48">
        <f t="shared" si="17"/>
        <v>5.7458969170439183</v>
      </c>
      <c r="AA48">
        <f t="shared" si="18"/>
        <v>4.9560851711354754</v>
      </c>
      <c r="AB48">
        <f t="shared" si="19"/>
        <v>1.2928268063348816</v>
      </c>
      <c r="AC48">
        <f t="shared" si="23"/>
        <v>6.5965068142759131</v>
      </c>
      <c r="AD48">
        <f t="shared" si="24"/>
        <v>17.825566274106315</v>
      </c>
      <c r="AE48">
        <f t="shared" si="25"/>
        <v>79.50659339991654</v>
      </c>
      <c r="AF48">
        <f t="shared" si="26"/>
        <v>8.94449175749061</v>
      </c>
      <c r="AG48">
        <f t="shared" si="27"/>
        <v>39.75329669995827</v>
      </c>
      <c r="AH48">
        <f t="shared" si="28"/>
        <v>120.32257235021764</v>
      </c>
      <c r="AI48">
        <f t="shared" si="29"/>
        <v>8.94449175749061</v>
      </c>
    </row>
    <row r="49" spans="5:35" x14ac:dyDescent="0.25">
      <c r="E49">
        <f t="shared" si="20"/>
        <v>248.66152507560756</v>
      </c>
      <c r="F49">
        <f t="shared" si="0"/>
        <v>1.4792232943852619</v>
      </c>
      <c r="G49">
        <f t="shared" si="1"/>
        <v>0.40842021575480686</v>
      </c>
      <c r="H49">
        <f t="shared" si="2"/>
        <v>6.6813285998151093</v>
      </c>
      <c r="I49">
        <f t="shared" si="3"/>
        <v>0.7516494674791997</v>
      </c>
      <c r="J49">
        <f t="shared" si="4"/>
        <v>3.3406642999075546</v>
      </c>
      <c r="K49">
        <f t="shared" si="5"/>
        <v>2.7568364563449461</v>
      </c>
      <c r="L49">
        <v>48</v>
      </c>
      <c r="M49">
        <f t="shared" si="21"/>
        <v>0.7516494674791997</v>
      </c>
      <c r="N49">
        <f t="shared" si="6"/>
        <v>-11.770169075197472</v>
      </c>
      <c r="O49">
        <f t="shared" si="7"/>
        <v>-80.51848237364517</v>
      </c>
      <c r="P49">
        <f t="shared" si="8"/>
        <v>-220.88696667948793</v>
      </c>
      <c r="Q49">
        <f t="shared" si="9"/>
        <v>-24.849783751442391</v>
      </c>
      <c r="R49">
        <f t="shared" si="10"/>
        <v>-110.44348333974396</v>
      </c>
      <c r="S49">
        <f t="shared" si="11"/>
        <v>-543.49975602210498</v>
      </c>
      <c r="T49">
        <f t="shared" si="12"/>
        <v>-24.849783751442391</v>
      </c>
      <c r="U49">
        <f t="shared" si="22"/>
        <v>49.732305015121526</v>
      </c>
      <c r="V49">
        <f t="shared" si="13"/>
        <v>2.4094856367422324</v>
      </c>
      <c r="W49">
        <f t="shared" si="14"/>
        <v>0.66526983948379281</v>
      </c>
      <c r="X49">
        <f t="shared" si="15"/>
        <v>10.883120457009746</v>
      </c>
      <c r="Y49">
        <f t="shared" si="16"/>
        <v>1.2243510514135965</v>
      </c>
      <c r="Z49">
        <f t="shared" si="17"/>
        <v>5.4415602285048728</v>
      </c>
      <c r="AA49">
        <f t="shared" si="18"/>
        <v>4.4905714165156017</v>
      </c>
      <c r="AB49">
        <f t="shared" si="19"/>
        <v>1.2243510514135965</v>
      </c>
      <c r="AC49">
        <f t="shared" si="23"/>
        <v>6.151767879499844</v>
      </c>
      <c r="AD49">
        <f t="shared" si="24"/>
        <v>15.665190602447584</v>
      </c>
      <c r="AE49">
        <f t="shared" si="25"/>
        <v>72.189413226230059</v>
      </c>
      <c r="AF49">
        <f t="shared" si="26"/>
        <v>8.1213089879508811</v>
      </c>
      <c r="AG49">
        <f t="shared" si="27"/>
        <v>36.094706613115029</v>
      </c>
      <c r="AH49">
        <f t="shared" si="28"/>
        <v>105.7400365665212</v>
      </c>
      <c r="AI49">
        <f t="shared" si="29"/>
        <v>8.1213089879508811</v>
      </c>
    </row>
    <row r="50" spans="5:35" x14ac:dyDescent="0.25">
      <c r="E50">
        <f t="shared" si="20"/>
        <v>261.09460132938796</v>
      </c>
      <c r="F50">
        <f t="shared" si="0"/>
        <v>1.4476941787415969</v>
      </c>
      <c r="G50">
        <f t="shared" si="1"/>
        <v>0.37009492291223106</v>
      </c>
      <c r="H50">
        <f t="shared" si="2"/>
        <v>6.329328016629912</v>
      </c>
      <c r="I50">
        <f t="shared" si="3"/>
        <v>0.71204940187086507</v>
      </c>
      <c r="J50">
        <f t="shared" si="4"/>
        <v>3.164664008314956</v>
      </c>
      <c r="K50">
        <f t="shared" si="5"/>
        <v>2.4981407296575595</v>
      </c>
      <c r="L50">
        <v>49</v>
      </c>
      <c r="M50">
        <f t="shared" si="21"/>
        <v>0.71204940187086507</v>
      </c>
      <c r="N50">
        <f t="shared" si="6"/>
        <v>-15.896827282757409</v>
      </c>
      <c r="O50">
        <f t="shared" si="7"/>
        <v>-103.89558437464308</v>
      </c>
      <c r="P50">
        <f t="shared" si="8"/>
        <v>-291.47625747287083</v>
      </c>
      <c r="Q50">
        <f t="shared" si="9"/>
        <v>-32.79107896569797</v>
      </c>
      <c r="R50">
        <f t="shared" si="10"/>
        <v>-145.73812873643541</v>
      </c>
      <c r="S50">
        <f t="shared" si="11"/>
        <v>-701.29519452884085</v>
      </c>
      <c r="T50">
        <f t="shared" si="12"/>
        <v>-32.79107896569797</v>
      </c>
      <c r="U50">
        <f t="shared" si="22"/>
        <v>52.218920265877607</v>
      </c>
      <c r="V50">
        <f t="shared" si="13"/>
        <v>2.3581283118738683</v>
      </c>
      <c r="W50">
        <f t="shared" si="14"/>
        <v>0.60284231892037254</v>
      </c>
      <c r="X50">
        <f t="shared" si="15"/>
        <v>10.309751748898579</v>
      </c>
      <c r="Y50">
        <f t="shared" si="16"/>
        <v>1.1598470717510903</v>
      </c>
      <c r="Z50">
        <f t="shared" si="17"/>
        <v>5.1548758744492895</v>
      </c>
      <c r="AA50">
        <f t="shared" si="18"/>
        <v>4.0691856527125143</v>
      </c>
      <c r="AB50">
        <f t="shared" si="19"/>
        <v>1.1598470717510903</v>
      </c>
      <c r="AC50">
        <f t="shared" si="23"/>
        <v>5.7628547578083893</v>
      </c>
      <c r="AD50">
        <f t="shared" si="24"/>
        <v>13.818757653532398</v>
      </c>
      <c r="AE50">
        <f t="shared" si="25"/>
        <v>65.828174235504491</v>
      </c>
      <c r="AF50">
        <f t="shared" si="26"/>
        <v>7.4056696014942549</v>
      </c>
      <c r="AG50">
        <f t="shared" si="27"/>
        <v>32.914087117752246</v>
      </c>
      <c r="AH50">
        <f t="shared" si="28"/>
        <v>93.276614161343701</v>
      </c>
      <c r="AI50">
        <f t="shared" si="29"/>
        <v>7.4056696014942549</v>
      </c>
    </row>
    <row r="51" spans="5:35" x14ac:dyDescent="0.25">
      <c r="E51">
        <f t="shared" si="20"/>
        <v>274.14933139585736</v>
      </c>
      <c r="F51">
        <f t="shared" si="0"/>
        <v>1.4174521961391207</v>
      </c>
      <c r="G51">
        <f t="shared" si="1"/>
        <v>0.33539609163483913</v>
      </c>
      <c r="H51">
        <f t="shared" si="2"/>
        <v>5.9975528079608056</v>
      </c>
      <c r="I51">
        <f t="shared" si="3"/>
        <v>0.67472469089559062</v>
      </c>
      <c r="J51">
        <f t="shared" si="4"/>
        <v>2.9987764039804028</v>
      </c>
      <c r="K51">
        <f t="shared" si="5"/>
        <v>2.2639236185351641</v>
      </c>
      <c r="L51">
        <v>50</v>
      </c>
      <c r="M51">
        <f t="shared" si="21"/>
        <v>0.67472469089559062</v>
      </c>
      <c r="N51">
        <f t="shared" si="6"/>
        <v>-24.492281352810586</v>
      </c>
      <c r="O51">
        <f t="shared" si="7"/>
        <v>-152.80811083978156</v>
      </c>
      <c r="P51">
        <f t="shared" si="8"/>
        <v>-438.67337335262334</v>
      </c>
      <c r="Q51">
        <f t="shared" si="9"/>
        <v>-49.350754502170126</v>
      </c>
      <c r="R51">
        <f t="shared" si="10"/>
        <v>-219.33668667631167</v>
      </c>
      <c r="S51">
        <f t="shared" si="11"/>
        <v>-1031.4547481685254</v>
      </c>
      <c r="T51">
        <f t="shared" si="12"/>
        <v>-49.350754502170126</v>
      </c>
      <c r="U51">
        <f t="shared" si="22"/>
        <v>54.82986627917149</v>
      </c>
      <c r="V51">
        <f t="shared" si="13"/>
        <v>2.3088675795801969</v>
      </c>
      <c r="W51">
        <f t="shared" si="14"/>
        <v>0.54632188965728179</v>
      </c>
      <c r="X51">
        <f t="shared" si="15"/>
        <v>9.769327863640882</v>
      </c>
      <c r="Y51">
        <f t="shared" si="16"/>
        <v>1.0990493846595994</v>
      </c>
      <c r="Z51">
        <f t="shared" si="17"/>
        <v>4.884663931820441</v>
      </c>
      <c r="AA51">
        <f t="shared" si="18"/>
        <v>3.6876727551866519</v>
      </c>
      <c r="AB51">
        <f t="shared" si="19"/>
        <v>1.0990493846595994</v>
      </c>
      <c r="AC51">
        <f t="shared" si="23"/>
        <v>5.4198770624949457</v>
      </c>
      <c r="AD51">
        <f t="shared" si="24"/>
        <v>12.229529645751557</v>
      </c>
      <c r="AE51">
        <f t="shared" si="25"/>
        <v>60.253261664484924</v>
      </c>
      <c r="AF51">
        <f t="shared" si="26"/>
        <v>6.7784919372545547</v>
      </c>
      <c r="AG51">
        <f t="shared" si="27"/>
        <v>30.126630832242462</v>
      </c>
      <c r="AH51">
        <f t="shared" si="28"/>
        <v>82.549325108823012</v>
      </c>
      <c r="AI51">
        <f t="shared" si="29"/>
        <v>6.7784919372545547</v>
      </c>
    </row>
    <row r="52" spans="5:35" x14ac:dyDescent="0.25">
      <c r="E52">
        <f t="shared" si="20"/>
        <v>287.85679796565023</v>
      </c>
      <c r="F52">
        <f t="shared" si="0"/>
        <v>1.3884201185932741</v>
      </c>
      <c r="G52">
        <f t="shared" si="1"/>
        <v>0.30397520223323771</v>
      </c>
      <c r="H52">
        <f t="shared" si="2"/>
        <v>5.6846705567956572</v>
      </c>
      <c r="I52">
        <f t="shared" si="3"/>
        <v>0.63952543763951153</v>
      </c>
      <c r="J52">
        <f t="shared" si="4"/>
        <v>2.8423352783978286</v>
      </c>
      <c r="K52">
        <f t="shared" si="5"/>
        <v>2.0518326150743547</v>
      </c>
      <c r="L52">
        <v>51</v>
      </c>
      <c r="M52">
        <f t="shared" si="21"/>
        <v>0.63952543763951153</v>
      </c>
      <c r="N52">
        <f t="shared" si="6"/>
        <v>-53.386884169224274</v>
      </c>
      <c r="O52">
        <f t="shared" si="7"/>
        <v>-317.7154136945137</v>
      </c>
      <c r="P52">
        <f t="shared" si="8"/>
        <v>-933.85582879394349</v>
      </c>
      <c r="Q52">
        <f t="shared" si="9"/>
        <v>-105.05878073931864</v>
      </c>
      <c r="R52">
        <f t="shared" si="10"/>
        <v>-466.92791439697174</v>
      </c>
      <c r="S52">
        <f t="shared" si="11"/>
        <v>-2144.5790424379675</v>
      </c>
      <c r="T52">
        <f t="shared" si="12"/>
        <v>-105.05878073931864</v>
      </c>
      <c r="U52">
        <f t="shared" si="22"/>
        <v>57.571359593130069</v>
      </c>
      <c r="V52">
        <f t="shared" si="13"/>
        <v>2.2615776443033364</v>
      </c>
      <c r="W52">
        <f t="shared" si="14"/>
        <v>0.4951408529644491</v>
      </c>
      <c r="X52">
        <f t="shared" si="15"/>
        <v>9.2596784462503194</v>
      </c>
      <c r="Y52">
        <f t="shared" si="16"/>
        <v>1.0417138252031608</v>
      </c>
      <c r="Z52">
        <f t="shared" si="17"/>
        <v>4.6298392231251597</v>
      </c>
      <c r="AA52">
        <f t="shared" si="18"/>
        <v>3.3422007575100317</v>
      </c>
      <c r="AB52">
        <f t="shared" si="19"/>
        <v>1.0417138252031608</v>
      </c>
      <c r="AC52">
        <f t="shared" si="23"/>
        <v>5.1151504382712449</v>
      </c>
      <c r="AD52">
        <f t="shared" si="24"/>
        <v>10.853393627253521</v>
      </c>
      <c r="AE52">
        <f t="shared" si="25"/>
        <v>55.332879648405211</v>
      </c>
      <c r="AF52">
        <f t="shared" si="26"/>
        <v>6.2249489604455857</v>
      </c>
      <c r="AG52">
        <f t="shared" si="27"/>
        <v>27.666439824202605</v>
      </c>
      <c r="AH52">
        <f t="shared" si="28"/>
        <v>73.260406983961275</v>
      </c>
      <c r="AI52">
        <f t="shared" si="29"/>
        <v>6.2249489604455857</v>
      </c>
    </row>
    <row r="53" spans="5:35" x14ac:dyDescent="0.25">
      <c r="E53">
        <f t="shared" si="20"/>
        <v>302.24963786393278</v>
      </c>
      <c r="F53">
        <f t="shared" si="0"/>
        <v>1.3605267752162873</v>
      </c>
      <c r="G53">
        <f t="shared" si="1"/>
        <v>0.27551818697993152</v>
      </c>
      <c r="H53">
        <f t="shared" si="2"/>
        <v>5.3894538678631383</v>
      </c>
      <c r="I53">
        <f t="shared" si="3"/>
        <v>0.60631356013460302</v>
      </c>
      <c r="J53">
        <f t="shared" si="4"/>
        <v>2.6947269339315691</v>
      </c>
      <c r="K53">
        <f t="shared" si="5"/>
        <v>1.8597477621145377</v>
      </c>
      <c r="L53">
        <v>52</v>
      </c>
      <c r="M53">
        <f t="shared" si="21"/>
        <v>0.60631356013460302</v>
      </c>
      <c r="N53">
        <f t="shared" si="6"/>
        <v>295.12640451773433</v>
      </c>
      <c r="O53">
        <f t="shared" si="7"/>
        <v>1673.9939714202746</v>
      </c>
      <c r="P53">
        <f t="shared" si="8"/>
        <v>5040.8113153713284</v>
      </c>
      <c r="Q53">
        <f t="shared" si="9"/>
        <v>567.09127297927444</v>
      </c>
      <c r="R53">
        <f t="shared" si="10"/>
        <v>2520.4056576856642</v>
      </c>
      <c r="S53">
        <f t="shared" si="11"/>
        <v>11299.459307086852</v>
      </c>
      <c r="T53">
        <f t="shared" si="12"/>
        <v>567.09127297927444</v>
      </c>
      <c r="U53">
        <f t="shared" si="22"/>
        <v>60.449927572786578</v>
      </c>
      <c r="V53">
        <f t="shared" si="13"/>
        <v>2.2161425768036049</v>
      </c>
      <c r="W53">
        <f t="shared" si="14"/>
        <v>0.44878762841906988</v>
      </c>
      <c r="X53">
        <f t="shared" si="15"/>
        <v>8.7788042101498682</v>
      </c>
      <c r="Y53">
        <f t="shared" si="16"/>
        <v>0.9876154736418602</v>
      </c>
      <c r="Z53">
        <f t="shared" si="17"/>
        <v>4.3894021050749341</v>
      </c>
      <c r="AA53">
        <f t="shared" si="18"/>
        <v>3.0293164918287219</v>
      </c>
      <c r="AB53">
        <f t="shared" si="19"/>
        <v>0.9876154736418602</v>
      </c>
      <c r="AC53">
        <f t="shared" si="23"/>
        <v>4.842613983246185</v>
      </c>
      <c r="AD53">
        <f t="shared" si="24"/>
        <v>9.6555325870012343</v>
      </c>
      <c r="AE53">
        <f t="shared" si="25"/>
        <v>50.963064228058428</v>
      </c>
      <c r="AF53">
        <f t="shared" si="26"/>
        <v>5.7333447256565737</v>
      </c>
      <c r="AG53">
        <f t="shared" si="27"/>
        <v>25.481532114029214</v>
      </c>
      <c r="AH53">
        <f t="shared" si="28"/>
        <v>65.174844962258334</v>
      </c>
      <c r="AI53">
        <f t="shared" si="29"/>
        <v>5.7333447256565737</v>
      </c>
    </row>
    <row r="54" spans="5:35" x14ac:dyDescent="0.25">
      <c r="E54">
        <f t="shared" si="20"/>
        <v>317.36211975712945</v>
      </c>
      <c r="F54">
        <f t="shared" si="0"/>
        <v>1.3337064698040251</v>
      </c>
      <c r="G54">
        <f t="shared" si="1"/>
        <v>0.24974185470821919</v>
      </c>
      <c r="H54">
        <f t="shared" si="2"/>
        <v>5.1107703588425961</v>
      </c>
      <c r="I54">
        <f t="shared" si="3"/>
        <v>0.5749616653697921</v>
      </c>
      <c r="J54">
        <f t="shared" si="4"/>
        <v>2.5553851794212981</v>
      </c>
      <c r="K54">
        <f t="shared" si="5"/>
        <v>1.6857575192804797</v>
      </c>
      <c r="L54">
        <v>53</v>
      </c>
      <c r="M54">
        <f t="shared" si="21"/>
        <v>0.5749616653697921</v>
      </c>
      <c r="N54">
        <f t="shared" si="6"/>
        <v>39.170303180248581</v>
      </c>
      <c r="O54">
        <f t="shared" si="7"/>
        <v>211.5925265290235</v>
      </c>
      <c r="P54">
        <f t="shared" si="8"/>
        <v>653.14605351362297</v>
      </c>
      <c r="Q54">
        <f t="shared" si="9"/>
        <v>73.478931020282587</v>
      </c>
      <c r="R54">
        <f t="shared" si="10"/>
        <v>326.57302675681149</v>
      </c>
      <c r="S54">
        <f t="shared" si="11"/>
        <v>1428.2495540709085</v>
      </c>
      <c r="T54">
        <f t="shared" si="12"/>
        <v>73.478931020282587</v>
      </c>
      <c r="U54">
        <f t="shared" si="22"/>
        <v>63.47242395142591</v>
      </c>
      <c r="V54">
        <f t="shared" si="13"/>
        <v>2.1724553654750802</v>
      </c>
      <c r="W54">
        <f t="shared" si="14"/>
        <v>0.40680092998595946</v>
      </c>
      <c r="X54">
        <f t="shared" si="15"/>
        <v>8.324860633996968</v>
      </c>
      <c r="Y54">
        <f t="shared" si="16"/>
        <v>0.93654682132465905</v>
      </c>
      <c r="Z54">
        <f t="shared" si="17"/>
        <v>4.162430316998484</v>
      </c>
      <c r="AA54">
        <f t="shared" si="18"/>
        <v>2.7459062774052261</v>
      </c>
      <c r="AB54">
        <f t="shared" si="19"/>
        <v>0.93654682132465905</v>
      </c>
      <c r="AC54">
        <f t="shared" si="23"/>
        <v>4.5974230286373423</v>
      </c>
      <c r="AD54">
        <f t="shared" si="24"/>
        <v>8.6080984814427328</v>
      </c>
      <c r="AE54">
        <f t="shared" si="25"/>
        <v>47.060702486524029</v>
      </c>
      <c r="AF54">
        <f t="shared" si="26"/>
        <v>5.2943290297339534</v>
      </c>
      <c r="AG54">
        <f t="shared" si="27"/>
        <v>23.530351243262015</v>
      </c>
      <c r="AH54">
        <f t="shared" si="28"/>
        <v>58.104664749738447</v>
      </c>
      <c r="AI54">
        <f t="shared" si="29"/>
        <v>5.2943290297339534</v>
      </c>
    </row>
    <row r="55" spans="5:35" x14ac:dyDescent="0.25">
      <c r="E55">
        <f t="shared" si="20"/>
        <v>333.23022574498594</v>
      </c>
      <c r="F55">
        <f t="shared" si="0"/>
        <v>1.3078984643563956</v>
      </c>
      <c r="G55">
        <f t="shared" si="1"/>
        <v>0.22639071614567768</v>
      </c>
      <c r="H55">
        <f t="shared" si="2"/>
        <v>4.8475737808875081</v>
      </c>
      <c r="I55">
        <f t="shared" si="3"/>
        <v>0.54535205034984457</v>
      </c>
      <c r="J55">
        <f t="shared" si="4"/>
        <v>2.4237868904437541</v>
      </c>
      <c r="K55">
        <f t="shared" si="5"/>
        <v>1.5281373339833242</v>
      </c>
      <c r="L55">
        <v>54</v>
      </c>
      <c r="M55">
        <f t="shared" si="21"/>
        <v>0.54535205034984457</v>
      </c>
      <c r="N55">
        <f t="shared" si="6"/>
        <v>20.967733692813241</v>
      </c>
      <c r="O55">
        <f t="shared" si="7"/>
        <v>107.78246752139628</v>
      </c>
      <c r="P55">
        <f t="shared" si="8"/>
        <v>341.2555811996271</v>
      </c>
      <c r="Q55">
        <f t="shared" si="9"/>
        <v>38.39125288495805</v>
      </c>
      <c r="R55">
        <f t="shared" si="10"/>
        <v>170.62779059981355</v>
      </c>
      <c r="S55">
        <f t="shared" si="11"/>
        <v>727.53165576942502</v>
      </c>
      <c r="T55">
        <f t="shared" si="12"/>
        <v>38.39125288495805</v>
      </c>
      <c r="U55">
        <f t="shared" si="22"/>
        <v>66.646045148997203</v>
      </c>
      <c r="V55">
        <f t="shared" si="13"/>
        <v>2.1304170750593854</v>
      </c>
      <c r="W55">
        <f t="shared" si="14"/>
        <v>0.36876459484873902</v>
      </c>
      <c r="X55">
        <f t="shared" si="15"/>
        <v>7.896143498031341</v>
      </c>
      <c r="Y55">
        <f t="shared" si="16"/>
        <v>0.88831614352852595</v>
      </c>
      <c r="Z55">
        <f t="shared" si="17"/>
        <v>3.9480717490156705</v>
      </c>
      <c r="AA55">
        <f t="shared" si="18"/>
        <v>2.489161015228988</v>
      </c>
      <c r="AB55">
        <f t="shared" si="19"/>
        <v>0.88831614352852595</v>
      </c>
      <c r="AC55">
        <f t="shared" si="23"/>
        <v>4.3756586375471027</v>
      </c>
      <c r="AD55">
        <f t="shared" si="24"/>
        <v>7.6885521056386716</v>
      </c>
      <c r="AE55">
        <f t="shared" si="25"/>
        <v>43.558552581133782</v>
      </c>
      <c r="AF55">
        <f t="shared" si="26"/>
        <v>4.9003371653775503</v>
      </c>
      <c r="AG55">
        <f t="shared" si="27"/>
        <v>21.779276290566891</v>
      </c>
      <c r="AH55">
        <f t="shared" si="28"/>
        <v>51.89772671306104</v>
      </c>
      <c r="AI55">
        <f t="shared" si="29"/>
        <v>4.9003371653775503</v>
      </c>
    </row>
    <row r="56" spans="5:35" x14ac:dyDescent="0.25">
      <c r="E56">
        <f t="shared" si="20"/>
        <v>349.89173703223526</v>
      </c>
      <c r="F56">
        <f t="shared" si="0"/>
        <v>1.283046519984379</v>
      </c>
      <c r="G56">
        <f t="shared" si="1"/>
        <v>0.20523416001477685</v>
      </c>
      <c r="H56">
        <f t="shared" si="2"/>
        <v>4.5988961220340174</v>
      </c>
      <c r="I56">
        <f t="shared" si="3"/>
        <v>0.51737581372882702</v>
      </c>
      <c r="J56">
        <f t="shared" si="4"/>
        <v>2.2994480610170087</v>
      </c>
      <c r="K56">
        <f t="shared" si="5"/>
        <v>1.385330580099744</v>
      </c>
      <c r="L56">
        <v>55</v>
      </c>
      <c r="M56">
        <f t="shared" si="21"/>
        <v>0.51737581372882702</v>
      </c>
      <c r="N56">
        <f t="shared" si="6"/>
        <v>14.310912653715263</v>
      </c>
      <c r="O56">
        <f t="shared" si="7"/>
        <v>69.947695437526164</v>
      </c>
      <c r="P56">
        <f t="shared" si="8"/>
        <v>227.29214644647817</v>
      </c>
      <c r="Q56">
        <f t="shared" si="9"/>
        <v>25.570366475228791</v>
      </c>
      <c r="R56">
        <f t="shared" si="10"/>
        <v>113.64607322323909</v>
      </c>
      <c r="S56">
        <f t="shared" si="11"/>
        <v>472.14694420330159</v>
      </c>
      <c r="T56">
        <f t="shared" si="12"/>
        <v>25.570366475228791</v>
      </c>
      <c r="U56">
        <f t="shared" si="22"/>
        <v>69.978347406447071</v>
      </c>
      <c r="V56">
        <f t="shared" si="13"/>
        <v>2.0899360988357274</v>
      </c>
      <c r="W56">
        <f t="shared" si="14"/>
        <v>0.33430298360057281</v>
      </c>
      <c r="X56">
        <f t="shared" si="15"/>
        <v>7.4910760214302625</v>
      </c>
      <c r="Y56">
        <f t="shared" si="16"/>
        <v>0.8427460524109045</v>
      </c>
      <c r="Z56">
        <f t="shared" si="17"/>
        <v>3.7455380107151313</v>
      </c>
      <c r="AA56">
        <f t="shared" si="18"/>
        <v>2.2565451393038667</v>
      </c>
      <c r="AB56">
        <f t="shared" si="19"/>
        <v>0.8427460524109045</v>
      </c>
      <c r="AC56">
        <f t="shared" si="23"/>
        <v>4.1741165720767057</v>
      </c>
      <c r="AD56">
        <f t="shared" si="24"/>
        <v>6.8784569555323971</v>
      </c>
      <c r="AE56">
        <f t="shared" si="25"/>
        <v>40.401626086707239</v>
      </c>
      <c r="AF56">
        <f t="shared" si="26"/>
        <v>4.5451829347545649</v>
      </c>
      <c r="AG56">
        <f t="shared" si="27"/>
        <v>20.200813043353619</v>
      </c>
      <c r="AH56">
        <f t="shared" si="28"/>
        <v>46.429584449843681</v>
      </c>
      <c r="AI56">
        <f t="shared" si="29"/>
        <v>4.5451829347545649</v>
      </c>
    </row>
    <row r="57" spans="5:35" x14ac:dyDescent="0.25">
      <c r="E57">
        <f t="shared" si="20"/>
        <v>367.38632388384701</v>
      </c>
      <c r="F57">
        <f t="shared" si="0"/>
        <v>1.2590984878999518</v>
      </c>
      <c r="G57">
        <f t="shared" si="1"/>
        <v>0.18606393698752743</v>
      </c>
      <c r="H57">
        <f t="shared" si="2"/>
        <v>4.3638405683766441</v>
      </c>
      <c r="I57">
        <f t="shared" si="3"/>
        <v>0.49093206394237249</v>
      </c>
      <c r="J57">
        <f t="shared" si="4"/>
        <v>2.1819202841883221</v>
      </c>
      <c r="K57">
        <f t="shared" si="5"/>
        <v>1.2559315746658102</v>
      </c>
      <c r="L57">
        <v>56</v>
      </c>
      <c r="M57">
        <f t="shared" si="21"/>
        <v>0.49093206394237249</v>
      </c>
      <c r="N57">
        <f t="shared" si="6"/>
        <v>10.859788744379275</v>
      </c>
      <c r="O57">
        <f t="shared" si="7"/>
        <v>50.430582251659345</v>
      </c>
      <c r="P57">
        <f t="shared" si="8"/>
        <v>168.28340450128454</v>
      </c>
      <c r="Q57">
        <f t="shared" si="9"/>
        <v>18.931883006394511</v>
      </c>
      <c r="R57">
        <f t="shared" si="10"/>
        <v>84.141702250642268</v>
      </c>
      <c r="S57">
        <f t="shared" si="11"/>
        <v>340.4064301987006</v>
      </c>
      <c r="T57">
        <f t="shared" si="12"/>
        <v>18.931883006394511</v>
      </c>
      <c r="U57">
        <f t="shared" si="22"/>
        <v>73.477264776769431</v>
      </c>
      <c r="V57">
        <f t="shared" si="13"/>
        <v>2.0509274923902332</v>
      </c>
      <c r="W57">
        <f t="shared" si="14"/>
        <v>0.3030768818939345</v>
      </c>
      <c r="X57">
        <f t="shared" si="15"/>
        <v>7.1081973968685093</v>
      </c>
      <c r="Y57">
        <f t="shared" si="16"/>
        <v>0.79967220714770726</v>
      </c>
      <c r="Z57">
        <f t="shared" si="17"/>
        <v>3.5540986984342546</v>
      </c>
      <c r="AA57">
        <f t="shared" si="18"/>
        <v>2.0457689527840581</v>
      </c>
      <c r="AB57">
        <f t="shared" si="19"/>
        <v>0.79967220714770726</v>
      </c>
      <c r="AC57">
        <f t="shared" si="23"/>
        <v>3.9901514724775669</v>
      </c>
      <c r="AD57">
        <f t="shared" si="24"/>
        <v>6.1625884827490989</v>
      </c>
      <c r="AE57">
        <f t="shared" si="25"/>
        <v>37.544516827700235</v>
      </c>
      <c r="AF57">
        <f t="shared" si="26"/>
        <v>4.2237581431162772</v>
      </c>
      <c r="AG57">
        <f t="shared" si="27"/>
        <v>18.772258413850118</v>
      </c>
      <c r="AH57">
        <f t="shared" si="28"/>
        <v>41.597472258556422</v>
      </c>
      <c r="AI57">
        <f t="shared" si="29"/>
        <v>4.2237581431162772</v>
      </c>
    </row>
    <row r="58" spans="5:35" x14ac:dyDescent="0.25">
      <c r="E58">
        <f t="shared" si="20"/>
        <v>385.75564007803939</v>
      </c>
      <c r="F58">
        <f t="shared" si="0"/>
        <v>1.2360059442284625</v>
      </c>
      <c r="G58">
        <f t="shared" si="1"/>
        <v>0.16869191451184479</v>
      </c>
      <c r="H58">
        <f t="shared" si="2"/>
        <v>4.1415752157784453</v>
      </c>
      <c r="I58">
        <f t="shared" si="3"/>
        <v>0.46592721177507501</v>
      </c>
      <c r="J58">
        <f t="shared" si="4"/>
        <v>2.0707876078892227</v>
      </c>
      <c r="K58">
        <f t="shared" si="5"/>
        <v>1.1386704229549522</v>
      </c>
      <c r="L58">
        <v>57</v>
      </c>
      <c r="M58">
        <f t="shared" si="21"/>
        <v>0.46592721177507501</v>
      </c>
      <c r="N58">
        <f t="shared" si="6"/>
        <v>8.7480967050349818</v>
      </c>
      <c r="O58">
        <f t="shared" si="7"/>
        <v>38.566565870540771</v>
      </c>
      <c r="P58">
        <f t="shared" si="8"/>
        <v>132.23620032082277</v>
      </c>
      <c r="Q58">
        <f t="shared" si="9"/>
        <v>14.876572536092564</v>
      </c>
      <c r="R58">
        <f t="shared" si="10"/>
        <v>66.118100160411387</v>
      </c>
      <c r="S58">
        <f t="shared" si="11"/>
        <v>260.32431962615021</v>
      </c>
      <c r="T58">
        <f t="shared" si="12"/>
        <v>14.876572536092564</v>
      </c>
      <c r="U58">
        <f t="shared" si="22"/>
        <v>77.15112801560791</v>
      </c>
      <c r="V58">
        <f t="shared" si="13"/>
        <v>2.0133123787671026</v>
      </c>
      <c r="W58">
        <f t="shared" si="14"/>
        <v>0.27477984330942806</v>
      </c>
      <c r="X58">
        <f t="shared" si="15"/>
        <v>6.7461525476130957</v>
      </c>
      <c r="Y58">
        <f t="shared" si="16"/>
        <v>0.75894216160647332</v>
      </c>
      <c r="Z58">
        <f t="shared" si="17"/>
        <v>3.3730762738065478</v>
      </c>
      <c r="AA58">
        <f t="shared" si="18"/>
        <v>1.8547639423386395</v>
      </c>
      <c r="AB58">
        <f t="shared" si="19"/>
        <v>0.75894216160647332</v>
      </c>
      <c r="AC58">
        <f t="shared" si="23"/>
        <v>3.8215600999883699</v>
      </c>
      <c r="AD58">
        <f t="shared" si="24"/>
        <v>5.5282664750776611</v>
      </c>
      <c r="AE58">
        <f t="shared" si="25"/>
        <v>34.949399370310879</v>
      </c>
      <c r="AF58">
        <f t="shared" si="26"/>
        <v>3.9318074291599738</v>
      </c>
      <c r="AG58">
        <f t="shared" si="27"/>
        <v>17.474699685155439</v>
      </c>
      <c r="AH58">
        <f t="shared" si="28"/>
        <v>37.315798706774217</v>
      </c>
      <c r="AI58">
        <f t="shared" si="29"/>
        <v>3.9318074291599738</v>
      </c>
    </row>
    <row r="59" spans="5:35" x14ac:dyDescent="0.25">
      <c r="E59">
        <f t="shared" si="20"/>
        <v>405.0434220819414</v>
      </c>
      <c r="F59">
        <f t="shared" si="0"/>
        <v>1.2137238632618821</v>
      </c>
      <c r="G59">
        <f t="shared" si="1"/>
        <v>0.15294807053261619</v>
      </c>
      <c r="H59">
        <f t="shared" si="2"/>
        <v>3.9313274399436247</v>
      </c>
      <c r="I59">
        <f t="shared" si="3"/>
        <v>0.44227433699365781</v>
      </c>
      <c r="J59">
        <f t="shared" si="4"/>
        <v>1.9656637199718123</v>
      </c>
      <c r="K59">
        <f t="shared" si="5"/>
        <v>1.0323994760951594</v>
      </c>
      <c r="L59">
        <v>58</v>
      </c>
      <c r="M59">
        <f t="shared" si="21"/>
        <v>0.44227433699365781</v>
      </c>
      <c r="N59">
        <f t="shared" si="6"/>
        <v>7.3227865843847804</v>
      </c>
      <c r="O59">
        <f t="shared" si="7"/>
        <v>30.623746671008583</v>
      </c>
      <c r="P59">
        <f t="shared" si="8"/>
        <v>107.95535574949176</v>
      </c>
      <c r="Q59">
        <f t="shared" si="9"/>
        <v>12.144977521817824</v>
      </c>
      <c r="R59">
        <f t="shared" si="10"/>
        <v>53.977677874745879</v>
      </c>
      <c r="S59">
        <f t="shared" si="11"/>
        <v>206.71029002930794</v>
      </c>
      <c r="T59">
        <f t="shared" si="12"/>
        <v>12.144977521817824</v>
      </c>
      <c r="U59">
        <f t="shared" si="22"/>
        <v>81.008684416388306</v>
      </c>
      <c r="V59">
        <f t="shared" si="13"/>
        <v>1.9770174162354213</v>
      </c>
      <c r="W59">
        <f t="shared" si="14"/>
        <v>0.24913492135677129</v>
      </c>
      <c r="X59">
        <f t="shared" si="15"/>
        <v>6.403682957015195</v>
      </c>
      <c r="Y59">
        <f t="shared" si="16"/>
        <v>0.72041433266420951</v>
      </c>
      <c r="Z59">
        <f t="shared" si="17"/>
        <v>3.2018414785075975</v>
      </c>
      <c r="AA59">
        <f t="shared" si="18"/>
        <v>1.6816607191582065</v>
      </c>
      <c r="AB59">
        <f t="shared" si="19"/>
        <v>0.72041433266420951</v>
      </c>
      <c r="AC59">
        <f t="shared" si="23"/>
        <v>3.6664926762897818</v>
      </c>
      <c r="AD59">
        <f t="shared" si="24"/>
        <v>4.964847903576076</v>
      </c>
      <c r="AE59">
        <f t="shared" si="25"/>
        <v>32.584509167624205</v>
      </c>
      <c r="AF59">
        <f t="shared" si="26"/>
        <v>3.6657572813577231</v>
      </c>
      <c r="AG59">
        <f t="shared" si="27"/>
        <v>16.292254583812102</v>
      </c>
      <c r="AH59">
        <f t="shared" si="28"/>
        <v>33.512723349138518</v>
      </c>
      <c r="AI59">
        <f t="shared" si="29"/>
        <v>3.6657572813577231</v>
      </c>
    </row>
    <row r="60" spans="5:35" x14ac:dyDescent="0.25">
      <c r="E60">
        <f t="shared" si="20"/>
        <v>425.2955931860385</v>
      </c>
      <c r="F60">
        <f t="shared" si="0"/>
        <v>1.1922103245133757</v>
      </c>
      <c r="G60">
        <f t="shared" si="1"/>
        <v>0.13867869837053767</v>
      </c>
      <c r="H60">
        <f t="shared" si="2"/>
        <v>3.7323788454038129</v>
      </c>
      <c r="I60">
        <f t="shared" si="3"/>
        <v>0.41989262010792899</v>
      </c>
      <c r="J60">
        <f t="shared" si="4"/>
        <v>1.8661894227019065</v>
      </c>
      <c r="K60">
        <f t="shared" si="5"/>
        <v>0.9360812140011292</v>
      </c>
      <c r="L60">
        <v>59</v>
      </c>
      <c r="M60">
        <f t="shared" si="21"/>
        <v>0.41989262010792899</v>
      </c>
      <c r="N60">
        <f t="shared" si="6"/>
        <v>6.2959916386634518</v>
      </c>
      <c r="O60">
        <f t="shared" si="7"/>
        <v>24.956990570719448</v>
      </c>
      <c r="P60">
        <f t="shared" si="8"/>
        <v>90.505976400641671</v>
      </c>
      <c r="Q60">
        <f t="shared" si="9"/>
        <v>10.181922345072186</v>
      </c>
      <c r="R60">
        <f t="shared" si="10"/>
        <v>45.252988200320836</v>
      </c>
      <c r="S60">
        <f t="shared" si="11"/>
        <v>168.45968635235624</v>
      </c>
      <c r="T60">
        <f t="shared" si="12"/>
        <v>10.181922345072186</v>
      </c>
      <c r="U60">
        <f t="shared" si="22"/>
        <v>85.059118637207732</v>
      </c>
      <c r="V60">
        <f t="shared" si="13"/>
        <v>1.9419743211146363</v>
      </c>
      <c r="W60">
        <f t="shared" si="14"/>
        <v>0.22589174542764548</v>
      </c>
      <c r="X60">
        <f t="shared" si="15"/>
        <v>6.0796184409862297</v>
      </c>
      <c r="Y60">
        <f t="shared" si="16"/>
        <v>0.68395707461095079</v>
      </c>
      <c r="Z60">
        <f t="shared" si="17"/>
        <v>3.0398092204931149</v>
      </c>
      <c r="AA60">
        <f t="shared" si="18"/>
        <v>1.5247692816366072</v>
      </c>
      <c r="AB60">
        <f t="shared" si="19"/>
        <v>0.68395707461095079</v>
      </c>
      <c r="AC60">
        <f t="shared" si="23"/>
        <v>3.5233847356641572</v>
      </c>
      <c r="AD60">
        <f t="shared" si="24"/>
        <v>4.463336909812317</v>
      </c>
      <c r="AE60">
        <f t="shared" si="25"/>
        <v>30.422974347815597</v>
      </c>
      <c r="AF60">
        <f t="shared" si="26"/>
        <v>3.4225846141292546</v>
      </c>
      <c r="AG60">
        <f t="shared" si="27"/>
        <v>15.211487173907798</v>
      </c>
      <c r="AH60">
        <f t="shared" si="28"/>
        <v>30.127524141233138</v>
      </c>
      <c r="AI60">
        <f t="shared" si="29"/>
        <v>3.4225846141292546</v>
      </c>
    </row>
    <row r="61" spans="5:35" x14ac:dyDescent="0.25">
      <c r="E61">
        <f t="shared" si="20"/>
        <v>446.56037284534045</v>
      </c>
      <c r="F61">
        <f t="shared" si="0"/>
        <v>1.1714262495629846</v>
      </c>
      <c r="G61">
        <f t="shared" si="1"/>
        <v>0.12574479862672749</v>
      </c>
      <c r="H61">
        <f t="shared" si="2"/>
        <v>3.5440607247510987</v>
      </c>
      <c r="I61">
        <f t="shared" si="3"/>
        <v>0.3987068315344986</v>
      </c>
      <c r="J61">
        <f t="shared" si="4"/>
        <v>1.7720303623755493</v>
      </c>
      <c r="K61">
        <f t="shared" si="5"/>
        <v>0.8487773907304107</v>
      </c>
      <c r="L61">
        <v>60</v>
      </c>
      <c r="M61">
        <f t="shared" si="21"/>
        <v>0.3987068315344986</v>
      </c>
      <c r="N61">
        <f t="shared" si="6"/>
        <v>5.5210753257700675</v>
      </c>
      <c r="O61">
        <f t="shared" si="7"/>
        <v>20.728198314413355</v>
      </c>
      <c r="P61">
        <f t="shared" si="8"/>
        <v>77.374257310102976</v>
      </c>
      <c r="Q61">
        <f t="shared" si="9"/>
        <v>8.7046039473865839</v>
      </c>
      <c r="R61">
        <f t="shared" si="10"/>
        <v>38.687128655051488</v>
      </c>
      <c r="S61">
        <f t="shared" si="11"/>
        <v>139.91533862229016</v>
      </c>
      <c r="T61">
        <f t="shared" si="12"/>
        <v>8.7046039473865839</v>
      </c>
      <c r="U61">
        <f t="shared" si="22"/>
        <v>89.312074569068116</v>
      </c>
      <c r="V61">
        <f t="shared" si="13"/>
        <v>1.9081194391262117</v>
      </c>
      <c r="W61">
        <f t="shared" si="14"/>
        <v>0.20482390139215406</v>
      </c>
      <c r="X61">
        <f t="shared" si="15"/>
        <v>5.77286975160761</v>
      </c>
      <c r="Y61">
        <f t="shared" si="16"/>
        <v>0.64944784705585612</v>
      </c>
      <c r="Z61">
        <f t="shared" si="17"/>
        <v>2.886434875803805</v>
      </c>
      <c r="AA61">
        <f t="shared" si="18"/>
        <v>1.3825613343970402</v>
      </c>
      <c r="AB61">
        <f t="shared" si="19"/>
        <v>0.64944784705585612</v>
      </c>
      <c r="AC61">
        <f t="shared" si="23"/>
        <v>3.3909041585917494</v>
      </c>
      <c r="AD61">
        <f t="shared" si="24"/>
        <v>4.0160814791035113</v>
      </c>
      <c r="AE61">
        <f t="shared" si="25"/>
        <v>28.441907752226903</v>
      </c>
      <c r="AF61">
        <f t="shared" si="26"/>
        <v>3.1997146221255264</v>
      </c>
      <c r="AG61">
        <f t="shared" si="27"/>
        <v>14.220953876113452</v>
      </c>
      <c r="AH61">
        <f t="shared" si="28"/>
        <v>27.108549983948702</v>
      </c>
      <c r="AI61">
        <f t="shared" si="29"/>
        <v>3.1997146221255264</v>
      </c>
    </row>
    <row r="62" spans="5:35" x14ac:dyDescent="0.25">
      <c r="E62">
        <f t="shared" si="20"/>
        <v>468.88839148760752</v>
      </c>
      <c r="F62">
        <f t="shared" si="0"/>
        <v>1.1513351652187027</v>
      </c>
      <c r="G62">
        <f t="shared" si="1"/>
        <v>0.11402063705694754</v>
      </c>
      <c r="H62">
        <f t="shared" si="2"/>
        <v>3.3657499686149999</v>
      </c>
      <c r="I62">
        <f t="shared" si="3"/>
        <v>0.37864687146918746</v>
      </c>
      <c r="J62">
        <f t="shared" si="4"/>
        <v>1.6828749843074999</v>
      </c>
      <c r="K62">
        <f t="shared" si="5"/>
        <v>0.76963930013439585</v>
      </c>
      <c r="L62">
        <v>61</v>
      </c>
      <c r="M62">
        <f t="shared" si="21"/>
        <v>0.37864687146918746</v>
      </c>
      <c r="N62">
        <f t="shared" si="6"/>
        <v>4.9154826496460462</v>
      </c>
      <c r="O62">
        <f t="shared" si="7"/>
        <v>17.465456713001796</v>
      </c>
      <c r="P62">
        <f t="shared" si="8"/>
        <v>67.144934593281945</v>
      </c>
      <c r="Q62">
        <f t="shared" si="9"/>
        <v>7.5538051417442187</v>
      </c>
      <c r="R62">
        <f t="shared" si="10"/>
        <v>33.572467296640973</v>
      </c>
      <c r="S62">
        <f t="shared" si="11"/>
        <v>117.89183281276212</v>
      </c>
      <c r="T62">
        <f t="shared" si="12"/>
        <v>7.5538051417442187</v>
      </c>
      <c r="U62">
        <f t="shared" si="22"/>
        <v>93.777678297521533</v>
      </c>
      <c r="V62">
        <f t="shared" si="13"/>
        <v>1.8753933596101087</v>
      </c>
      <c r="W62">
        <f t="shared" si="14"/>
        <v>0.18572658254079705</v>
      </c>
      <c r="X62">
        <f t="shared" si="15"/>
        <v>5.4824219149507876</v>
      </c>
      <c r="Y62">
        <f t="shared" si="16"/>
        <v>0.61677246543196362</v>
      </c>
      <c r="Z62">
        <f t="shared" si="17"/>
        <v>2.7412109574753938</v>
      </c>
      <c r="AA62">
        <f t="shared" si="18"/>
        <v>1.2536544321503802</v>
      </c>
      <c r="AB62">
        <f t="shared" si="19"/>
        <v>0.61677246543196362</v>
      </c>
      <c r="AC62">
        <f t="shared" si="23"/>
        <v>3.2679095823694602</v>
      </c>
      <c r="AD62">
        <f t="shared" si="24"/>
        <v>3.6165350704260462</v>
      </c>
      <c r="AE62">
        <f t="shared" si="25"/>
        <v>26.621694004771452</v>
      </c>
      <c r="AF62">
        <f t="shared" si="26"/>
        <v>2.9949405755367882</v>
      </c>
      <c r="AG62">
        <f t="shared" si="27"/>
        <v>13.310847002385726</v>
      </c>
      <c r="AH62">
        <f t="shared" si="28"/>
        <v>24.411611725375813</v>
      </c>
      <c r="AI62">
        <f t="shared" si="29"/>
        <v>2.9949405755367882</v>
      </c>
    </row>
    <row r="63" spans="5:35" x14ac:dyDescent="0.25">
      <c r="E63">
        <f t="shared" si="20"/>
        <v>492.33281106198791</v>
      </c>
      <c r="F63">
        <f t="shared" si="0"/>
        <v>1.1319029899732207</v>
      </c>
      <c r="G63">
        <f t="shared" si="1"/>
        <v>0.1033924499926869</v>
      </c>
      <c r="H63">
        <f t="shared" si="2"/>
        <v>3.1968653746920181</v>
      </c>
      <c r="I63">
        <f t="shared" si="3"/>
        <v>0.35964735465285208</v>
      </c>
      <c r="J63">
        <f t="shared" si="4"/>
        <v>1.5984326873460091</v>
      </c>
      <c r="K63">
        <f t="shared" si="5"/>
        <v>0.69789903745063664</v>
      </c>
      <c r="L63">
        <v>62</v>
      </c>
      <c r="M63">
        <f t="shared" si="21"/>
        <v>0.35964735465285208</v>
      </c>
      <c r="N63">
        <f t="shared" si="6"/>
        <v>4.4291826009213437</v>
      </c>
      <c r="O63">
        <f t="shared" si="7"/>
        <v>14.882710378441727</v>
      </c>
      <c r="P63">
        <f t="shared" si="8"/>
        <v>58.960298751860776</v>
      </c>
      <c r="Q63">
        <f t="shared" si="9"/>
        <v>6.633033609584337</v>
      </c>
      <c r="R63">
        <f t="shared" si="10"/>
        <v>29.480149375930388</v>
      </c>
      <c r="S63">
        <f t="shared" si="11"/>
        <v>100.45829505448165</v>
      </c>
      <c r="T63">
        <f t="shared" si="12"/>
        <v>6.633033609584337</v>
      </c>
      <c r="U63">
        <f t="shared" si="22"/>
        <v>98.466562212397619</v>
      </c>
      <c r="V63">
        <f t="shared" si="13"/>
        <v>1.8437405676872334</v>
      </c>
      <c r="W63">
        <f t="shared" si="14"/>
        <v>0.16841448086341776</v>
      </c>
      <c r="X63">
        <f t="shared" si="15"/>
        <v>5.207328218908378</v>
      </c>
      <c r="Y63">
        <f t="shared" si="16"/>
        <v>0.58582442462719253</v>
      </c>
      <c r="Z63">
        <f t="shared" si="17"/>
        <v>2.603664109454189</v>
      </c>
      <c r="AA63">
        <f t="shared" si="18"/>
        <v>1.1367977458280698</v>
      </c>
      <c r="AB63">
        <f t="shared" si="19"/>
        <v>0.58582442462719253</v>
      </c>
      <c r="AC63">
        <f t="shared" si="23"/>
        <v>3.1534174362492378</v>
      </c>
      <c r="AD63">
        <f t="shared" si="24"/>
        <v>3.2590674843807013</v>
      </c>
      <c r="AE63">
        <f t="shared" si="25"/>
        <v>24.945424426894466</v>
      </c>
      <c r="AF63">
        <f t="shared" si="26"/>
        <v>2.8063602480256269</v>
      </c>
      <c r="AG63">
        <f t="shared" si="27"/>
        <v>12.472712213447233</v>
      </c>
      <c r="AH63">
        <f t="shared" si="28"/>
        <v>21.998705519569732</v>
      </c>
      <c r="AI63">
        <f t="shared" si="29"/>
        <v>2.8063602480256269</v>
      </c>
    </row>
    <row r="64" spans="5:35" x14ac:dyDescent="0.25">
      <c r="E64">
        <f t="shared" si="20"/>
        <v>516.94945161508736</v>
      </c>
      <c r="F64">
        <f t="shared" si="0"/>
        <v>1.113097841126107</v>
      </c>
      <c r="G64">
        <f t="shared" si="1"/>
        <v>9.3757281148561425E-2</v>
      </c>
      <c r="H64">
        <f t="shared" si="2"/>
        <v>3.0368643108135021</v>
      </c>
      <c r="I64">
        <f t="shared" si="3"/>
        <v>0.341647234966519</v>
      </c>
      <c r="J64">
        <f t="shared" si="4"/>
        <v>1.518432155406751</v>
      </c>
      <c r="K64">
        <f t="shared" si="5"/>
        <v>0.63286164775278964</v>
      </c>
      <c r="L64">
        <v>63</v>
      </c>
      <c r="M64">
        <f t="shared" si="21"/>
        <v>0.341647234966519</v>
      </c>
      <c r="N64">
        <f t="shared" si="6"/>
        <v>4.0300874912809377</v>
      </c>
      <c r="O64">
        <f t="shared" si="7"/>
        <v>12.796444220663856</v>
      </c>
      <c r="P64">
        <f t="shared" si="8"/>
        <v>52.270240443471955</v>
      </c>
      <c r="Q64">
        <f t="shared" si="9"/>
        <v>5.8804020498905949</v>
      </c>
      <c r="R64">
        <f t="shared" si="10"/>
        <v>26.135120221735978</v>
      </c>
      <c r="S64">
        <f t="shared" si="11"/>
        <v>86.375998489481034</v>
      </c>
      <c r="T64">
        <f t="shared" si="12"/>
        <v>5.8804020498905949</v>
      </c>
      <c r="U64">
        <f t="shared" si="22"/>
        <v>103.38989032301751</v>
      </c>
      <c r="V64">
        <f t="shared" si="13"/>
        <v>1.8131091300835209</v>
      </c>
      <c r="W64">
        <f t="shared" si="14"/>
        <v>0.15271989234143624</v>
      </c>
      <c r="X64">
        <f t="shared" si="15"/>
        <v>4.9467047777131965</v>
      </c>
      <c r="Y64">
        <f t="shared" si="16"/>
        <v>0.55650428749273451</v>
      </c>
      <c r="Z64">
        <f t="shared" si="17"/>
        <v>2.4733523888565982</v>
      </c>
      <c r="AA64">
        <f t="shared" si="18"/>
        <v>1.0308592733046946</v>
      </c>
      <c r="AB64">
        <f t="shared" si="19"/>
        <v>0.55650428749273451</v>
      </c>
      <c r="AC64">
        <f t="shared" si="23"/>
        <v>3.0465755842271278</v>
      </c>
      <c r="AD64">
        <f t="shared" si="24"/>
        <v>2.9388134538943169</v>
      </c>
      <c r="AE64">
        <f t="shared" si="25"/>
        <v>23.398445223212835</v>
      </c>
      <c r="AF64">
        <f t="shared" si="26"/>
        <v>2.6323250876114441</v>
      </c>
      <c r="AG64">
        <f t="shared" si="27"/>
        <v>11.699222611606418</v>
      </c>
      <c r="AH64">
        <f t="shared" si="28"/>
        <v>19.836990813786642</v>
      </c>
      <c r="AI64">
        <f t="shared" si="29"/>
        <v>2.6323250876114441</v>
      </c>
    </row>
    <row r="65" spans="5:35" x14ac:dyDescent="0.25">
      <c r="E65">
        <f t="shared" si="20"/>
        <v>542.79692419584171</v>
      </c>
      <c r="F65">
        <f t="shared" si="0"/>
        <v>1.0948898602753427</v>
      </c>
      <c r="G65">
        <f t="shared" si="1"/>
        <v>8.5021935605084226E-2</v>
      </c>
      <c r="H65">
        <f t="shared" si="2"/>
        <v>2.8852396927602126</v>
      </c>
      <c r="I65">
        <f t="shared" si="3"/>
        <v>0.32458946543552392</v>
      </c>
      <c r="J65">
        <f t="shared" si="4"/>
        <v>1.4426198463801063</v>
      </c>
      <c r="K65">
        <f t="shared" si="5"/>
        <v>0.57389806533431853</v>
      </c>
      <c r="L65">
        <v>64</v>
      </c>
      <c r="M65">
        <f t="shared" si="21"/>
        <v>0.32458946543552392</v>
      </c>
      <c r="N65">
        <f t="shared" si="6"/>
        <v>3.6966707672297963</v>
      </c>
      <c r="O65">
        <f t="shared" si="7"/>
        <v>11.08350004932033</v>
      </c>
      <c r="P65">
        <f t="shared" si="8"/>
        <v>46.705698754458169</v>
      </c>
      <c r="Q65">
        <f t="shared" si="9"/>
        <v>5.2543911098765443</v>
      </c>
      <c r="R65">
        <f t="shared" si="10"/>
        <v>23.352849377229084</v>
      </c>
      <c r="S65">
        <f t="shared" si="11"/>
        <v>74.813625332912224</v>
      </c>
      <c r="T65">
        <f t="shared" si="12"/>
        <v>5.2543911098765443</v>
      </c>
      <c r="U65">
        <f t="shared" si="22"/>
        <v>108.55938483916839</v>
      </c>
      <c r="V65">
        <f t="shared" si="13"/>
        <v>1.783450410875596</v>
      </c>
      <c r="W65">
        <f t="shared" si="14"/>
        <v>0.13849101310536691</v>
      </c>
      <c r="X65">
        <f t="shared" si="15"/>
        <v>4.6997256091436839</v>
      </c>
      <c r="Y65">
        <f t="shared" si="16"/>
        <v>0.52871913102866441</v>
      </c>
      <c r="Z65">
        <f t="shared" si="17"/>
        <v>2.3498628045718419</v>
      </c>
      <c r="AA65">
        <f t="shared" si="18"/>
        <v>0.93481433846122652</v>
      </c>
      <c r="AB65">
        <f t="shared" si="19"/>
        <v>0.52871913102866441</v>
      </c>
      <c r="AC65">
        <f t="shared" si="23"/>
        <v>2.9466420802187137</v>
      </c>
      <c r="AD65">
        <f t="shared" si="24"/>
        <v>2.651550422494295</v>
      </c>
      <c r="AE65">
        <f t="shared" si="25"/>
        <v>21.967993304742549</v>
      </c>
      <c r="AF65">
        <f t="shared" si="26"/>
        <v>2.4713992467835371</v>
      </c>
      <c r="AG65">
        <f t="shared" si="27"/>
        <v>10.983996652371275</v>
      </c>
      <c r="AH65">
        <f t="shared" si="28"/>
        <v>17.897965351836493</v>
      </c>
      <c r="AI65">
        <f t="shared" si="29"/>
        <v>2.4713992467835371</v>
      </c>
    </row>
    <row r="66" spans="5:35" x14ac:dyDescent="0.25">
      <c r="E66">
        <f t="shared" si="20"/>
        <v>569.93677040563387</v>
      </c>
      <c r="F66">
        <f t="shared" si="0"/>
        <v>1.0772510551690022</v>
      </c>
      <c r="G66">
        <f t="shared" si="1"/>
        <v>7.7102038441324627E-2</v>
      </c>
      <c r="H66">
        <f t="shared" si="2"/>
        <v>2.7415172424494094</v>
      </c>
      <c r="I66">
        <f t="shared" si="3"/>
        <v>0.30842068977555859</v>
      </c>
      <c r="J66">
        <f t="shared" si="4"/>
        <v>1.3707586212247047</v>
      </c>
      <c r="K66">
        <f t="shared" si="5"/>
        <v>0.52043875947894125</v>
      </c>
      <c r="L66">
        <v>65</v>
      </c>
      <c r="M66">
        <f t="shared" si="21"/>
        <v>0.30842068977555859</v>
      </c>
      <c r="N66">
        <f t="shared" si="6"/>
        <v>3.4139523224293389</v>
      </c>
      <c r="O66">
        <f t="shared" si="7"/>
        <v>9.6581359583166631</v>
      </c>
      <c r="P66">
        <f t="shared" si="8"/>
        <v>42.009838018582606</v>
      </c>
      <c r="Q66">
        <f t="shared" si="9"/>
        <v>4.7261067770905427</v>
      </c>
      <c r="R66">
        <f t="shared" si="10"/>
        <v>21.004919009291303</v>
      </c>
      <c r="S66">
        <f t="shared" si="11"/>
        <v>65.192417718637486</v>
      </c>
      <c r="T66">
        <f t="shared" si="12"/>
        <v>4.7261067770905427</v>
      </c>
      <c r="U66">
        <f t="shared" si="22"/>
        <v>113.98735408112681</v>
      </c>
      <c r="V66">
        <f t="shared" si="13"/>
        <v>1.7547188138852405</v>
      </c>
      <c r="W66">
        <f t="shared" si="14"/>
        <v>0.12559040605504002</v>
      </c>
      <c r="X66">
        <f t="shared" si="15"/>
        <v>4.4656181684241307</v>
      </c>
      <c r="Y66">
        <f t="shared" si="16"/>
        <v>0.5023820439477148</v>
      </c>
      <c r="Z66">
        <f t="shared" si="17"/>
        <v>2.2328090842120654</v>
      </c>
      <c r="AA66">
        <f t="shared" si="18"/>
        <v>0.84773524087152008</v>
      </c>
      <c r="AB66">
        <f t="shared" si="19"/>
        <v>0.5023820439477148</v>
      </c>
      <c r="AC66">
        <f t="shared" si="23"/>
        <v>2.8529679149526035</v>
      </c>
      <c r="AD66">
        <f t="shared" si="24"/>
        <v>2.3935991150199962</v>
      </c>
      <c r="AE66">
        <f t="shared" si="25"/>
        <v>20.642900538283495</v>
      </c>
      <c r="AF66">
        <f t="shared" si="26"/>
        <v>2.3223263105568934</v>
      </c>
      <c r="AG66">
        <f t="shared" si="27"/>
        <v>10.321450269141748</v>
      </c>
      <c r="AH66">
        <f t="shared" si="28"/>
        <v>16.156794026384976</v>
      </c>
      <c r="AI66">
        <f t="shared" si="29"/>
        <v>2.3223263105568934</v>
      </c>
    </row>
    <row r="67" spans="5:35" x14ac:dyDescent="0.25">
      <c r="E67">
        <f t="shared" si="20"/>
        <v>598.43360892591556</v>
      </c>
      <c r="F67">
        <f t="shared" ref="F67:F130" si="30">((0.14)/(($E67/$B$5)^0.02-1))*$B$4</f>
        <v>1.0601551561552407</v>
      </c>
      <c r="G67">
        <f t="shared" ref="G67:G130" si="31">((80)/(($E67/$B$5)^2-1))*$B$4</f>
        <v>6.9921186953480763E-2</v>
      </c>
      <c r="H67">
        <f t="shared" ref="H67:H130" si="32">((120)/(($E67/$B$5)-1))*$B$4</f>
        <v>2.6052529963563669</v>
      </c>
      <c r="I67">
        <f t="shared" ref="I67:I130" si="33">((13.5)/(($E67/$B$5)-1))*$B$4</f>
        <v>0.29309096209009128</v>
      </c>
      <c r="J67">
        <f t="shared" ref="J67:J130" si="34">((60)/(($E67/$B$5)-1))*$B$4</f>
        <v>1.3026264981781834</v>
      </c>
      <c r="K67">
        <f t="shared" ref="K67:K130" si="35">((540)/(($E67/$B$5)^2-1))*$B$4</f>
        <v>0.47196801193599514</v>
      </c>
      <c r="L67">
        <v>66</v>
      </c>
      <c r="M67">
        <f t="shared" si="21"/>
        <v>0.29309096209009128</v>
      </c>
      <c r="N67">
        <f t="shared" ref="N67:N130" si="36">((0.14)/(($E67/$B$28)^0.02-1))*$B$27</f>
        <v>3.1711857756531856</v>
      </c>
      <c r="O67">
        <f t="shared" ref="O67:O130" si="37">((80)/(($E67/$B$28)^2-1))*$B$27</f>
        <v>8.4588111599244709</v>
      </c>
      <c r="P67">
        <f t="shared" ref="P67:P130" si="38">((120)/(($E67/$B$28)-1))*$B$27</f>
        <v>37.998401188168756</v>
      </c>
      <c r="Q67">
        <f t="shared" ref="Q67:Q130" si="39">((13.5)/(($E67/$B$28)-1))*$B$27</f>
        <v>4.2748201336689853</v>
      </c>
      <c r="R67">
        <f t="shared" ref="R67:R130" si="40">((60)/(($E67/$B$28)-1))*$B$27</f>
        <v>18.999200594084378</v>
      </c>
      <c r="S67">
        <f t="shared" ref="S67:S130" si="41">((540)/(($E67/$B$28)^2-1))*$B$27</f>
        <v>57.096975329490178</v>
      </c>
      <c r="T67">
        <f t="shared" ref="T67:T130" si="42">IF($E67&lt;$B$31,HLOOKUP($B$29,$N$2:$S$242,$L67,FALSE),$B$30)</f>
        <v>4.2748201336689853</v>
      </c>
      <c r="U67">
        <f t="shared" si="22"/>
        <v>119.68672178518315</v>
      </c>
      <c r="V67">
        <f t="shared" ref="V67:V130" si="43">((0.14)/(($U67/$B$18)^0.02-1))*$B$17</f>
        <v>1.7268715488528354</v>
      </c>
      <c r="W67">
        <f t="shared" ref="W67:W130" si="44">((80)/(($U67/$B$18)^2-1))*$B$17</f>
        <v>0.11389361992057793</v>
      </c>
      <c r="X67">
        <f t="shared" ref="X67:X130" si="45">((120)/(($U67/$B$18)-1))*$B$17</f>
        <v>4.2436592897281722</v>
      </c>
      <c r="Y67">
        <f t="shared" ref="Y67:Y130" si="46">((13.5)/(($U67/$B$18)-1))*$B$17</f>
        <v>0.47741167009441937</v>
      </c>
      <c r="Z67">
        <f t="shared" ref="Z67:Z130" si="47">((60)/(($U67/$B$18)-1))*$B$17</f>
        <v>2.1218296448640861</v>
      </c>
      <c r="AA67">
        <f t="shared" ref="AA67:AA130" si="48">((540)/(($U67/$B$18)^2-1))*$B$17</f>
        <v>0.76878193446390097</v>
      </c>
      <c r="AB67">
        <f t="shared" ref="AB67:AB130" si="49">IF($U67&lt;$B$21,HLOOKUP($B$19,$V$2:$AA$242,$L67,FALSE),$B$20)</f>
        <v>0.47741167009441937</v>
      </c>
      <c r="AC67">
        <f t="shared" si="23"/>
        <v>2.7649829061399722</v>
      </c>
      <c r="AD67">
        <f t="shared" si="24"/>
        <v>2.1617420606268687</v>
      </c>
      <c r="AE67">
        <f t="shared" si="25"/>
        <v>19.413351877288836</v>
      </c>
      <c r="AF67">
        <f t="shared" si="26"/>
        <v>2.1840020861949943</v>
      </c>
      <c r="AG67">
        <f t="shared" si="27"/>
        <v>9.7066759386444179</v>
      </c>
      <c r="AH67">
        <f t="shared" si="28"/>
        <v>14.591758909231363</v>
      </c>
      <c r="AI67">
        <f t="shared" si="29"/>
        <v>2.1840020861949943</v>
      </c>
    </row>
    <row r="68" spans="5:35" x14ac:dyDescent="0.25">
      <c r="E68">
        <f t="shared" ref="E68:E131" si="50">E67*(1+$B$15)</f>
        <v>628.35528937221136</v>
      </c>
      <c r="F68">
        <f t="shared" si="30"/>
        <v>1.0435774856822995</v>
      </c>
      <c r="G68">
        <f t="shared" si="31"/>
        <v>6.341018666637814E-2</v>
      </c>
      <c r="H68">
        <f t="shared" si="32"/>
        <v>2.4760310376901509</v>
      </c>
      <c r="I68">
        <f t="shared" si="33"/>
        <v>0.27855349174014199</v>
      </c>
      <c r="J68">
        <f t="shared" si="34"/>
        <v>1.2380155188450754</v>
      </c>
      <c r="K68">
        <f t="shared" si="35"/>
        <v>0.42801875999805244</v>
      </c>
      <c r="L68">
        <v>67</v>
      </c>
      <c r="M68">
        <f t="shared" ref="M68:M131" si="51">IF($E68&lt;$B$8,HLOOKUP($B$6,$F$2:$K$242,L68,FALSE),$B$7)</f>
        <v>0.27855349174014199</v>
      </c>
      <c r="N68">
        <f t="shared" si="36"/>
        <v>2.9604614895944499</v>
      </c>
      <c r="O68">
        <f t="shared" si="37"/>
        <v>7.4402035544087068</v>
      </c>
      <c r="P68">
        <f t="shared" si="38"/>
        <v>34.535761618706253</v>
      </c>
      <c r="Q68">
        <f t="shared" si="39"/>
        <v>3.8852731821044535</v>
      </c>
      <c r="R68">
        <f t="shared" si="40"/>
        <v>17.267880809353127</v>
      </c>
      <c r="S68">
        <f t="shared" si="41"/>
        <v>50.221373992258776</v>
      </c>
      <c r="T68">
        <f t="shared" si="42"/>
        <v>3.8852731821044535</v>
      </c>
      <c r="U68">
        <f t="shared" ref="U68:U131" si="52">U67*(1+$B$23)</f>
        <v>125.67105787444231</v>
      </c>
      <c r="V68">
        <f t="shared" si="43"/>
        <v>1.6998684188677864</v>
      </c>
      <c r="W68">
        <f t="shared" si="44"/>
        <v>0.10328794481246792</v>
      </c>
      <c r="X68">
        <f t="shared" si="45"/>
        <v>4.0331714921523911</v>
      </c>
      <c r="Y68">
        <f t="shared" si="46"/>
        <v>0.45373179286714399</v>
      </c>
      <c r="Z68">
        <f t="shared" si="47"/>
        <v>2.0165857460761956</v>
      </c>
      <c r="AA68">
        <f t="shared" si="48"/>
        <v>0.69719362748415836</v>
      </c>
      <c r="AB68">
        <f t="shared" si="49"/>
        <v>0.45373179286714399</v>
      </c>
      <c r="AC68">
        <f t="shared" ref="AC68:AC131" si="53">((0.14)/(($U68/$B$34)^0.02-1))*$B$33</f>
        <v>2.6821840835046049</v>
      </c>
      <c r="AD68">
        <f t="shared" ref="AD68:AD131" si="54">((80)/(($U68/$B$34)^2-1))*$B$33</f>
        <v>1.9531563702998629</v>
      </c>
      <c r="AE68">
        <f t="shared" ref="AE68:AE131" si="55">((120)/(($U68/$B$34)-1))*$B$33</f>
        <v>18.270686258561657</v>
      </c>
      <c r="AF68">
        <f t="shared" ref="AF68:AF131" si="56">((13.5)/(($U68/$B$34)-1))*$B$33</f>
        <v>2.0554522040881862</v>
      </c>
      <c r="AG68">
        <f t="shared" ref="AG68:AG131" si="57">((60)/(($U68/$B$34)-1))*$B$33</f>
        <v>9.1353431292808285</v>
      </c>
      <c r="AH68">
        <f t="shared" ref="AH68:AH131" si="58">((540)/(($U68/$B$34)^2-1))*$B$33</f>
        <v>13.183805499524075</v>
      </c>
      <c r="AI68">
        <f t="shared" ref="AI68:AI131" si="59">IF($U68&lt;$B$37,HLOOKUP($B$35,$AC$2:$AH$242,$L68,FALSE),$B$36)</f>
        <v>2.0554522040881862</v>
      </c>
    </row>
    <row r="69" spans="5:35" x14ac:dyDescent="0.25">
      <c r="E69">
        <f t="shared" si="50"/>
        <v>659.77305384082194</v>
      </c>
      <c r="F69">
        <f t="shared" si="30"/>
        <v>1.0274948394850505</v>
      </c>
      <c r="G69">
        <f t="shared" si="31"/>
        <v>5.7506362453286851E-2</v>
      </c>
      <c r="H69">
        <f t="shared" si="32"/>
        <v>2.3534614290096445</v>
      </c>
      <c r="I69">
        <f t="shared" si="33"/>
        <v>0.26476441076358498</v>
      </c>
      <c r="J69">
        <f t="shared" si="34"/>
        <v>1.1767307145048223</v>
      </c>
      <c r="K69">
        <f t="shared" si="35"/>
        <v>0.38816794655968623</v>
      </c>
      <c r="L69">
        <v>68</v>
      </c>
      <c r="M69">
        <f t="shared" si="51"/>
        <v>0.26476441076358498</v>
      </c>
      <c r="N69">
        <f t="shared" si="36"/>
        <v>2.7758284916837499</v>
      </c>
      <c r="O69">
        <f t="shared" si="37"/>
        <v>6.5681923844720842</v>
      </c>
      <c r="P69">
        <f t="shared" si="38"/>
        <v>31.519870315294018</v>
      </c>
      <c r="Q69">
        <f t="shared" si="39"/>
        <v>3.5459854104705766</v>
      </c>
      <c r="R69">
        <f t="shared" si="40"/>
        <v>15.759935157647009</v>
      </c>
      <c r="S69">
        <f t="shared" si="41"/>
        <v>44.335298595186572</v>
      </c>
      <c r="T69">
        <f t="shared" si="42"/>
        <v>3.5459854104705766</v>
      </c>
      <c r="U69">
        <f t="shared" si="52"/>
        <v>131.95461076816443</v>
      </c>
      <c r="V69">
        <f t="shared" si="43"/>
        <v>1.67367162683499</v>
      </c>
      <c r="W69">
        <f t="shared" si="44"/>
        <v>9.3671290114499386E-2</v>
      </c>
      <c r="X69">
        <f t="shared" si="45"/>
        <v>3.8335196121841739</v>
      </c>
      <c r="Y69">
        <f t="shared" si="46"/>
        <v>0.4312709563707196</v>
      </c>
      <c r="Z69">
        <f t="shared" si="47"/>
        <v>1.916759806092087</v>
      </c>
      <c r="AA69">
        <f t="shared" si="48"/>
        <v>0.63228120827287093</v>
      </c>
      <c r="AB69">
        <f t="shared" si="49"/>
        <v>0.4312709563707196</v>
      </c>
      <c r="AC69">
        <f t="shared" si="53"/>
        <v>2.6041260687491401</v>
      </c>
      <c r="AD69">
        <f t="shared" si="54"/>
        <v>1.7653579189436517</v>
      </c>
      <c r="AE69">
        <f t="shared" si="55"/>
        <v>17.207231694709623</v>
      </c>
      <c r="AF69">
        <f t="shared" si="56"/>
        <v>1.9358135656548328</v>
      </c>
      <c r="AG69">
        <f t="shared" si="57"/>
        <v>8.6036158473548117</v>
      </c>
      <c r="AH69">
        <f t="shared" si="58"/>
        <v>11.916165952869649</v>
      </c>
      <c r="AI69">
        <f t="shared" si="59"/>
        <v>1.9358135656548328</v>
      </c>
    </row>
    <row r="70" spans="5:35" x14ac:dyDescent="0.25">
      <c r="E70">
        <f t="shared" si="50"/>
        <v>692.76170653286306</v>
      </c>
      <c r="F70">
        <f t="shared" si="30"/>
        <v>1.0118853782551169</v>
      </c>
      <c r="G70">
        <f t="shared" si="31"/>
        <v>5.2152937048598698E-2</v>
      </c>
      <c r="H70">
        <f t="shared" si="32"/>
        <v>2.2371783247124006</v>
      </c>
      <c r="I70">
        <f t="shared" si="33"/>
        <v>0.25168256153014512</v>
      </c>
      <c r="J70">
        <f t="shared" si="34"/>
        <v>1.1185891623562003</v>
      </c>
      <c r="K70">
        <f t="shared" si="35"/>
        <v>0.35203232507804122</v>
      </c>
      <c r="L70">
        <v>69</v>
      </c>
      <c r="M70">
        <f t="shared" si="51"/>
        <v>0.25168256153014512</v>
      </c>
      <c r="N70">
        <f t="shared" si="36"/>
        <v>2.6127235387198429</v>
      </c>
      <c r="O70">
        <f t="shared" si="37"/>
        <v>5.8165959283722861</v>
      </c>
      <c r="P70">
        <f t="shared" si="38"/>
        <v>28.872468500314863</v>
      </c>
      <c r="Q70">
        <f t="shared" si="39"/>
        <v>3.2481527062854223</v>
      </c>
      <c r="R70">
        <f t="shared" si="40"/>
        <v>14.436234250157431</v>
      </c>
      <c r="S70">
        <f t="shared" si="41"/>
        <v>39.262022516512928</v>
      </c>
      <c r="T70">
        <f t="shared" si="42"/>
        <v>3.2481527062854223</v>
      </c>
      <c r="U70">
        <f t="shared" si="52"/>
        <v>138.55234130657266</v>
      </c>
      <c r="V70">
        <f t="shared" si="43"/>
        <v>1.6482455990178442</v>
      </c>
      <c r="W70">
        <f t="shared" si="44"/>
        <v>8.4951172151965779E-2</v>
      </c>
      <c r="X70">
        <f t="shared" si="45"/>
        <v>3.6441077291618438</v>
      </c>
      <c r="Y70">
        <f t="shared" si="46"/>
        <v>0.40996211953070738</v>
      </c>
      <c r="Z70">
        <f t="shared" si="47"/>
        <v>1.8220538645809219</v>
      </c>
      <c r="AA70">
        <f t="shared" si="48"/>
        <v>0.57342041202576899</v>
      </c>
      <c r="AB70">
        <f t="shared" si="49"/>
        <v>0.40996211953070738</v>
      </c>
      <c r="AC70">
        <f t="shared" si="53"/>
        <v>2.5304130618340128</v>
      </c>
      <c r="AD70">
        <f t="shared" si="54"/>
        <v>1.5961547174241133</v>
      </c>
      <c r="AE70">
        <f t="shared" si="55"/>
        <v>16.216167900301283</v>
      </c>
      <c r="AF70">
        <f t="shared" si="56"/>
        <v>1.8243188887838941</v>
      </c>
      <c r="AG70">
        <f t="shared" si="57"/>
        <v>8.1080839501506414</v>
      </c>
      <c r="AH70">
        <f t="shared" si="58"/>
        <v>10.774044342612765</v>
      </c>
      <c r="AI70">
        <f t="shared" si="59"/>
        <v>1.8243188887838941</v>
      </c>
    </row>
    <row r="71" spans="5:35" x14ac:dyDescent="0.25">
      <c r="E71">
        <f t="shared" si="50"/>
        <v>727.39979185950619</v>
      </c>
      <c r="F71">
        <f t="shared" si="30"/>
        <v>0.99672852873094364</v>
      </c>
      <c r="G71">
        <f t="shared" si="31"/>
        <v>4.7298470087465148E-2</v>
      </c>
      <c r="H71">
        <f t="shared" si="32"/>
        <v>2.1268382452168999</v>
      </c>
      <c r="I71">
        <f t="shared" si="33"/>
        <v>0.23926930258690124</v>
      </c>
      <c r="J71">
        <f t="shared" si="34"/>
        <v>1.06341912260845</v>
      </c>
      <c r="K71">
        <f t="shared" si="35"/>
        <v>0.31926467309038969</v>
      </c>
      <c r="L71">
        <v>70</v>
      </c>
      <c r="M71">
        <f t="shared" si="51"/>
        <v>0.23926930258690124</v>
      </c>
      <c r="N71">
        <f t="shared" si="36"/>
        <v>2.4675888880119472</v>
      </c>
      <c r="O71">
        <f t="shared" si="37"/>
        <v>5.1649874486619014</v>
      </c>
      <c r="P71">
        <f t="shared" si="38"/>
        <v>26.532535148560989</v>
      </c>
      <c r="Q71">
        <f t="shared" si="39"/>
        <v>2.9849102042131119</v>
      </c>
      <c r="R71">
        <f t="shared" si="40"/>
        <v>13.266267574280494</v>
      </c>
      <c r="S71">
        <f t="shared" si="41"/>
        <v>34.863665278467828</v>
      </c>
      <c r="T71">
        <f t="shared" si="42"/>
        <v>2.9849102042131119</v>
      </c>
      <c r="U71">
        <f t="shared" si="52"/>
        <v>145.47995837190129</v>
      </c>
      <c r="V71">
        <f t="shared" si="43"/>
        <v>1.6235568239252807</v>
      </c>
      <c r="W71">
        <f t="shared" si="44"/>
        <v>7.7043800451365288E-2</v>
      </c>
      <c r="X71">
        <f t="shared" si="45"/>
        <v>3.4643763541148505</v>
      </c>
      <c r="Y71">
        <f t="shared" si="46"/>
        <v>0.38974233983792073</v>
      </c>
      <c r="Z71">
        <f t="shared" si="47"/>
        <v>1.7321881770574252</v>
      </c>
      <c r="AA71">
        <f t="shared" si="48"/>
        <v>0.52004565304671579</v>
      </c>
      <c r="AB71">
        <f t="shared" si="49"/>
        <v>0.38974233983792073</v>
      </c>
      <c r="AC71">
        <f t="shared" si="53"/>
        <v>2.4606921291235051</v>
      </c>
      <c r="AD71">
        <f t="shared" si="54"/>
        <v>1.4436077402547187</v>
      </c>
      <c r="AE71">
        <f t="shared" si="55"/>
        <v>15.291411232732765</v>
      </c>
      <c r="AF71">
        <f t="shared" si="56"/>
        <v>1.720283763682436</v>
      </c>
      <c r="AG71">
        <f t="shared" si="57"/>
        <v>7.6457056163663824</v>
      </c>
      <c r="AH71">
        <f t="shared" si="58"/>
        <v>9.7443522467193517</v>
      </c>
      <c r="AI71">
        <f t="shared" si="59"/>
        <v>1.720283763682436</v>
      </c>
    </row>
    <row r="72" spans="5:35" x14ac:dyDescent="0.25">
      <c r="E72">
        <f t="shared" si="50"/>
        <v>763.76978145248154</v>
      </c>
      <c r="F72">
        <f t="shared" si="30"/>
        <v>0.98200489326589535</v>
      </c>
      <c r="G72">
        <f t="shared" si="31"/>
        <v>4.2896351553018817E-2</v>
      </c>
      <c r="H72">
        <f t="shared" si="32"/>
        <v>2.0221184967392603</v>
      </c>
      <c r="I72">
        <f t="shared" si="33"/>
        <v>0.22748833088316678</v>
      </c>
      <c r="J72">
        <f t="shared" si="34"/>
        <v>1.0110592483696301</v>
      </c>
      <c r="K72">
        <f t="shared" si="35"/>
        <v>0.28955037298287706</v>
      </c>
      <c r="L72">
        <v>71</v>
      </c>
      <c r="M72">
        <f t="shared" si="51"/>
        <v>0.22748833088316678</v>
      </c>
      <c r="N72">
        <f t="shared" si="36"/>
        <v>2.3376098073942053</v>
      </c>
      <c r="O72">
        <f t="shared" si="37"/>
        <v>4.5971952980208775</v>
      </c>
      <c r="P72">
        <f t="shared" si="38"/>
        <v>24.451787187350224</v>
      </c>
      <c r="Q72">
        <f t="shared" si="39"/>
        <v>2.7508260585768998</v>
      </c>
      <c r="R72">
        <f t="shared" si="40"/>
        <v>12.225893593675112</v>
      </c>
      <c r="S72">
        <f t="shared" si="41"/>
        <v>31.031068261640922</v>
      </c>
      <c r="T72">
        <f t="shared" si="42"/>
        <v>2.7508260585768998</v>
      </c>
      <c r="U72">
        <f t="shared" si="52"/>
        <v>152.75395629049635</v>
      </c>
      <c r="V72">
        <f t="shared" si="43"/>
        <v>1.5995737050085346</v>
      </c>
      <c r="W72">
        <f t="shared" si="44"/>
        <v>6.9873252623835869E-2</v>
      </c>
      <c r="X72">
        <f t="shared" si="45"/>
        <v>3.2937998557606987</v>
      </c>
      <c r="Y72">
        <f t="shared" si="46"/>
        <v>0.37055248377307859</v>
      </c>
      <c r="Z72">
        <f t="shared" si="47"/>
        <v>1.6468999278803493</v>
      </c>
      <c r="AA72">
        <f t="shared" si="48"/>
        <v>0.4716444552108921</v>
      </c>
      <c r="AB72">
        <f t="shared" si="49"/>
        <v>0.37055248377307859</v>
      </c>
      <c r="AC72">
        <f t="shared" si="53"/>
        <v>2.3946475531601417</v>
      </c>
      <c r="AD72">
        <f t="shared" si="54"/>
        <v>1.3059978408213804</v>
      </c>
      <c r="AE72">
        <f t="shared" si="55"/>
        <v>14.427517829501554</v>
      </c>
      <c r="AF72">
        <f t="shared" si="56"/>
        <v>1.623095755818925</v>
      </c>
      <c r="AG72">
        <f t="shared" si="57"/>
        <v>7.2137589147507768</v>
      </c>
      <c r="AH72">
        <f t="shared" si="58"/>
        <v>8.8154854255443187</v>
      </c>
      <c r="AI72">
        <f t="shared" si="59"/>
        <v>1.623095755818925</v>
      </c>
    </row>
    <row r="73" spans="5:35" x14ac:dyDescent="0.25">
      <c r="E73">
        <f t="shared" si="50"/>
        <v>801.9582705251056</v>
      </c>
      <c r="F73">
        <f t="shared" si="30"/>
        <v>0.96769616703847139</v>
      </c>
      <c r="G73">
        <f t="shared" si="31"/>
        <v>3.8904344169289451E-2</v>
      </c>
      <c r="H73">
        <f t="shared" si="32"/>
        <v>1.922715722381888</v>
      </c>
      <c r="I73">
        <f t="shared" si="33"/>
        <v>0.21630551876796239</v>
      </c>
      <c r="J73">
        <f t="shared" si="34"/>
        <v>0.96135786119094402</v>
      </c>
      <c r="K73">
        <f t="shared" si="35"/>
        <v>0.26260432314270382</v>
      </c>
      <c r="L73">
        <v>72</v>
      </c>
      <c r="M73">
        <f t="shared" si="51"/>
        <v>0.21630551876796239</v>
      </c>
      <c r="N73">
        <f t="shared" si="36"/>
        <v>2.220530233924098</v>
      </c>
      <c r="O73">
        <f t="shared" si="37"/>
        <v>4.1002495269025223</v>
      </c>
      <c r="P73">
        <f t="shared" si="38"/>
        <v>22.591519386934429</v>
      </c>
      <c r="Q73">
        <f t="shared" si="39"/>
        <v>2.5415459310301229</v>
      </c>
      <c r="R73">
        <f t="shared" si="40"/>
        <v>11.295759693467215</v>
      </c>
      <c r="S73">
        <f t="shared" si="41"/>
        <v>27.676684306592023</v>
      </c>
      <c r="T73">
        <f t="shared" si="42"/>
        <v>2.5415459310301229</v>
      </c>
      <c r="U73">
        <f t="shared" si="52"/>
        <v>160.39165410502116</v>
      </c>
      <c r="V73">
        <f t="shared" si="43"/>
        <v>1.576266425806051</v>
      </c>
      <c r="W73">
        <f t="shared" si="44"/>
        <v>6.3370728975530158E-2</v>
      </c>
      <c r="X73">
        <f t="shared" si="45"/>
        <v>3.1318841003939921</v>
      </c>
      <c r="Y73">
        <f t="shared" si="46"/>
        <v>0.35233696129432412</v>
      </c>
      <c r="Z73">
        <f t="shared" si="47"/>
        <v>1.5659420501969961</v>
      </c>
      <c r="AA73">
        <f t="shared" si="48"/>
        <v>0.42775242058482865</v>
      </c>
      <c r="AB73">
        <f t="shared" si="49"/>
        <v>0.35233696129432412</v>
      </c>
      <c r="AC73">
        <f t="shared" si="53"/>
        <v>2.3319960531926012</v>
      </c>
      <c r="AD73">
        <f t="shared" si="54"/>
        <v>1.1817976674432922</v>
      </c>
      <c r="AE73">
        <f t="shared" si="55"/>
        <v>13.619601669832772</v>
      </c>
      <c r="AF73">
        <f t="shared" si="56"/>
        <v>1.5322051878561871</v>
      </c>
      <c r="AG73">
        <f t="shared" si="57"/>
        <v>6.8098008349163859</v>
      </c>
      <c r="AH73">
        <f t="shared" si="58"/>
        <v>7.9771342552422224</v>
      </c>
      <c r="AI73">
        <f t="shared" si="59"/>
        <v>1.5322051878561871</v>
      </c>
    </row>
    <row r="74" spans="5:35" x14ac:dyDescent="0.25">
      <c r="E74">
        <f t="shared" si="50"/>
        <v>842.0561840513609</v>
      </c>
      <c r="F74">
        <f t="shared" si="30"/>
        <v>0.95378506216166548</v>
      </c>
      <c r="G74">
        <f t="shared" si="31"/>
        <v>3.5284169858247116E-2</v>
      </c>
      <c r="H74">
        <f t="shared" si="32"/>
        <v>1.8283445718405036</v>
      </c>
      <c r="I74">
        <f t="shared" si="33"/>
        <v>0.20568876433205663</v>
      </c>
      <c r="J74">
        <f t="shared" si="34"/>
        <v>0.91417228592025179</v>
      </c>
      <c r="K74">
        <f t="shared" si="35"/>
        <v>0.23816814654316804</v>
      </c>
      <c r="L74">
        <v>73</v>
      </c>
      <c r="M74">
        <f t="shared" si="51"/>
        <v>0.20568876433205663</v>
      </c>
      <c r="N74">
        <f t="shared" si="36"/>
        <v>2.1145207202687177</v>
      </c>
      <c r="O74">
        <f t="shared" si="37"/>
        <v>3.663627219386222</v>
      </c>
      <c r="P74">
        <f t="shared" si="38"/>
        <v>20.920340609794636</v>
      </c>
      <c r="Q74">
        <f t="shared" si="39"/>
        <v>2.3535383186018963</v>
      </c>
      <c r="R74">
        <f t="shared" si="40"/>
        <v>10.460170304897318</v>
      </c>
      <c r="S74">
        <f t="shared" si="41"/>
        <v>24.729483730856998</v>
      </c>
      <c r="T74">
        <f t="shared" si="42"/>
        <v>2.3535383186018963</v>
      </c>
      <c r="U74">
        <f t="shared" si="52"/>
        <v>168.41123681027221</v>
      </c>
      <c r="V74">
        <f t="shared" si="43"/>
        <v>1.5536068263263063</v>
      </c>
      <c r="W74">
        <f t="shared" si="44"/>
        <v>5.7473878893416812E-2</v>
      </c>
      <c r="X74">
        <f t="shared" si="45"/>
        <v>2.9781642849912728</v>
      </c>
      <c r="Y74">
        <f t="shared" si="46"/>
        <v>0.33504348206151824</v>
      </c>
      <c r="Z74">
        <f t="shared" si="47"/>
        <v>1.4890821424956364</v>
      </c>
      <c r="AA74">
        <f t="shared" si="48"/>
        <v>0.38794868253056342</v>
      </c>
      <c r="AB74">
        <f t="shared" si="49"/>
        <v>0.33504348206151824</v>
      </c>
      <c r="AC74">
        <f t="shared" si="53"/>
        <v>2.2724827238207554</v>
      </c>
      <c r="AD74">
        <f t="shared" si="54"/>
        <v>1.0696477114224807</v>
      </c>
      <c r="AE74">
        <f t="shared" si="55"/>
        <v>12.863264944129789</v>
      </c>
      <c r="AF74">
        <f t="shared" si="56"/>
        <v>1.4471173062146014</v>
      </c>
      <c r="AG74">
        <f t="shared" si="57"/>
        <v>6.4316324720648943</v>
      </c>
      <c r="AH74">
        <f t="shared" si="58"/>
        <v>7.2201220521017451</v>
      </c>
      <c r="AI74">
        <f t="shared" si="59"/>
        <v>1.4471173062146014</v>
      </c>
    </row>
    <row r="75" spans="5:35" x14ac:dyDescent="0.25">
      <c r="E75">
        <f t="shared" si="50"/>
        <v>884.158993253929</v>
      </c>
      <c r="F75">
        <f t="shared" si="30"/>
        <v>0.94025523802992583</v>
      </c>
      <c r="G75">
        <f t="shared" si="31"/>
        <v>3.2001135892669341E-2</v>
      </c>
      <c r="H75">
        <f t="shared" si="32"/>
        <v>1.738736478428734</v>
      </c>
      <c r="I75">
        <f t="shared" si="33"/>
        <v>0.19560785382323259</v>
      </c>
      <c r="J75">
        <f t="shared" si="34"/>
        <v>0.86936823921436701</v>
      </c>
      <c r="K75">
        <f t="shared" si="35"/>
        <v>0.21600766727551804</v>
      </c>
      <c r="L75">
        <v>74</v>
      </c>
      <c r="M75">
        <f t="shared" si="51"/>
        <v>0.19560785382323259</v>
      </c>
      <c r="N75">
        <f t="shared" si="36"/>
        <v>2.0180821467816838</v>
      </c>
      <c r="O75">
        <f t="shared" si="37"/>
        <v>3.2787021498181828</v>
      </c>
      <c r="P75">
        <f t="shared" si="38"/>
        <v>19.412523184540955</v>
      </c>
      <c r="Q75">
        <f t="shared" si="39"/>
        <v>2.1839088582608577</v>
      </c>
      <c r="R75">
        <f t="shared" si="40"/>
        <v>9.7062615922704776</v>
      </c>
      <c r="S75">
        <f t="shared" si="41"/>
        <v>22.131239511272732</v>
      </c>
      <c r="T75">
        <f t="shared" si="42"/>
        <v>2.1839088582608577</v>
      </c>
      <c r="U75">
        <f t="shared" si="52"/>
        <v>176.83179865078583</v>
      </c>
      <c r="V75">
        <f t="shared" si="43"/>
        <v>1.5315682895909699</v>
      </c>
      <c r="W75">
        <f t="shared" si="44"/>
        <v>5.2126191891040362E-2</v>
      </c>
      <c r="X75">
        <f t="shared" si="45"/>
        <v>2.8322029451238917</v>
      </c>
      <c r="Y75">
        <f t="shared" si="46"/>
        <v>0.31862283132643782</v>
      </c>
      <c r="Z75">
        <f t="shared" si="47"/>
        <v>1.4161014725619459</v>
      </c>
      <c r="AA75">
        <f t="shared" si="48"/>
        <v>0.35185179526452243</v>
      </c>
      <c r="AB75">
        <f t="shared" si="49"/>
        <v>0.31862283132643782</v>
      </c>
      <c r="AC75">
        <f t="shared" si="53"/>
        <v>2.2158775689531085</v>
      </c>
      <c r="AD75">
        <f t="shared" si="54"/>
        <v>0.96833578807924636</v>
      </c>
      <c r="AE75">
        <f t="shared" si="55"/>
        <v>12.154538626117573</v>
      </c>
      <c r="AF75">
        <f t="shared" si="56"/>
        <v>1.3673855954382272</v>
      </c>
      <c r="AG75">
        <f t="shared" si="57"/>
        <v>6.0772693130587863</v>
      </c>
      <c r="AH75">
        <f t="shared" si="58"/>
        <v>6.5362665695349129</v>
      </c>
      <c r="AI75">
        <f t="shared" si="59"/>
        <v>1.3673855954382272</v>
      </c>
    </row>
    <row r="76" spans="5:35" x14ac:dyDescent="0.25">
      <c r="E76">
        <f t="shared" si="50"/>
        <v>928.36694291662548</v>
      </c>
      <c r="F76">
        <f t="shared" si="30"/>
        <v>0.92709123731363685</v>
      </c>
      <c r="G76">
        <f t="shared" si="31"/>
        <v>2.9023796831352089E-2</v>
      </c>
      <c r="H76">
        <f t="shared" si="32"/>
        <v>1.6536385333424419</v>
      </c>
      <c r="I76">
        <f t="shared" si="33"/>
        <v>0.1860343350010247</v>
      </c>
      <c r="J76">
        <f t="shared" si="34"/>
        <v>0.82681926667122096</v>
      </c>
      <c r="K76">
        <f t="shared" si="35"/>
        <v>0.19591062861162661</v>
      </c>
      <c r="L76">
        <v>75</v>
      </c>
      <c r="M76">
        <f t="shared" si="51"/>
        <v>0.1860343350010247</v>
      </c>
      <c r="N76">
        <f t="shared" si="36"/>
        <v>1.9299743860487206</v>
      </c>
      <c r="O76">
        <f t="shared" si="37"/>
        <v>2.9383369747837356</v>
      </c>
      <c r="P76">
        <f t="shared" si="38"/>
        <v>18.046780034869915</v>
      </c>
      <c r="Q76">
        <f t="shared" si="39"/>
        <v>2.0302627539228655</v>
      </c>
      <c r="R76">
        <f t="shared" si="40"/>
        <v>9.0233900174349575</v>
      </c>
      <c r="S76">
        <f t="shared" si="41"/>
        <v>19.833774579790216</v>
      </c>
      <c r="T76">
        <f t="shared" si="42"/>
        <v>2.0302627539228655</v>
      </c>
      <c r="U76">
        <f t="shared" si="52"/>
        <v>185.67338858332513</v>
      </c>
      <c r="V76">
        <f t="shared" si="43"/>
        <v>1.510125637377232</v>
      </c>
      <c r="W76">
        <f t="shared" si="44"/>
        <v>4.7276446939628673E-2</v>
      </c>
      <c r="X76">
        <f t="shared" si="45"/>
        <v>2.6935881212632982</v>
      </c>
      <c r="Y76">
        <f t="shared" si="46"/>
        <v>0.30302866364212105</v>
      </c>
      <c r="Z76">
        <f t="shared" si="47"/>
        <v>1.3467940606316491</v>
      </c>
      <c r="AA76">
        <f t="shared" si="48"/>
        <v>0.31911601684249352</v>
      </c>
      <c r="AB76">
        <f t="shared" si="49"/>
        <v>0.30302866364212105</v>
      </c>
      <c r="AC76">
        <f t="shared" si="53"/>
        <v>2.1619725317000005</v>
      </c>
      <c r="AD76">
        <f t="shared" si="54"/>
        <v>0.87677938506681508</v>
      </c>
      <c r="AE76">
        <f t="shared" si="55"/>
        <v>11.489831544185197</v>
      </c>
      <c r="AF76">
        <f t="shared" si="56"/>
        <v>1.2926060487208348</v>
      </c>
      <c r="AG76">
        <f t="shared" si="57"/>
        <v>5.7449157720925985</v>
      </c>
      <c r="AH76">
        <f t="shared" si="58"/>
        <v>5.918260849201002</v>
      </c>
      <c r="AI76">
        <f t="shared" si="59"/>
        <v>1.2926060487208348</v>
      </c>
    </row>
    <row r="77" spans="5:35" x14ac:dyDescent="0.25">
      <c r="E77">
        <f t="shared" si="50"/>
        <v>974.78529006245674</v>
      </c>
      <c r="F77">
        <f t="shared" si="30"/>
        <v>0.91427842707408358</v>
      </c>
      <c r="G77">
        <f t="shared" si="31"/>
        <v>2.6323648726951997E-2</v>
      </c>
      <c r="H77">
        <f t="shared" si="32"/>
        <v>1.5728124481619232</v>
      </c>
      <c r="I77">
        <f t="shared" si="33"/>
        <v>0.17694140041821635</v>
      </c>
      <c r="J77">
        <f t="shared" si="34"/>
        <v>0.78640622408096161</v>
      </c>
      <c r="K77">
        <f t="shared" si="35"/>
        <v>0.17768462890692599</v>
      </c>
      <c r="L77">
        <v>76</v>
      </c>
      <c r="M77">
        <f t="shared" si="51"/>
        <v>0.17694140041821635</v>
      </c>
      <c r="N77">
        <f t="shared" si="36"/>
        <v>1.8491626882372227</v>
      </c>
      <c r="O77">
        <f t="shared" si="37"/>
        <v>2.6365766412834066</v>
      </c>
      <c r="P77">
        <f t="shared" si="38"/>
        <v>16.805345592151827</v>
      </c>
      <c r="Q77">
        <f t="shared" si="39"/>
        <v>1.8906013791170806</v>
      </c>
      <c r="R77">
        <f t="shared" si="40"/>
        <v>8.4026727960759136</v>
      </c>
      <c r="S77">
        <f t="shared" si="41"/>
        <v>17.796892328662995</v>
      </c>
      <c r="T77">
        <f t="shared" si="42"/>
        <v>1.8906013791170806</v>
      </c>
      <c r="U77">
        <f t="shared" si="52"/>
        <v>194.95705801249139</v>
      </c>
      <c r="V77">
        <f t="shared" si="43"/>
        <v>1.4892550343008131</v>
      </c>
      <c r="W77">
        <f t="shared" si="44"/>
        <v>4.2878214367627066E-2</v>
      </c>
      <c r="X77">
        <f t="shared" si="45"/>
        <v>2.561931668815733</v>
      </c>
      <c r="Y77">
        <f t="shared" si="46"/>
        <v>0.28821731274176998</v>
      </c>
      <c r="Z77">
        <f t="shared" si="47"/>
        <v>1.2809658344078665</v>
      </c>
      <c r="AA77">
        <f t="shared" si="48"/>
        <v>0.28942794698148266</v>
      </c>
      <c r="AB77">
        <f t="shared" si="49"/>
        <v>0.28821731274176998</v>
      </c>
      <c r="AC77">
        <f t="shared" si="53"/>
        <v>2.1105789393437839</v>
      </c>
      <c r="AD77">
        <f t="shared" si="54"/>
        <v>0.79401041753188806</v>
      </c>
      <c r="AE77">
        <f t="shared" si="55"/>
        <v>10.865886565878258</v>
      </c>
      <c r="AF77">
        <f t="shared" si="56"/>
        <v>1.2224122386613039</v>
      </c>
      <c r="AG77">
        <f t="shared" si="57"/>
        <v>5.4329432829391289</v>
      </c>
      <c r="AH77">
        <f t="shared" si="58"/>
        <v>5.3595703183402446</v>
      </c>
      <c r="AI77">
        <f t="shared" si="59"/>
        <v>1.2224122386613039</v>
      </c>
    </row>
    <row r="78" spans="5:35" x14ac:dyDescent="0.25">
      <c r="E78">
        <f t="shared" si="50"/>
        <v>1023.5245545655796</v>
      </c>
      <c r="F78">
        <f t="shared" si="30"/>
        <v>0.90180294452717802</v>
      </c>
      <c r="G78">
        <f t="shared" si="31"/>
        <v>2.3874852455793398E-2</v>
      </c>
      <c r="H78">
        <f t="shared" si="32"/>
        <v>1.4960335975383237</v>
      </c>
      <c r="I78">
        <f t="shared" si="33"/>
        <v>0.1683037797230614</v>
      </c>
      <c r="J78">
        <f t="shared" si="34"/>
        <v>0.74801679876916183</v>
      </c>
      <c r="K78">
        <f t="shared" si="35"/>
        <v>0.16115525407660541</v>
      </c>
      <c r="L78">
        <v>77</v>
      </c>
      <c r="M78">
        <f t="shared" si="51"/>
        <v>0.1683037797230614</v>
      </c>
      <c r="N78">
        <f t="shared" si="36"/>
        <v>1.7747768556299361</v>
      </c>
      <c r="O78">
        <f t="shared" si="37"/>
        <v>2.3684148352986023</v>
      </c>
      <c r="P78">
        <f t="shared" si="38"/>
        <v>15.673275949575464</v>
      </c>
      <c r="Q78">
        <f t="shared" si="39"/>
        <v>1.7632435443272398</v>
      </c>
      <c r="R78">
        <f t="shared" si="40"/>
        <v>7.8366379747877319</v>
      </c>
      <c r="S78">
        <f t="shared" si="41"/>
        <v>15.986800138265565</v>
      </c>
      <c r="T78">
        <f t="shared" si="42"/>
        <v>1.7632435443272398</v>
      </c>
      <c r="U78">
        <f t="shared" si="52"/>
        <v>204.70491091311595</v>
      </c>
      <c r="V78">
        <f t="shared" si="43"/>
        <v>1.4689338994712702</v>
      </c>
      <c r="W78">
        <f t="shared" si="44"/>
        <v>3.8889405196583911E-2</v>
      </c>
      <c r="X78">
        <f t="shared" si="45"/>
        <v>2.4368676987678421</v>
      </c>
      <c r="Y78">
        <f t="shared" si="46"/>
        <v>0.27414761611138228</v>
      </c>
      <c r="Z78">
        <f t="shared" si="47"/>
        <v>1.2184338493839211</v>
      </c>
      <c r="AA78">
        <f t="shared" si="48"/>
        <v>0.26250348507694143</v>
      </c>
      <c r="AB78">
        <f t="shared" si="49"/>
        <v>0.27414761611138228</v>
      </c>
      <c r="AC78">
        <f t="shared" si="53"/>
        <v>2.0615252972504834</v>
      </c>
      <c r="AD78">
        <f t="shared" si="54"/>
        <v>0.71916201332896679</v>
      </c>
      <c r="AE78">
        <f t="shared" si="55"/>
        <v>10.279742761906155</v>
      </c>
      <c r="AF78">
        <f t="shared" si="56"/>
        <v>1.1564710607144422</v>
      </c>
      <c r="AG78">
        <f t="shared" si="57"/>
        <v>5.1398713809530774</v>
      </c>
      <c r="AH78">
        <f t="shared" si="58"/>
        <v>4.8543435899705258</v>
      </c>
      <c r="AI78">
        <f t="shared" si="59"/>
        <v>1.1564710607144422</v>
      </c>
    </row>
    <row r="79" spans="5:35" x14ac:dyDescent="0.25">
      <c r="E79">
        <f t="shared" si="50"/>
        <v>1074.7007822938585</v>
      </c>
      <c r="F79">
        <f t="shared" si="30"/>
        <v>0.88965164703343658</v>
      </c>
      <c r="G79">
        <f t="shared" si="31"/>
        <v>2.1653983338757562E-2</v>
      </c>
      <c r="H79">
        <f t="shared" si="32"/>
        <v>1.4230901348477534</v>
      </c>
      <c r="I79">
        <f t="shared" si="33"/>
        <v>0.16009764017037226</v>
      </c>
      <c r="J79">
        <f t="shared" si="34"/>
        <v>0.71154506742387669</v>
      </c>
      <c r="K79">
        <f t="shared" si="35"/>
        <v>0.14616438753661357</v>
      </c>
      <c r="L79">
        <v>78</v>
      </c>
      <c r="M79">
        <f t="shared" si="51"/>
        <v>0.16009764017037226</v>
      </c>
      <c r="N79">
        <f t="shared" si="36"/>
        <v>1.7060797832605039</v>
      </c>
      <c r="O79">
        <f t="shared" si="37"/>
        <v>2.1296139152544438</v>
      </c>
      <c r="P79">
        <f t="shared" si="38"/>
        <v>14.637909576420855</v>
      </c>
      <c r="Q79">
        <f t="shared" si="39"/>
        <v>1.6467648273473461</v>
      </c>
      <c r="R79">
        <f t="shared" si="40"/>
        <v>7.3189547882104273</v>
      </c>
      <c r="S79">
        <f t="shared" si="41"/>
        <v>14.374893927967497</v>
      </c>
      <c r="T79">
        <f t="shared" si="42"/>
        <v>1.6467648273473461</v>
      </c>
      <c r="U79">
        <f t="shared" si="52"/>
        <v>214.94015645877175</v>
      </c>
      <c r="V79">
        <f t="shared" si="43"/>
        <v>1.449140825031408</v>
      </c>
      <c r="W79">
        <f t="shared" si="44"/>
        <v>3.5271863302203402E-2</v>
      </c>
      <c r="X79">
        <f t="shared" si="45"/>
        <v>2.3180511371883323</v>
      </c>
      <c r="Y79">
        <f t="shared" si="46"/>
        <v>0.26078075293368741</v>
      </c>
      <c r="Z79">
        <f t="shared" si="47"/>
        <v>1.1590255685941662</v>
      </c>
      <c r="AA79">
        <f t="shared" si="48"/>
        <v>0.23808507728987297</v>
      </c>
      <c r="AB79">
        <f t="shared" si="49"/>
        <v>0.26078075293368741</v>
      </c>
      <c r="AC79">
        <f t="shared" si="53"/>
        <v>2.014655377363022</v>
      </c>
      <c r="AD79">
        <f t="shared" si="54"/>
        <v>0.65145701833100267</v>
      </c>
      <c r="AE79">
        <f t="shared" si="55"/>
        <v>9.7287026178859204</v>
      </c>
      <c r="AF79">
        <f t="shared" si="56"/>
        <v>1.0944790445121659</v>
      </c>
      <c r="AG79">
        <f t="shared" si="57"/>
        <v>4.8643513089429602</v>
      </c>
      <c r="AH79">
        <f t="shared" si="58"/>
        <v>4.3973348737342679</v>
      </c>
      <c r="AI79">
        <f t="shared" si="59"/>
        <v>1.0944790445121659</v>
      </c>
    </row>
    <row r="80" spans="5:35" x14ac:dyDescent="0.25">
      <c r="E80">
        <f t="shared" si="50"/>
        <v>1128.4358214085514</v>
      </c>
      <c r="F80">
        <f t="shared" si="30"/>
        <v>0.87781206593486349</v>
      </c>
      <c r="G80">
        <f t="shared" si="31"/>
        <v>1.9639804507604764E-2</v>
      </c>
      <c r="H80">
        <f t="shared" si="32"/>
        <v>1.353782174336867</v>
      </c>
      <c r="I80">
        <f t="shared" si="33"/>
        <v>0.15230049461289752</v>
      </c>
      <c r="J80">
        <f t="shared" si="34"/>
        <v>0.67689108716843349</v>
      </c>
      <c r="K80">
        <f t="shared" si="35"/>
        <v>0.13256868042633216</v>
      </c>
      <c r="L80">
        <v>79</v>
      </c>
      <c r="M80">
        <f t="shared" si="51"/>
        <v>0.15230049461289752</v>
      </c>
      <c r="N80">
        <f t="shared" si="36"/>
        <v>1.642442951095564</v>
      </c>
      <c r="O80">
        <f t="shared" si="37"/>
        <v>1.9165645379258309</v>
      </c>
      <c r="P80">
        <f t="shared" si="38"/>
        <v>13.688447200072927</v>
      </c>
      <c r="Q80">
        <f t="shared" si="39"/>
        <v>1.5399503100082041</v>
      </c>
      <c r="R80">
        <f t="shared" si="40"/>
        <v>6.8442236000364636</v>
      </c>
      <c r="S80">
        <f t="shared" si="41"/>
        <v>12.936810630999361</v>
      </c>
      <c r="T80">
        <f t="shared" si="42"/>
        <v>1.5399503100082041</v>
      </c>
      <c r="U80">
        <f t="shared" si="52"/>
        <v>225.68716428171035</v>
      </c>
      <c r="V80">
        <f t="shared" si="43"/>
        <v>1.429855500962798</v>
      </c>
      <c r="W80">
        <f t="shared" si="44"/>
        <v>3.1990996253993619E-2</v>
      </c>
      <c r="X80">
        <f t="shared" si="45"/>
        <v>2.2051563930366194</v>
      </c>
      <c r="Y80">
        <f t="shared" si="46"/>
        <v>0.24808009421661964</v>
      </c>
      <c r="Z80">
        <f t="shared" si="47"/>
        <v>1.1025781965183097</v>
      </c>
      <c r="AA80">
        <f t="shared" si="48"/>
        <v>0.21593922471445695</v>
      </c>
      <c r="AB80">
        <f t="shared" si="49"/>
        <v>0.24808009421661964</v>
      </c>
      <c r="AC80">
        <f t="shared" si="53"/>
        <v>1.9698265563829958</v>
      </c>
      <c r="AD80">
        <f t="shared" si="54"/>
        <v>0.59019796557637838</v>
      </c>
      <c r="AE80">
        <f t="shared" si="55"/>
        <v>9.210303524350028</v>
      </c>
      <c r="AF80">
        <f t="shared" si="56"/>
        <v>1.036159146489378</v>
      </c>
      <c r="AG80">
        <f t="shared" si="57"/>
        <v>4.605151762175014</v>
      </c>
      <c r="AH80">
        <f t="shared" si="58"/>
        <v>3.9838362676405539</v>
      </c>
      <c r="AI80">
        <f t="shared" si="59"/>
        <v>1.036159146489378</v>
      </c>
    </row>
    <row r="81" spans="5:35" x14ac:dyDescent="0.25">
      <c r="E81">
        <f t="shared" si="50"/>
        <v>1184.857612478979</v>
      </c>
      <c r="F81">
        <f t="shared" si="30"/>
        <v>0.86627236389789131</v>
      </c>
      <c r="G81">
        <f t="shared" si="31"/>
        <v>1.7813061725843717E-2</v>
      </c>
      <c r="H81">
        <f t="shared" si="32"/>
        <v>1.2879210339393838</v>
      </c>
      <c r="I81">
        <f t="shared" si="33"/>
        <v>0.14489111631818066</v>
      </c>
      <c r="J81">
        <f t="shared" si="34"/>
        <v>0.64396051696969192</v>
      </c>
      <c r="K81">
        <f t="shared" si="35"/>
        <v>0.12023816664944509</v>
      </c>
      <c r="L81">
        <v>80</v>
      </c>
      <c r="M81">
        <f t="shared" si="51"/>
        <v>0.14489111631818066</v>
      </c>
      <c r="N81">
        <f t="shared" si="36"/>
        <v>1.5833271393288353</v>
      </c>
      <c r="O81">
        <f t="shared" si="37"/>
        <v>1.7261751049744585</v>
      </c>
      <c r="P81">
        <f t="shared" si="38"/>
        <v>12.815621225465128</v>
      </c>
      <c r="Q81">
        <f t="shared" si="39"/>
        <v>1.4417573878648269</v>
      </c>
      <c r="R81">
        <f t="shared" si="40"/>
        <v>6.4078106127325638</v>
      </c>
      <c r="S81">
        <f t="shared" si="41"/>
        <v>11.651681958577596</v>
      </c>
      <c r="T81">
        <f t="shared" si="42"/>
        <v>1.4417573878648269</v>
      </c>
      <c r="U81">
        <f t="shared" si="52"/>
        <v>236.97152249579588</v>
      </c>
      <c r="V81">
        <f t="shared" si="43"/>
        <v>1.4110586456023471</v>
      </c>
      <c r="W81">
        <f t="shared" si="44"/>
        <v>2.9015441101919712E-2</v>
      </c>
      <c r="X81">
        <f t="shared" si="45"/>
        <v>2.0978761247975029</v>
      </c>
      <c r="Y81">
        <f t="shared" si="46"/>
        <v>0.23601106403971908</v>
      </c>
      <c r="Z81">
        <f t="shared" si="47"/>
        <v>1.0489380623987514</v>
      </c>
      <c r="AA81">
        <f t="shared" si="48"/>
        <v>0.19585422743795805</v>
      </c>
      <c r="AB81">
        <f t="shared" si="49"/>
        <v>0.23601106403971908</v>
      </c>
      <c r="AC81">
        <f t="shared" si="53"/>
        <v>1.9269083664008466</v>
      </c>
      <c r="AD81">
        <f t="shared" si="54"/>
        <v>0.53475829536107877</v>
      </c>
      <c r="AE81">
        <f t="shared" si="55"/>
        <v>8.7222929067273274</v>
      </c>
      <c r="AF81">
        <f t="shared" si="56"/>
        <v>0.98125795200682442</v>
      </c>
      <c r="AG81">
        <f t="shared" si="57"/>
        <v>4.3611464533636637</v>
      </c>
      <c r="AH81">
        <f t="shared" si="58"/>
        <v>3.6096184936872815</v>
      </c>
      <c r="AI81">
        <f t="shared" si="59"/>
        <v>0.98125795200682442</v>
      </c>
    </row>
    <row r="82" spans="5:35" x14ac:dyDescent="0.25">
      <c r="E82">
        <f t="shared" si="50"/>
        <v>1244.1004931029281</v>
      </c>
      <c r="F82">
        <f t="shared" si="30"/>
        <v>0.85502129545559513</v>
      </c>
      <c r="G82">
        <f t="shared" si="31"/>
        <v>1.6156297601102331E-2</v>
      </c>
      <c r="H82">
        <f t="shared" si="32"/>
        <v>1.2253285335247586</v>
      </c>
      <c r="I82">
        <f t="shared" si="33"/>
        <v>0.13784946002153536</v>
      </c>
      <c r="J82">
        <f t="shared" si="34"/>
        <v>0.61266426676237928</v>
      </c>
      <c r="K82">
        <f t="shared" si="35"/>
        <v>0.10905500880744072</v>
      </c>
      <c r="L82">
        <v>81</v>
      </c>
      <c r="M82">
        <f t="shared" si="51"/>
        <v>0.13784946002153536</v>
      </c>
      <c r="N82">
        <f t="shared" si="36"/>
        <v>1.5282671126580496</v>
      </c>
      <c r="O82">
        <f t="shared" si="37"/>
        <v>1.5557838685040044</v>
      </c>
      <c r="P82">
        <f t="shared" si="38"/>
        <v>12.011433192593076</v>
      </c>
      <c r="Q82">
        <f t="shared" si="39"/>
        <v>1.3512862341667209</v>
      </c>
      <c r="R82">
        <f t="shared" si="40"/>
        <v>6.005716596296538</v>
      </c>
      <c r="S82">
        <f t="shared" si="41"/>
        <v>10.50154111240203</v>
      </c>
      <c r="T82">
        <f t="shared" si="42"/>
        <v>1.3512862341667209</v>
      </c>
      <c r="U82">
        <f t="shared" si="52"/>
        <v>248.8200986205857</v>
      </c>
      <c r="V82">
        <f t="shared" si="43"/>
        <v>1.3927319413700543</v>
      </c>
      <c r="W82">
        <f t="shared" si="44"/>
        <v>2.6316761749595709E-2</v>
      </c>
      <c r="X82">
        <f t="shared" si="45"/>
        <v>1.9959200974084825</v>
      </c>
      <c r="Y82">
        <f t="shared" si="46"/>
        <v>0.22454101095845425</v>
      </c>
      <c r="Z82">
        <f t="shared" si="47"/>
        <v>0.99796004870424126</v>
      </c>
      <c r="AA82">
        <f t="shared" si="48"/>
        <v>0.17763814180977106</v>
      </c>
      <c r="AB82">
        <f t="shared" si="49"/>
        <v>0.22454101095845425</v>
      </c>
      <c r="AC82">
        <f t="shared" si="53"/>
        <v>1.8857812269490331</v>
      </c>
      <c r="AD82">
        <f t="shared" si="54"/>
        <v>0.4845746485883668</v>
      </c>
      <c r="AE82">
        <f t="shared" si="55"/>
        <v>8.2626064635571179</v>
      </c>
      <c r="AF82">
        <f t="shared" si="56"/>
        <v>0.92954322715017579</v>
      </c>
      <c r="AG82">
        <f t="shared" si="57"/>
        <v>4.131303231778559</v>
      </c>
      <c r="AH82">
        <f t="shared" si="58"/>
        <v>3.2708788779714761</v>
      </c>
      <c r="AI82">
        <f t="shared" si="59"/>
        <v>0.92954322715017579</v>
      </c>
    </row>
    <row r="83" spans="5:35" x14ac:dyDescent="0.25">
      <c r="E83">
        <f t="shared" si="50"/>
        <v>1306.3055177580745</v>
      </c>
      <c r="F83">
        <f t="shared" si="30"/>
        <v>0.84404817047273639</v>
      </c>
      <c r="G83">
        <f t="shared" si="31"/>
        <v>1.4653683329952998E-2</v>
      </c>
      <c r="H83">
        <f t="shared" si="32"/>
        <v>1.1658363438571113</v>
      </c>
      <c r="I83">
        <f t="shared" si="33"/>
        <v>0.13115658868392502</v>
      </c>
      <c r="J83">
        <f t="shared" si="34"/>
        <v>0.58291817192855566</v>
      </c>
      <c r="K83">
        <f t="shared" si="35"/>
        <v>9.8912362477182741E-2</v>
      </c>
      <c r="L83">
        <v>82</v>
      </c>
      <c r="M83">
        <f t="shared" si="51"/>
        <v>0.13115658868392502</v>
      </c>
      <c r="N83">
        <f t="shared" si="36"/>
        <v>1.4768593521513462</v>
      </c>
      <c r="O83">
        <f t="shared" si="37"/>
        <v>1.4030884351963684</v>
      </c>
      <c r="P83">
        <f t="shared" si="38"/>
        <v>11.268943476792348</v>
      </c>
      <c r="Q83">
        <f t="shared" si="39"/>
        <v>1.2677561411391391</v>
      </c>
      <c r="R83">
        <f t="shared" si="40"/>
        <v>5.634471738396174</v>
      </c>
      <c r="S83">
        <f t="shared" si="41"/>
        <v>9.4708469375754873</v>
      </c>
      <c r="T83">
        <f t="shared" si="42"/>
        <v>1.2677561411391391</v>
      </c>
      <c r="U83">
        <f t="shared" si="52"/>
        <v>261.26110355161501</v>
      </c>
      <c r="V83">
        <f t="shared" si="43"/>
        <v>1.3748579752577483</v>
      </c>
      <c r="W83">
        <f t="shared" si="44"/>
        <v>2.3869174885840411E-2</v>
      </c>
      <c r="X83">
        <f t="shared" si="45"/>
        <v>1.8990141217882752</v>
      </c>
      <c r="Y83">
        <f t="shared" si="46"/>
        <v>0.21363908870118092</v>
      </c>
      <c r="Z83">
        <f t="shared" si="47"/>
        <v>0.94950706089413761</v>
      </c>
      <c r="AA83">
        <f t="shared" si="48"/>
        <v>0.16111693047942277</v>
      </c>
      <c r="AB83">
        <f t="shared" si="49"/>
        <v>0.21363908870118092</v>
      </c>
      <c r="AC83">
        <f t="shared" si="53"/>
        <v>1.8463353325255372</v>
      </c>
      <c r="AD83">
        <f t="shared" si="54"/>
        <v>0.43914008440245889</v>
      </c>
      <c r="AE83">
        <f t="shared" si="55"/>
        <v>7.829349068149674</v>
      </c>
      <c r="AF83">
        <f t="shared" si="56"/>
        <v>0.88080177016683836</v>
      </c>
      <c r="AG83">
        <f t="shared" si="57"/>
        <v>3.914674534074837</v>
      </c>
      <c r="AH83">
        <f t="shared" si="58"/>
        <v>2.9641955697165976</v>
      </c>
      <c r="AI83">
        <f t="shared" si="59"/>
        <v>0.88080177016683836</v>
      </c>
    </row>
    <row r="84" spans="5:35" x14ac:dyDescent="0.25">
      <c r="E84">
        <f t="shared" si="50"/>
        <v>1371.6207936459782</v>
      </c>
      <c r="F84">
        <f t="shared" si="30"/>
        <v>0.83334282028405227</v>
      </c>
      <c r="G84">
        <f t="shared" si="31"/>
        <v>1.3290866298999367E-2</v>
      </c>
      <c r="H84">
        <f t="shared" si="32"/>
        <v>1.1092853820025019</v>
      </c>
      <c r="I84">
        <f t="shared" si="33"/>
        <v>0.12479460547528144</v>
      </c>
      <c r="J84">
        <f t="shared" si="34"/>
        <v>0.55464269100125096</v>
      </c>
      <c r="K84">
        <f t="shared" si="35"/>
        <v>8.9713347518245737E-2</v>
      </c>
      <c r="L84">
        <v>83</v>
      </c>
      <c r="M84">
        <f t="shared" si="51"/>
        <v>0.12479460547528144</v>
      </c>
      <c r="N84">
        <f t="shared" si="36"/>
        <v>1.4287521499203335</v>
      </c>
      <c r="O84">
        <f t="shared" si="37"/>
        <v>1.2660887604267212</v>
      </c>
      <c r="P84">
        <f t="shared" si="38"/>
        <v>10.582101492653841</v>
      </c>
      <c r="Q84">
        <f t="shared" si="39"/>
        <v>1.1904864179235572</v>
      </c>
      <c r="R84">
        <f t="shared" si="40"/>
        <v>5.2910507463269205</v>
      </c>
      <c r="S84">
        <f t="shared" si="41"/>
        <v>8.5460991328803679</v>
      </c>
      <c r="T84">
        <f t="shared" si="42"/>
        <v>1.1904864179235572</v>
      </c>
      <c r="U84">
        <f t="shared" si="52"/>
        <v>274.32415872919574</v>
      </c>
      <c r="V84">
        <f t="shared" si="43"/>
        <v>1.3574201836722291</v>
      </c>
      <c r="W84">
        <f t="shared" si="44"/>
        <v>2.1649301744270461E-2</v>
      </c>
      <c r="X84">
        <f t="shared" si="45"/>
        <v>1.8068990700243923</v>
      </c>
      <c r="Y84">
        <f t="shared" si="46"/>
        <v>0.20327614537774411</v>
      </c>
      <c r="Z84">
        <f t="shared" si="47"/>
        <v>0.90344953501219616</v>
      </c>
      <c r="AA84">
        <f t="shared" si="48"/>
        <v>0.1461327867738256</v>
      </c>
      <c r="AB84">
        <f t="shared" si="49"/>
        <v>0.20327614537774411</v>
      </c>
      <c r="AC84">
        <f t="shared" si="53"/>
        <v>1.8084696737926647</v>
      </c>
      <c r="AD84">
        <f t="shared" si="54"/>
        <v>0.39799809666361485</v>
      </c>
      <c r="AE84">
        <f t="shared" si="55"/>
        <v>7.4207779601871273</v>
      </c>
      <c r="AF84">
        <f t="shared" si="56"/>
        <v>0.83483752052105187</v>
      </c>
      <c r="AG84">
        <f t="shared" si="57"/>
        <v>3.7103889800935637</v>
      </c>
      <c r="AH84">
        <f t="shared" si="58"/>
        <v>2.6864871524794003</v>
      </c>
      <c r="AI84">
        <f t="shared" si="59"/>
        <v>0.83483752052105187</v>
      </c>
    </row>
    <row r="85" spans="5:35" x14ac:dyDescent="0.25">
      <c r="E85">
        <f t="shared" si="50"/>
        <v>1440.2018333282772</v>
      </c>
      <c r="F85">
        <f t="shared" si="30"/>
        <v>0.82289556628041394</v>
      </c>
      <c r="G85">
        <f t="shared" si="31"/>
        <v>1.2054832030095997E-2</v>
      </c>
      <c r="H85">
        <f t="shared" si="32"/>
        <v>1.0555252493325895</v>
      </c>
      <c r="I85">
        <f t="shared" si="33"/>
        <v>0.11874659054991631</v>
      </c>
      <c r="J85">
        <f t="shared" si="34"/>
        <v>0.52776262466629476</v>
      </c>
      <c r="K85">
        <f t="shared" si="35"/>
        <v>8.1370116203147977E-2</v>
      </c>
      <c r="L85">
        <v>84</v>
      </c>
      <c r="M85">
        <f t="shared" si="51"/>
        <v>0.11874659054991631</v>
      </c>
      <c r="N85">
        <f t="shared" si="36"/>
        <v>1.3836375521973316</v>
      </c>
      <c r="O85">
        <f t="shared" si="37"/>
        <v>1.1430406970944447</v>
      </c>
      <c r="P85">
        <f t="shared" si="38"/>
        <v>9.9456075832629232</v>
      </c>
      <c r="Q85">
        <f t="shared" si="39"/>
        <v>1.1188808531170789</v>
      </c>
      <c r="R85">
        <f t="shared" si="40"/>
        <v>4.9728037916314616</v>
      </c>
      <c r="S85">
        <f t="shared" si="41"/>
        <v>7.7155247053875007</v>
      </c>
      <c r="T85">
        <f t="shared" si="42"/>
        <v>1.1188808531170789</v>
      </c>
      <c r="U85">
        <f t="shared" si="52"/>
        <v>288.04036666565554</v>
      </c>
      <c r="V85">
        <f t="shared" si="43"/>
        <v>1.3404028012657276</v>
      </c>
      <c r="W85">
        <f t="shared" si="44"/>
        <v>1.9635943227846103E-2</v>
      </c>
      <c r="X85">
        <f t="shared" si="45"/>
        <v>1.7193299599453471</v>
      </c>
      <c r="Y85">
        <f t="shared" si="46"/>
        <v>0.19342462049385156</v>
      </c>
      <c r="Z85">
        <f t="shared" si="47"/>
        <v>0.85966497997267355</v>
      </c>
      <c r="AA85">
        <f t="shared" si="48"/>
        <v>0.1325426167879612</v>
      </c>
      <c r="AB85">
        <f t="shared" si="49"/>
        <v>0.19342462049385156</v>
      </c>
      <c r="AC85">
        <f t="shared" si="53"/>
        <v>1.7720911740796397</v>
      </c>
      <c r="AD85">
        <f t="shared" si="54"/>
        <v>0.36073732319288149</v>
      </c>
      <c r="AE85">
        <f t="shared" si="55"/>
        <v>7.0352879124433638</v>
      </c>
      <c r="AF85">
        <f t="shared" si="56"/>
        <v>0.79146989014987845</v>
      </c>
      <c r="AG85">
        <f t="shared" si="57"/>
        <v>3.5176439562216819</v>
      </c>
      <c r="AH85">
        <f t="shared" si="58"/>
        <v>2.4349769315519501</v>
      </c>
      <c r="AI85">
        <f t="shared" si="59"/>
        <v>0.79146989014987845</v>
      </c>
    </row>
    <row r="86" spans="5:35" x14ac:dyDescent="0.25">
      <c r="E86">
        <f t="shared" si="50"/>
        <v>1512.2119249946911</v>
      </c>
      <c r="F86">
        <f t="shared" si="30"/>
        <v>0.81269719073881919</v>
      </c>
      <c r="G86">
        <f t="shared" si="31"/>
        <v>1.0933779104915204E-2</v>
      </c>
      <c r="H86">
        <f t="shared" si="32"/>
        <v>1.0044137086385865</v>
      </c>
      <c r="I86">
        <f t="shared" si="33"/>
        <v>0.11299654222184097</v>
      </c>
      <c r="J86">
        <f t="shared" si="34"/>
        <v>0.50220685431929324</v>
      </c>
      <c r="K86">
        <f t="shared" si="35"/>
        <v>7.3803008958177638E-2</v>
      </c>
      <c r="L86">
        <v>85</v>
      </c>
      <c r="M86">
        <f t="shared" si="51"/>
        <v>0.11299654222184097</v>
      </c>
      <c r="N86">
        <f t="shared" si="36"/>
        <v>1.3412447605417215</v>
      </c>
      <c r="O86">
        <f t="shared" si="37"/>
        <v>1.0324178729133773</v>
      </c>
      <c r="P86">
        <f t="shared" si="38"/>
        <v>9.3547999043563799</v>
      </c>
      <c r="Q86">
        <f t="shared" si="39"/>
        <v>1.0524149892400927</v>
      </c>
      <c r="R86">
        <f t="shared" si="40"/>
        <v>4.6773999521781899</v>
      </c>
      <c r="S86">
        <f t="shared" si="41"/>
        <v>6.968820642165297</v>
      </c>
      <c r="T86">
        <f t="shared" si="42"/>
        <v>1.0524149892400927</v>
      </c>
      <c r="U86">
        <f t="shared" si="52"/>
        <v>302.44238499893834</v>
      </c>
      <c r="V86">
        <f t="shared" si="43"/>
        <v>1.3237908134212637</v>
      </c>
      <c r="W86">
        <f t="shared" si="44"/>
        <v>1.7809876175289625E-2</v>
      </c>
      <c r="X86">
        <f t="shared" si="45"/>
        <v>1.6360751033990633</v>
      </c>
      <c r="Y86">
        <f t="shared" si="46"/>
        <v>0.18405844913239461</v>
      </c>
      <c r="Z86">
        <f t="shared" si="47"/>
        <v>0.81803755169953163</v>
      </c>
      <c r="AA86">
        <f t="shared" si="48"/>
        <v>0.12021666418320498</v>
      </c>
      <c r="AB86">
        <f t="shared" si="49"/>
        <v>0.18405844913239461</v>
      </c>
      <c r="AC86">
        <f t="shared" si="53"/>
        <v>1.7371139256473496</v>
      </c>
      <c r="AD86">
        <f t="shared" si="54"/>
        <v>0.32698685773111708</v>
      </c>
      <c r="AE86">
        <f t="shared" si="55"/>
        <v>6.6713981063159</v>
      </c>
      <c r="AF86">
        <f t="shared" si="56"/>
        <v>0.75053228696053864</v>
      </c>
      <c r="AG86">
        <f t="shared" si="57"/>
        <v>3.33569905315795</v>
      </c>
      <c r="AH86">
        <f t="shared" si="58"/>
        <v>2.2071612896850401</v>
      </c>
      <c r="AI86">
        <f t="shared" si="59"/>
        <v>0.75053228696053864</v>
      </c>
    </row>
    <row r="87" spans="5:35" x14ac:dyDescent="0.25">
      <c r="E87">
        <f t="shared" si="50"/>
        <v>1587.8225212444258</v>
      </c>
      <c r="F87">
        <f t="shared" si="30"/>
        <v>0.80273890971143802</v>
      </c>
      <c r="G87">
        <f t="shared" si="31"/>
        <v>9.917005836513863E-3</v>
      </c>
      <c r="H87">
        <f t="shared" si="32"/>
        <v>0.95581619719641475</v>
      </c>
      <c r="I87">
        <f t="shared" si="33"/>
        <v>0.10752932218459665</v>
      </c>
      <c r="J87">
        <f t="shared" si="34"/>
        <v>0.47790809859820738</v>
      </c>
      <c r="K87">
        <f t="shared" si="35"/>
        <v>6.693978939646858E-2</v>
      </c>
      <c r="L87">
        <v>86</v>
      </c>
      <c r="M87">
        <f t="shared" si="51"/>
        <v>0.10752932218459665</v>
      </c>
      <c r="N87">
        <f t="shared" si="36"/>
        <v>1.3013346923186255</v>
      </c>
      <c r="O87">
        <f t="shared" si="37"/>
        <v>0.93288019197388095</v>
      </c>
      <c r="P87">
        <f t="shared" si="38"/>
        <v>8.8055611801555784</v>
      </c>
      <c r="Q87">
        <f t="shared" si="39"/>
        <v>0.99062563276750271</v>
      </c>
      <c r="R87">
        <f t="shared" si="40"/>
        <v>4.4027805900777892</v>
      </c>
      <c r="S87">
        <f t="shared" si="41"/>
        <v>6.2969412958236965</v>
      </c>
      <c r="T87">
        <f t="shared" si="42"/>
        <v>0.99062563276750271</v>
      </c>
      <c r="U87">
        <f t="shared" si="52"/>
        <v>317.56450424888527</v>
      </c>
      <c r="V87">
        <f t="shared" si="43"/>
        <v>1.3075699120920365</v>
      </c>
      <c r="W87">
        <f t="shared" si="44"/>
        <v>1.6153668762023725E-2</v>
      </c>
      <c r="X87">
        <f t="shared" si="45"/>
        <v>1.556915313091684</v>
      </c>
      <c r="Y87">
        <f t="shared" si="46"/>
        <v>0.17515297272281444</v>
      </c>
      <c r="Z87">
        <f t="shared" si="47"/>
        <v>0.77845765654584198</v>
      </c>
      <c r="AA87">
        <f t="shared" si="48"/>
        <v>0.10903726414366013</v>
      </c>
      <c r="AB87">
        <f t="shared" si="49"/>
        <v>0.17515297272281444</v>
      </c>
      <c r="AC87">
        <f t="shared" si="53"/>
        <v>1.7034585125225341</v>
      </c>
      <c r="AD87">
        <f t="shared" si="54"/>
        <v>0.29641208785639522</v>
      </c>
      <c r="AE87">
        <f t="shared" si="55"/>
        <v>6.3277404901279155</v>
      </c>
      <c r="AF87">
        <f t="shared" si="56"/>
        <v>0.71187080513939061</v>
      </c>
      <c r="AG87">
        <f t="shared" si="57"/>
        <v>3.1638702450639578</v>
      </c>
      <c r="AH87">
        <f t="shared" si="58"/>
        <v>2.0007815930306676</v>
      </c>
      <c r="AI87">
        <f t="shared" si="59"/>
        <v>0.71187080513939061</v>
      </c>
    </row>
    <row r="88" spans="5:35" x14ac:dyDescent="0.25">
      <c r="E88">
        <f t="shared" si="50"/>
        <v>1667.2136473066473</v>
      </c>
      <c r="F88">
        <f t="shared" si="30"/>
        <v>0.79301234780612873</v>
      </c>
      <c r="G88">
        <f t="shared" si="31"/>
        <v>8.9948075746886236E-3</v>
      </c>
      <c r="H88">
        <f t="shared" si="32"/>
        <v>0.90960537291664811</v>
      </c>
      <c r="I88">
        <f t="shared" si="33"/>
        <v>0.10233060445312292</v>
      </c>
      <c r="J88">
        <f t="shared" si="34"/>
        <v>0.45480268645832406</v>
      </c>
      <c r="K88">
        <f t="shared" si="35"/>
        <v>6.0714951129148202E-2</v>
      </c>
      <c r="L88">
        <v>87</v>
      </c>
      <c r="M88">
        <f t="shared" si="51"/>
        <v>0.10233060445312292</v>
      </c>
      <c r="N88">
        <f t="shared" si="36"/>
        <v>1.2636954696050067</v>
      </c>
      <c r="O88">
        <f t="shared" si="37"/>
        <v>0.84324764470046965</v>
      </c>
      <c r="P88">
        <f t="shared" si="38"/>
        <v>8.2942413735697542</v>
      </c>
      <c r="Q88">
        <f t="shared" si="39"/>
        <v>0.93310215452659728</v>
      </c>
      <c r="R88">
        <f t="shared" si="40"/>
        <v>4.1471206867848771</v>
      </c>
      <c r="S88">
        <f t="shared" si="41"/>
        <v>5.6919216017281693</v>
      </c>
      <c r="T88">
        <f t="shared" si="42"/>
        <v>0.93310215452659728</v>
      </c>
      <c r="U88">
        <f t="shared" si="52"/>
        <v>333.44272946132952</v>
      </c>
      <c r="V88">
        <f t="shared" si="43"/>
        <v>1.2917264547217506</v>
      </c>
      <c r="W88">
        <f t="shared" si="44"/>
        <v>1.4651513222335587E-2</v>
      </c>
      <c r="X88">
        <f t="shared" si="45"/>
        <v>1.4816431633177114</v>
      </c>
      <c r="Y88">
        <f t="shared" si="46"/>
        <v>0.16668485587324253</v>
      </c>
      <c r="Z88">
        <f t="shared" si="47"/>
        <v>0.7408215816588557</v>
      </c>
      <c r="AA88">
        <f t="shared" si="48"/>
        <v>9.8897714250765212E-2</v>
      </c>
      <c r="AB88">
        <f t="shared" si="49"/>
        <v>0.16668485587324253</v>
      </c>
      <c r="AC88">
        <f t="shared" si="53"/>
        <v>1.6710514086656247</v>
      </c>
      <c r="AD88">
        <f t="shared" si="54"/>
        <v>0.26871099319326142</v>
      </c>
      <c r="AE88">
        <f t="shared" si="55"/>
        <v>6.0030494277040072</v>
      </c>
      <c r="AF88">
        <f t="shared" si="56"/>
        <v>0.67534306061670069</v>
      </c>
      <c r="AG88">
        <f t="shared" si="57"/>
        <v>3.0015247138520036</v>
      </c>
      <c r="AH88">
        <f t="shared" si="58"/>
        <v>1.8137992040545146</v>
      </c>
      <c r="AI88">
        <f t="shared" si="59"/>
        <v>0.67534306061670069</v>
      </c>
    </row>
    <row r="89" spans="5:35" x14ac:dyDescent="0.25">
      <c r="E89">
        <f t="shared" si="50"/>
        <v>1750.5743296719797</v>
      </c>
      <c r="F89">
        <f t="shared" si="30"/>
        <v>0.7835095147062241</v>
      </c>
      <c r="G89">
        <f t="shared" si="31"/>
        <v>8.1583836391543683E-3</v>
      </c>
      <c r="H89">
        <f t="shared" si="32"/>
        <v>0.86566069097509746</v>
      </c>
      <c r="I89">
        <f t="shared" si="33"/>
        <v>9.7386827734698464E-2</v>
      </c>
      <c r="J89">
        <f t="shared" si="34"/>
        <v>0.43283034548754873</v>
      </c>
      <c r="K89">
        <f t="shared" si="35"/>
        <v>5.5069089564291983E-2</v>
      </c>
      <c r="L89">
        <v>88</v>
      </c>
      <c r="M89">
        <f t="shared" si="51"/>
        <v>9.7386827734698464E-2</v>
      </c>
      <c r="N89">
        <f t="shared" si="36"/>
        <v>1.2281386567605104</v>
      </c>
      <c r="O89">
        <f t="shared" si="37"/>
        <v>0.76247840188274374</v>
      </c>
      <c r="P89">
        <f t="shared" si="38"/>
        <v>7.8175931891503474</v>
      </c>
      <c r="Q89">
        <f t="shared" si="39"/>
        <v>0.87947923377941406</v>
      </c>
      <c r="R89">
        <f t="shared" si="40"/>
        <v>3.9087965945751737</v>
      </c>
      <c r="S89">
        <f t="shared" si="41"/>
        <v>5.1467292127085198</v>
      </c>
      <c r="T89">
        <f t="shared" si="42"/>
        <v>0.87947923377941406</v>
      </c>
      <c r="U89">
        <f t="shared" si="52"/>
        <v>350.11486593439599</v>
      </c>
      <c r="V89">
        <f t="shared" si="43"/>
        <v>1.276247425998035</v>
      </c>
      <c r="W89">
        <f t="shared" si="44"/>
        <v>1.3289074254164288E-2</v>
      </c>
      <c r="X89">
        <f t="shared" si="45"/>
        <v>1.4100623003396333</v>
      </c>
      <c r="Y89">
        <f t="shared" si="46"/>
        <v>0.15863200878820874</v>
      </c>
      <c r="Z89">
        <f t="shared" si="47"/>
        <v>0.70503115016981666</v>
      </c>
      <c r="AA89">
        <f t="shared" si="48"/>
        <v>8.9701251215608943E-2</v>
      </c>
      <c r="AB89">
        <f t="shared" si="49"/>
        <v>0.15863200878820874</v>
      </c>
      <c r="AC89">
        <f t="shared" si="53"/>
        <v>1.63982444187263</v>
      </c>
      <c r="AD89">
        <f t="shared" si="54"/>
        <v>0.24361084753135104</v>
      </c>
      <c r="AE89">
        <f t="shared" si="55"/>
        <v>5.6961524727722486</v>
      </c>
      <c r="AF89">
        <f t="shared" si="56"/>
        <v>0.64081715318687804</v>
      </c>
      <c r="AG89">
        <f t="shared" si="57"/>
        <v>2.8480762363861243</v>
      </c>
      <c r="AH89">
        <f t="shared" si="58"/>
        <v>1.6443732208366197</v>
      </c>
      <c r="AI89">
        <f t="shared" si="59"/>
        <v>0.64081715318687804</v>
      </c>
    </row>
    <row r="90" spans="5:35" x14ac:dyDescent="0.25">
      <c r="E90">
        <f t="shared" si="50"/>
        <v>1838.1030461555788</v>
      </c>
      <c r="F90">
        <f t="shared" si="30"/>
        <v>0.77422278329124872</v>
      </c>
      <c r="G90">
        <f t="shared" si="31"/>
        <v>7.3997529711883041E-3</v>
      </c>
      <c r="H90">
        <f t="shared" si="32"/>
        <v>0.8238680085552752</v>
      </c>
      <c r="I90">
        <f t="shared" si="33"/>
        <v>9.2685150962468446E-2</v>
      </c>
      <c r="J90">
        <f t="shared" si="34"/>
        <v>0.4119340042776376</v>
      </c>
      <c r="K90">
        <f t="shared" si="35"/>
        <v>4.9948332555521058E-2</v>
      </c>
      <c r="L90">
        <v>89</v>
      </c>
      <c r="M90">
        <f t="shared" si="51"/>
        <v>9.2685150962468446E-2</v>
      </c>
      <c r="N90">
        <f t="shared" si="36"/>
        <v>1.1944961056073895</v>
      </c>
      <c r="O90">
        <f t="shared" si="37"/>
        <v>0.6896503893013417</v>
      </c>
      <c r="P90">
        <f t="shared" si="38"/>
        <v>7.3727179907378986</v>
      </c>
      <c r="Q90">
        <f t="shared" si="39"/>
        <v>0.82943077395801357</v>
      </c>
      <c r="R90">
        <f t="shared" si="40"/>
        <v>3.6863589953689493</v>
      </c>
      <c r="S90">
        <f t="shared" si="41"/>
        <v>4.6551401277840556</v>
      </c>
      <c r="T90">
        <f t="shared" si="42"/>
        <v>0.82943077395801357</v>
      </c>
      <c r="U90">
        <f t="shared" si="52"/>
        <v>367.62060923111579</v>
      </c>
      <c r="V90">
        <f t="shared" si="43"/>
        <v>1.2611204022135931</v>
      </c>
      <c r="W90">
        <f t="shared" si="44"/>
        <v>1.2053351625272053E-2</v>
      </c>
      <c r="X90">
        <f t="shared" si="45"/>
        <v>1.3419867985585858</v>
      </c>
      <c r="Y90">
        <f t="shared" si="46"/>
        <v>0.15097351483784088</v>
      </c>
      <c r="Z90">
        <f t="shared" si="47"/>
        <v>0.67099339927929291</v>
      </c>
      <c r="AA90">
        <f t="shared" si="48"/>
        <v>8.1360123470586354E-2</v>
      </c>
      <c r="AB90">
        <f t="shared" si="49"/>
        <v>0.15097351483784088</v>
      </c>
      <c r="AC90">
        <f t="shared" si="53"/>
        <v>1.6097143151845181</v>
      </c>
      <c r="AD90">
        <f t="shared" si="54"/>
        <v>0.22086527627415695</v>
      </c>
      <c r="AE90">
        <f t="shared" si="55"/>
        <v>5.4059621282802537</v>
      </c>
      <c r="AF90">
        <f t="shared" si="56"/>
        <v>0.60817073943152855</v>
      </c>
      <c r="AG90">
        <f t="shared" si="57"/>
        <v>2.7029810641401268</v>
      </c>
      <c r="AH90">
        <f t="shared" si="58"/>
        <v>1.4908406148505595</v>
      </c>
      <c r="AI90">
        <f t="shared" si="59"/>
        <v>0.60817073943152855</v>
      </c>
    </row>
    <row r="91" spans="5:35" x14ac:dyDescent="0.25">
      <c r="E91">
        <f t="shared" si="50"/>
        <v>1930.0081984633578</v>
      </c>
      <c r="F91">
        <f t="shared" si="30"/>
        <v>0.76514486923263225</v>
      </c>
      <c r="G91">
        <f t="shared" si="31"/>
        <v>6.7116776814593699E-3</v>
      </c>
      <c r="H91">
        <f t="shared" si="32"/>
        <v>0.78411921554546282</v>
      </c>
      <c r="I91">
        <f t="shared" si="33"/>
        <v>8.8213411748864573E-2</v>
      </c>
      <c r="J91">
        <f t="shared" si="34"/>
        <v>0.39205960777273141</v>
      </c>
      <c r="K91">
        <f t="shared" si="35"/>
        <v>4.5303824349850752E-2</v>
      </c>
      <c r="L91">
        <v>90</v>
      </c>
      <c r="M91">
        <f t="shared" si="51"/>
        <v>8.8213411748864573E-2</v>
      </c>
      <c r="N91">
        <f t="shared" si="36"/>
        <v>1.16261729674072</v>
      </c>
      <c r="O91">
        <f t="shared" si="37"/>
        <v>0.62394570814311356</v>
      </c>
      <c r="P91">
        <f t="shared" si="38"/>
        <v>6.9570202227758422</v>
      </c>
      <c r="Q91">
        <f t="shared" si="39"/>
        <v>0.78266477506228238</v>
      </c>
      <c r="R91">
        <f t="shared" si="40"/>
        <v>3.4785101113879211</v>
      </c>
      <c r="S91">
        <f t="shared" si="41"/>
        <v>4.2116335299660159</v>
      </c>
      <c r="T91">
        <f t="shared" si="42"/>
        <v>0.78266477506228238</v>
      </c>
      <c r="U91">
        <f t="shared" si="52"/>
        <v>386.00163969267157</v>
      </c>
      <c r="V91">
        <f t="shared" si="43"/>
        <v>1.2463335180299535</v>
      </c>
      <c r="W91">
        <f t="shared" si="44"/>
        <v>1.0932555641398563E-2</v>
      </c>
      <c r="X91">
        <f t="shared" si="45"/>
        <v>1.2772405589620921</v>
      </c>
      <c r="Y91">
        <f t="shared" si="46"/>
        <v>0.14368956288323537</v>
      </c>
      <c r="Z91">
        <f t="shared" si="47"/>
        <v>0.63862027948104605</v>
      </c>
      <c r="AA91">
        <f t="shared" si="48"/>
        <v>7.3794750579440294E-2</v>
      </c>
      <c r="AB91">
        <f t="shared" si="49"/>
        <v>0.14368956288323537</v>
      </c>
      <c r="AC91">
        <f t="shared" si="53"/>
        <v>1.5806621787335955</v>
      </c>
      <c r="AD91">
        <f t="shared" si="54"/>
        <v>0.20025162722269657</v>
      </c>
      <c r="AE91">
        <f t="shared" si="55"/>
        <v>5.1314684695269506</v>
      </c>
      <c r="AF91">
        <f t="shared" si="56"/>
        <v>0.57729020282178201</v>
      </c>
      <c r="AG91">
        <f t="shared" si="57"/>
        <v>2.5657342347634753</v>
      </c>
      <c r="AH91">
        <f t="shared" si="58"/>
        <v>1.3516984837532018</v>
      </c>
      <c r="AI91">
        <f t="shared" si="59"/>
        <v>0.57729020282178201</v>
      </c>
    </row>
    <row r="92" spans="5:35" x14ac:dyDescent="0.25">
      <c r="E92">
        <f t="shared" si="50"/>
        <v>2026.5086083865258</v>
      </c>
      <c r="F92">
        <f t="shared" si="30"/>
        <v>0.75626881194971618</v>
      </c>
      <c r="G92">
        <f t="shared" si="31"/>
        <v>6.0875937502932595E-3</v>
      </c>
      <c r="H92">
        <f t="shared" si="32"/>
        <v>0.7463118892233761</v>
      </c>
      <c r="I92">
        <f t="shared" si="33"/>
        <v>8.3960087537629818E-2</v>
      </c>
      <c r="J92">
        <f t="shared" si="34"/>
        <v>0.37315594461168805</v>
      </c>
      <c r="K92">
        <f t="shared" si="35"/>
        <v>4.1091257814479504E-2</v>
      </c>
      <c r="L92">
        <v>91</v>
      </c>
      <c r="M92">
        <f t="shared" si="51"/>
        <v>8.3960087537629818E-2</v>
      </c>
      <c r="N92">
        <f t="shared" si="36"/>
        <v>1.1323670882682138</v>
      </c>
      <c r="O92">
        <f t="shared" si="37"/>
        <v>0.56463739623160891</v>
      </c>
      <c r="P92">
        <f t="shared" si="38"/>
        <v>6.5681688147489581</v>
      </c>
      <c r="Q92">
        <f t="shared" si="39"/>
        <v>0.7389189916592579</v>
      </c>
      <c r="R92">
        <f t="shared" si="40"/>
        <v>3.284084407374479</v>
      </c>
      <c r="S92">
        <f t="shared" si="41"/>
        <v>3.81130242456336</v>
      </c>
      <c r="T92">
        <f t="shared" si="42"/>
        <v>0.7389189916592579</v>
      </c>
      <c r="U92">
        <f t="shared" si="52"/>
        <v>405.30172167730518</v>
      </c>
      <c r="V92">
        <f t="shared" si="43"/>
        <v>1.2318754354569803</v>
      </c>
      <c r="W92">
        <f t="shared" si="44"/>
        <v>9.9159942649153076E-3</v>
      </c>
      <c r="X92">
        <f t="shared" si="45"/>
        <v>1.2156567466448633</v>
      </c>
      <c r="Y92">
        <f t="shared" si="46"/>
        <v>0.13676138399754714</v>
      </c>
      <c r="Z92">
        <f t="shared" si="47"/>
        <v>0.60782837332243167</v>
      </c>
      <c r="AA92">
        <f t="shared" si="48"/>
        <v>6.6932961288178328E-2</v>
      </c>
      <c r="AB92">
        <f t="shared" si="49"/>
        <v>0.13676138399754714</v>
      </c>
      <c r="AC92">
        <f t="shared" si="53"/>
        <v>1.5526132459325241</v>
      </c>
      <c r="AD92">
        <f t="shared" si="54"/>
        <v>0.18156861827482948</v>
      </c>
      <c r="AE92">
        <f t="shared" si="55"/>
        <v>4.871732526747107</v>
      </c>
      <c r="AF92">
        <f t="shared" si="56"/>
        <v>0.54806990925904964</v>
      </c>
      <c r="AG92">
        <f t="shared" si="57"/>
        <v>2.4358662633735535</v>
      </c>
      <c r="AH92">
        <f t="shared" si="58"/>
        <v>1.2255881733550991</v>
      </c>
      <c r="AI92">
        <f t="shared" si="59"/>
        <v>0.54806990925904964</v>
      </c>
    </row>
    <row r="93" spans="5:35" x14ac:dyDescent="0.25">
      <c r="E93">
        <f t="shared" si="50"/>
        <v>2127.8340388058523</v>
      </c>
      <c r="F93">
        <f t="shared" si="30"/>
        <v>0.74758795682140733</v>
      </c>
      <c r="G93">
        <f t="shared" si="31"/>
        <v>5.5215482074825193E-3</v>
      </c>
      <c r="H93">
        <f t="shared" si="32"/>
        <v>0.71034897113282802</v>
      </c>
      <c r="I93">
        <f t="shared" si="33"/>
        <v>7.9914259252443151E-2</v>
      </c>
      <c r="J93">
        <f t="shared" si="34"/>
        <v>0.35517448556641401</v>
      </c>
      <c r="K93">
        <f t="shared" si="35"/>
        <v>3.7270450400507013E-2</v>
      </c>
      <c r="L93">
        <v>92</v>
      </c>
      <c r="M93">
        <f t="shared" si="51"/>
        <v>7.9914259252443151E-2</v>
      </c>
      <c r="N93">
        <f t="shared" si="36"/>
        <v>1.1036238009512795</v>
      </c>
      <c r="O93">
        <f t="shared" si="37"/>
        <v>0.51107812576973222</v>
      </c>
      <c r="P93">
        <f t="shared" si="38"/>
        <v>6.2040643511642726</v>
      </c>
      <c r="Q93">
        <f t="shared" si="39"/>
        <v>0.69795723950598065</v>
      </c>
      <c r="R93">
        <f t="shared" si="40"/>
        <v>3.1020321755821363</v>
      </c>
      <c r="S93">
        <f t="shared" si="41"/>
        <v>3.4497773489456924</v>
      </c>
      <c r="T93">
        <f t="shared" si="42"/>
        <v>0.69795723950598065</v>
      </c>
      <c r="U93">
        <f t="shared" si="52"/>
        <v>425.56680776117048</v>
      </c>
      <c r="V93">
        <f t="shared" si="43"/>
        <v>1.2177353148776915</v>
      </c>
      <c r="W93">
        <f t="shared" si="44"/>
        <v>8.9939707879180524E-3</v>
      </c>
      <c r="X93">
        <f t="shared" si="45"/>
        <v>1.1570772644778227</v>
      </c>
      <c r="Y93">
        <f t="shared" si="46"/>
        <v>0.13017119225375504</v>
      </c>
      <c r="Z93">
        <f t="shared" si="47"/>
        <v>0.57853863223891133</v>
      </c>
      <c r="AA93">
        <f t="shared" si="48"/>
        <v>6.0709302818446859E-2</v>
      </c>
      <c r="AB93">
        <f t="shared" si="49"/>
        <v>0.13017119225375504</v>
      </c>
      <c r="AC93">
        <f t="shared" si="53"/>
        <v>1.5255164487391413</v>
      </c>
      <c r="AD93">
        <f t="shared" si="54"/>
        <v>0.16463423036059957</v>
      </c>
      <c r="AE93">
        <f t="shared" si="55"/>
        <v>4.625880336964495</v>
      </c>
      <c r="AF93">
        <f t="shared" si="56"/>
        <v>0.52041153790850569</v>
      </c>
      <c r="AG93">
        <f t="shared" si="57"/>
        <v>2.3129401684822475</v>
      </c>
      <c r="AH93">
        <f t="shared" si="58"/>
        <v>1.1112810549340471</v>
      </c>
      <c r="AI93">
        <f t="shared" si="59"/>
        <v>0.52041153790850569</v>
      </c>
    </row>
    <row r="94" spans="5:35" x14ac:dyDescent="0.25">
      <c r="E94">
        <f t="shared" si="50"/>
        <v>2234.2257407461452</v>
      </c>
      <c r="F94">
        <f t="shared" si="30"/>
        <v>0.73909593855794453</v>
      </c>
      <c r="G94">
        <f t="shared" si="31"/>
        <v>5.0081421827179546E-3</v>
      </c>
      <c r="H94">
        <f t="shared" si="32"/>
        <v>0.67613846451137405</v>
      </c>
      <c r="I94">
        <f t="shared" si="33"/>
        <v>7.6065577257529576E-2</v>
      </c>
      <c r="J94">
        <f t="shared" si="34"/>
        <v>0.33806923225568702</v>
      </c>
      <c r="K94">
        <f t="shared" si="35"/>
        <v>3.3804959733346192E-2</v>
      </c>
      <c r="L94">
        <v>93</v>
      </c>
      <c r="M94">
        <f t="shared" si="51"/>
        <v>7.6065577257529576E-2</v>
      </c>
      <c r="N94">
        <f t="shared" si="36"/>
        <v>1.0762775825266899</v>
      </c>
      <c r="O94">
        <f t="shared" si="37"/>
        <v>0.46269051189343058</v>
      </c>
      <c r="P94">
        <f t="shared" si="38"/>
        <v>5.8628110261967104</v>
      </c>
      <c r="Q94">
        <f t="shared" si="39"/>
        <v>0.65956624044712997</v>
      </c>
      <c r="R94">
        <f t="shared" si="40"/>
        <v>2.9314055130983552</v>
      </c>
      <c r="S94">
        <f t="shared" si="41"/>
        <v>3.1231609552806563</v>
      </c>
      <c r="T94">
        <f t="shared" si="42"/>
        <v>0.65956624044712997</v>
      </c>
      <c r="U94">
        <f t="shared" si="52"/>
        <v>446.84514814922903</v>
      </c>
      <c r="V94">
        <f t="shared" si="43"/>
        <v>1.203902787962768</v>
      </c>
      <c r="W94">
        <f t="shared" si="44"/>
        <v>8.1576910678902263E-3</v>
      </c>
      <c r="X94">
        <f t="shared" si="45"/>
        <v>1.1013522602523282</v>
      </c>
      <c r="Y94">
        <f t="shared" si="46"/>
        <v>0.12390212927838694</v>
      </c>
      <c r="Z94">
        <f t="shared" si="47"/>
        <v>0.55067613012616412</v>
      </c>
      <c r="AA94">
        <f t="shared" si="48"/>
        <v>5.506441470825902E-2</v>
      </c>
      <c r="AB94">
        <f t="shared" si="49"/>
        <v>0.12390212927838694</v>
      </c>
      <c r="AC94">
        <f t="shared" si="53"/>
        <v>1.4993241274331168</v>
      </c>
      <c r="AD94">
        <f t="shared" si="54"/>
        <v>0.14928381797698939</v>
      </c>
      <c r="AE94">
        <f t="shared" si="55"/>
        <v>4.393097586978632</v>
      </c>
      <c r="AF94">
        <f t="shared" si="56"/>
        <v>0.49422347853509607</v>
      </c>
      <c r="AG94">
        <f t="shared" si="57"/>
        <v>2.196548793489316</v>
      </c>
      <c r="AH94">
        <f t="shared" si="58"/>
        <v>1.0076657713446784</v>
      </c>
      <c r="AI94">
        <f t="shared" si="59"/>
        <v>0.49422347853509607</v>
      </c>
    </row>
    <row r="95" spans="5:35" x14ac:dyDescent="0.25">
      <c r="E95">
        <f t="shared" si="50"/>
        <v>2345.9370277834528</v>
      </c>
      <c r="F95">
        <f t="shared" si="30"/>
        <v>0.73078666564544348</v>
      </c>
      <c r="G95">
        <f t="shared" si="31"/>
        <v>4.5424792754870233E-3</v>
      </c>
      <c r="H95">
        <f t="shared" si="32"/>
        <v>0.64359315076751245</v>
      </c>
      <c r="I95">
        <f t="shared" si="33"/>
        <v>7.2404229461345157E-2</v>
      </c>
      <c r="J95">
        <f t="shared" si="34"/>
        <v>0.32179657538375622</v>
      </c>
      <c r="K95">
        <f t="shared" si="35"/>
        <v>3.0661735109537406E-2</v>
      </c>
      <c r="L95">
        <v>94</v>
      </c>
      <c r="M95">
        <f t="shared" si="51"/>
        <v>7.2404229461345157E-2</v>
      </c>
      <c r="N95">
        <f t="shared" si="36"/>
        <v>1.0502290048478167</v>
      </c>
      <c r="O95">
        <f t="shared" si="37"/>
        <v>0.41895876811033106</v>
      </c>
      <c r="P95">
        <f t="shared" si="38"/>
        <v>5.5426925882883307</v>
      </c>
      <c r="Q95">
        <f t="shared" si="39"/>
        <v>0.62355291618243724</v>
      </c>
      <c r="R95">
        <f t="shared" si="40"/>
        <v>2.7713462941441653</v>
      </c>
      <c r="S95">
        <f t="shared" si="41"/>
        <v>2.8279716847447349</v>
      </c>
      <c r="T95">
        <f t="shared" si="42"/>
        <v>0.62355291618243724</v>
      </c>
      <c r="U95">
        <f t="shared" si="52"/>
        <v>469.18740555669052</v>
      </c>
      <c r="V95">
        <f t="shared" si="43"/>
        <v>1.190367932332494</v>
      </c>
      <c r="W95">
        <f t="shared" si="44"/>
        <v>7.3991794281699748E-3</v>
      </c>
      <c r="X95">
        <f t="shared" si="45"/>
        <v>1.0483396648539489</v>
      </c>
      <c r="Y95">
        <f t="shared" si="46"/>
        <v>0.11793821229606925</v>
      </c>
      <c r="Z95">
        <f t="shared" si="47"/>
        <v>0.52416983242697446</v>
      </c>
      <c r="AA95">
        <f t="shared" si="48"/>
        <v>4.9944461140147334E-2</v>
      </c>
      <c r="AB95">
        <f t="shared" si="49"/>
        <v>0.11793821229606925</v>
      </c>
      <c r="AC95">
        <f t="shared" si="53"/>
        <v>1.4739917509397629</v>
      </c>
      <c r="AD95">
        <f t="shared" si="54"/>
        <v>0.13536841314619674</v>
      </c>
      <c r="AE95">
        <f t="shared" si="55"/>
        <v>4.1726247796186851</v>
      </c>
      <c r="AF95">
        <f t="shared" si="56"/>
        <v>0.46942028770710215</v>
      </c>
      <c r="AG95">
        <f t="shared" si="57"/>
        <v>2.0863123898093425</v>
      </c>
      <c r="AH95">
        <f t="shared" si="58"/>
        <v>0.91373678873682807</v>
      </c>
      <c r="AI95">
        <f t="shared" si="59"/>
        <v>0.46942028770710215</v>
      </c>
    </row>
    <row r="96" spans="5:35" x14ac:dyDescent="0.25">
      <c r="E96">
        <f t="shared" si="50"/>
        <v>2463.2338791726256</v>
      </c>
      <c r="F96">
        <f t="shared" si="30"/>
        <v>0.72265430578335632</v>
      </c>
      <c r="G96">
        <f t="shared" si="31"/>
        <v>4.1201187454777974E-3</v>
      </c>
      <c r="H96">
        <f t="shared" si="32"/>
        <v>0.61263032363221015</v>
      </c>
      <c r="I96">
        <f t="shared" si="33"/>
        <v>6.892091140862365E-2</v>
      </c>
      <c r="J96">
        <f t="shared" si="34"/>
        <v>0.30631516181610507</v>
      </c>
      <c r="K96">
        <f t="shared" si="35"/>
        <v>2.7810801531975134E-2</v>
      </c>
      <c r="L96">
        <v>95</v>
      </c>
      <c r="M96">
        <f t="shared" si="51"/>
        <v>6.892091140862365E-2</v>
      </c>
      <c r="N96">
        <f t="shared" si="36"/>
        <v>1.0253878560789771</v>
      </c>
      <c r="O96">
        <f t="shared" si="37"/>
        <v>0.37942149355084925</v>
      </c>
      <c r="P96">
        <f t="shared" si="38"/>
        <v>5.242151627329922</v>
      </c>
      <c r="Q96">
        <f t="shared" si="39"/>
        <v>0.58974205807461633</v>
      </c>
      <c r="R96">
        <f t="shared" si="40"/>
        <v>2.621075813664961</v>
      </c>
      <c r="S96">
        <f t="shared" si="41"/>
        <v>2.5610950814682325</v>
      </c>
      <c r="T96">
        <f t="shared" si="42"/>
        <v>0.58974205807461633</v>
      </c>
      <c r="U96">
        <f t="shared" si="52"/>
        <v>492.64677583452504</v>
      </c>
      <c r="V96">
        <f t="shared" si="43"/>
        <v>1.177121247836046</v>
      </c>
      <c r="W96">
        <f t="shared" si="44"/>
        <v>6.7112024104696204E-3</v>
      </c>
      <c r="X96">
        <f t="shared" si="45"/>
        <v>0.99790475922568966</v>
      </c>
      <c r="Y96">
        <f t="shared" si="46"/>
        <v>0.11226428541289009</v>
      </c>
      <c r="Z96">
        <f t="shared" si="47"/>
        <v>0.49895237961284483</v>
      </c>
      <c r="AA96">
        <f t="shared" si="48"/>
        <v>4.530061627066994E-2</v>
      </c>
      <c r="AB96">
        <f t="shared" si="49"/>
        <v>0.11226428541289009</v>
      </c>
      <c r="AC96">
        <f t="shared" si="53"/>
        <v>1.4494776642483878</v>
      </c>
      <c r="AD96">
        <f t="shared" si="54"/>
        <v>0.12275320159376406</v>
      </c>
      <c r="AE96">
        <f t="shared" si="55"/>
        <v>3.9637528641739799</v>
      </c>
      <c r="AF96">
        <f t="shared" si="56"/>
        <v>0.44592219721957277</v>
      </c>
      <c r="AG96">
        <f t="shared" si="57"/>
        <v>1.9818764320869899</v>
      </c>
      <c r="AH96">
        <f t="shared" si="58"/>
        <v>0.82858411075790728</v>
      </c>
      <c r="AI96">
        <f t="shared" si="59"/>
        <v>0.44592219721957277</v>
      </c>
    </row>
    <row r="97" spans="5:35" x14ac:dyDescent="0.25">
      <c r="E97">
        <f t="shared" si="50"/>
        <v>2586.3955731312572</v>
      </c>
      <c r="F97">
        <f t="shared" si="30"/>
        <v>0.71469327224166246</v>
      </c>
      <c r="G97">
        <f t="shared" si="31"/>
        <v>3.7370330716983676E-3</v>
      </c>
      <c r="H97">
        <f t="shared" si="32"/>
        <v>0.58317153972374403</v>
      </c>
      <c r="I97">
        <f t="shared" si="33"/>
        <v>6.5606798218921195E-2</v>
      </c>
      <c r="J97">
        <f t="shared" si="34"/>
        <v>0.29158576986187201</v>
      </c>
      <c r="K97">
        <f t="shared" si="35"/>
        <v>2.5224973233963981E-2</v>
      </c>
      <c r="L97">
        <v>96</v>
      </c>
      <c r="M97">
        <f t="shared" si="51"/>
        <v>0.05</v>
      </c>
      <c r="N97">
        <f t="shared" si="36"/>
        <v>1.0016720970194031</v>
      </c>
      <c r="O97">
        <f t="shared" si="37"/>
        <v>0.34366541582380056</v>
      </c>
      <c r="P97">
        <f t="shared" si="38"/>
        <v>4.9597716743606526</v>
      </c>
      <c r="Q97">
        <f t="shared" si="39"/>
        <v>0.55797431336557346</v>
      </c>
      <c r="R97">
        <f t="shared" si="40"/>
        <v>2.4798858371803263</v>
      </c>
      <c r="S97">
        <f t="shared" si="41"/>
        <v>2.3197415568106536</v>
      </c>
      <c r="T97">
        <f t="shared" si="42"/>
        <v>0.55797431336557346</v>
      </c>
      <c r="U97">
        <f t="shared" si="52"/>
        <v>517.27911462625127</v>
      </c>
      <c r="V97">
        <f t="shared" si="43"/>
        <v>1.1641536343289138</v>
      </c>
      <c r="W97">
        <f t="shared" si="44"/>
        <v>6.0871996435331692E-3</v>
      </c>
      <c r="X97">
        <f t="shared" si="45"/>
        <v>0.94991976806663636</v>
      </c>
      <c r="Y97">
        <f t="shared" si="46"/>
        <v>0.10686597390749661</v>
      </c>
      <c r="Z97">
        <f t="shared" si="47"/>
        <v>0.47495988403331818</v>
      </c>
      <c r="AA97">
        <f t="shared" si="48"/>
        <v>4.1088597593848891E-2</v>
      </c>
      <c r="AB97">
        <f t="shared" si="49"/>
        <v>0.10686597390749661</v>
      </c>
      <c r="AC97">
        <f t="shared" si="53"/>
        <v>1.4257428599115471</v>
      </c>
      <c r="AD97">
        <f t="shared" si="54"/>
        <v>0.11131615250385944</v>
      </c>
      <c r="AE97">
        <f t="shared" si="55"/>
        <v>3.7658192794306125</v>
      </c>
      <c r="AF97">
        <f t="shared" si="56"/>
        <v>0.42365466893594395</v>
      </c>
      <c r="AG97">
        <f t="shared" si="57"/>
        <v>1.8829096397153062</v>
      </c>
      <c r="AH97">
        <f t="shared" si="58"/>
        <v>0.7513840294010512</v>
      </c>
      <c r="AI97">
        <f t="shared" si="59"/>
        <v>0.42365466893594395</v>
      </c>
    </row>
    <row r="98" spans="5:35" x14ac:dyDescent="0.25">
      <c r="E98">
        <f t="shared" si="50"/>
        <v>2715.7153517878201</v>
      </c>
      <c r="F98">
        <f t="shared" si="30"/>
        <v>0.70689821107073236</v>
      </c>
      <c r="G98">
        <f t="shared" si="31"/>
        <v>3.3895694711683585E-3</v>
      </c>
      <c r="H98">
        <f t="shared" si="32"/>
        <v>0.55514238436834651</v>
      </c>
      <c r="I98">
        <f t="shared" si="33"/>
        <v>6.2453518241438986E-2</v>
      </c>
      <c r="J98">
        <f t="shared" si="34"/>
        <v>0.27757119218417325</v>
      </c>
      <c r="K98">
        <f t="shared" si="35"/>
        <v>2.2879593930386421E-2</v>
      </c>
      <c r="L98">
        <v>97</v>
      </c>
      <c r="M98">
        <f t="shared" si="51"/>
        <v>0.05</v>
      </c>
      <c r="N98">
        <f t="shared" si="36"/>
        <v>0.97900695611211752</v>
      </c>
      <c r="O98">
        <f t="shared" si="37"/>
        <v>0.31131994436169991</v>
      </c>
      <c r="P98">
        <f t="shared" si="38"/>
        <v>4.6942616776465425</v>
      </c>
      <c r="Q98">
        <f t="shared" si="39"/>
        <v>0.52810443873523605</v>
      </c>
      <c r="R98">
        <f t="shared" si="40"/>
        <v>2.3471308388232712</v>
      </c>
      <c r="S98">
        <f t="shared" si="41"/>
        <v>2.1014096244414744</v>
      </c>
      <c r="T98">
        <f t="shared" si="42"/>
        <v>0.52810443873523605</v>
      </c>
      <c r="U98">
        <f t="shared" si="52"/>
        <v>543.14307035756383</v>
      </c>
      <c r="V98">
        <f t="shared" si="43"/>
        <v>1.1514563708392334</v>
      </c>
      <c r="W98">
        <f t="shared" si="44"/>
        <v>5.5212211614840976E-3</v>
      </c>
      <c r="X98">
        <f t="shared" si="45"/>
        <v>0.9042634783805592</v>
      </c>
      <c r="Y98">
        <f t="shared" si="46"/>
        <v>0.10172964131781291</v>
      </c>
      <c r="Z98">
        <f t="shared" si="47"/>
        <v>0.4521317391902796</v>
      </c>
      <c r="AA98">
        <f t="shared" si="48"/>
        <v>3.7268242840017653E-2</v>
      </c>
      <c r="AB98">
        <f t="shared" si="49"/>
        <v>0.10172964131781291</v>
      </c>
      <c r="AC98">
        <f t="shared" si="53"/>
        <v>1.4027507709885403</v>
      </c>
      <c r="AD98">
        <f t="shared" si="54"/>
        <v>0.10094678542255373</v>
      </c>
      <c r="AE98">
        <f t="shared" si="55"/>
        <v>3.5782043642045802</v>
      </c>
      <c r="AF98">
        <f t="shared" si="56"/>
        <v>0.40254799097301525</v>
      </c>
      <c r="AG98">
        <f t="shared" si="57"/>
        <v>1.7891021821022901</v>
      </c>
      <c r="AH98">
        <f t="shared" si="58"/>
        <v>0.68139080160223764</v>
      </c>
      <c r="AI98">
        <f t="shared" si="59"/>
        <v>0.40254799097301525</v>
      </c>
    </row>
    <row r="99" spans="5:35" x14ac:dyDescent="0.25">
      <c r="E99">
        <f t="shared" si="50"/>
        <v>2851.5011193772111</v>
      </c>
      <c r="F99">
        <f t="shared" si="30"/>
        <v>0.69926398910234766</v>
      </c>
      <c r="G99">
        <f t="shared" si="31"/>
        <v>3.0744150066067118E-3</v>
      </c>
      <c r="H99">
        <f t="shared" si="32"/>
        <v>0.52847225161303379</v>
      </c>
      <c r="I99">
        <f t="shared" si="33"/>
        <v>5.9453128306466298E-2</v>
      </c>
      <c r="J99">
        <f t="shared" si="34"/>
        <v>0.2642361258065169</v>
      </c>
      <c r="K99">
        <f t="shared" si="35"/>
        <v>2.0752301294595304E-2</v>
      </c>
      <c r="L99">
        <v>98</v>
      </c>
      <c r="M99">
        <f t="shared" si="51"/>
        <v>0.05</v>
      </c>
      <c r="N99">
        <f t="shared" si="36"/>
        <v>0.95732414210346872</v>
      </c>
      <c r="O99">
        <f t="shared" si="37"/>
        <v>0.28205241415153381</v>
      </c>
      <c r="P99">
        <f t="shared" si="38"/>
        <v>4.4444424946080181</v>
      </c>
      <c r="Q99">
        <f t="shared" si="39"/>
        <v>0.49999978064340195</v>
      </c>
      <c r="R99">
        <f t="shared" si="40"/>
        <v>2.2222212473040091</v>
      </c>
      <c r="S99">
        <f t="shared" si="41"/>
        <v>1.9038537955228532</v>
      </c>
      <c r="T99">
        <f t="shared" si="42"/>
        <v>0.49999978064340195</v>
      </c>
      <c r="U99">
        <f t="shared" si="52"/>
        <v>570.30022387544204</v>
      </c>
      <c r="V99">
        <f t="shared" si="43"/>
        <v>1.1390210960228198</v>
      </c>
      <c r="W99">
        <f t="shared" si="44"/>
        <v>5.00787056823776E-3</v>
      </c>
      <c r="X99">
        <f t="shared" si="45"/>
        <v>0.86082088114195898</v>
      </c>
      <c r="Y99">
        <f t="shared" si="46"/>
        <v>9.6842349128470367E-2</v>
      </c>
      <c r="Z99">
        <f t="shared" si="47"/>
        <v>0.43041044057097949</v>
      </c>
      <c r="AA99">
        <f t="shared" si="48"/>
        <v>3.380312633560488E-2</v>
      </c>
      <c r="AB99">
        <f t="shared" si="49"/>
        <v>9.6842349128470367E-2</v>
      </c>
      <c r="AC99">
        <f t="shared" si="53"/>
        <v>1.3804670831214676</v>
      </c>
      <c r="AD99">
        <f t="shared" si="54"/>
        <v>9.1545059798980422E-2</v>
      </c>
      <c r="AE99">
        <f t="shared" si="55"/>
        <v>3.4003280958265503</v>
      </c>
      <c r="AF99">
        <f t="shared" si="56"/>
        <v>0.38253691078048691</v>
      </c>
      <c r="AG99">
        <f t="shared" si="57"/>
        <v>1.7001640479132751</v>
      </c>
      <c r="AH99">
        <f t="shared" si="58"/>
        <v>0.61792915364311785</v>
      </c>
      <c r="AI99">
        <f t="shared" si="59"/>
        <v>0.38253691078048691</v>
      </c>
    </row>
    <row r="100" spans="5:35" x14ac:dyDescent="0.25">
      <c r="E100">
        <f t="shared" si="50"/>
        <v>2994.076175346072</v>
      </c>
      <c r="F100">
        <f t="shared" si="30"/>
        <v>0.69178568268533613</v>
      </c>
      <c r="G100">
        <f t="shared" si="31"/>
        <v>2.7885649474278184E-3</v>
      </c>
      <c r="H100">
        <f t="shared" si="32"/>
        <v>0.50309413745225862</v>
      </c>
      <c r="I100">
        <f t="shared" si="33"/>
        <v>5.6598090463379089E-2</v>
      </c>
      <c r="J100">
        <f t="shared" si="34"/>
        <v>0.25154706872612931</v>
      </c>
      <c r="K100">
        <f t="shared" si="35"/>
        <v>1.8822813395137774E-2</v>
      </c>
      <c r="L100">
        <v>99</v>
      </c>
      <c r="M100">
        <f t="shared" si="51"/>
        <v>0.05</v>
      </c>
      <c r="N100">
        <f t="shared" si="36"/>
        <v>0.9365611568878639</v>
      </c>
      <c r="O100">
        <f t="shared" si="37"/>
        <v>0.25556391996931277</v>
      </c>
      <c r="P100">
        <f t="shared" si="38"/>
        <v>4.2092351002448183</v>
      </c>
      <c r="Q100">
        <f t="shared" si="39"/>
        <v>0.47353894877754205</v>
      </c>
      <c r="R100">
        <f t="shared" si="40"/>
        <v>2.1046175501224091</v>
      </c>
      <c r="S100">
        <f t="shared" si="41"/>
        <v>1.7250564597928615</v>
      </c>
      <c r="T100">
        <f t="shared" si="42"/>
        <v>0.47353894877754205</v>
      </c>
      <c r="U100">
        <f t="shared" si="52"/>
        <v>598.81523506921417</v>
      </c>
      <c r="V100">
        <f t="shared" si="43"/>
        <v>1.126839789814795</v>
      </c>
      <c r="W100">
        <f t="shared" si="44"/>
        <v>4.5422535011811656E-3</v>
      </c>
      <c r="X100">
        <f t="shared" si="45"/>
        <v>0.81948283448592341</v>
      </c>
      <c r="Y100">
        <f t="shared" si="46"/>
        <v>9.2191818879666376E-2</v>
      </c>
      <c r="Z100">
        <f t="shared" si="47"/>
        <v>0.4097414172429617</v>
      </c>
      <c r="AA100">
        <f t="shared" si="48"/>
        <v>3.0660211132972869E-2</v>
      </c>
      <c r="AB100">
        <f t="shared" si="49"/>
        <v>9.2191818879666376E-2</v>
      </c>
      <c r="AC100">
        <f t="shared" si="53"/>
        <v>1.3588595637124901</v>
      </c>
      <c r="AD100">
        <f t="shared" si="54"/>
        <v>8.3020374322828119E-2</v>
      </c>
      <c r="AE100">
        <f t="shared" si="55"/>
        <v>3.2316471218378964</v>
      </c>
      <c r="AF100">
        <f t="shared" si="56"/>
        <v>0.36356030120676341</v>
      </c>
      <c r="AG100">
        <f t="shared" si="57"/>
        <v>1.6158235609189482</v>
      </c>
      <c r="AH100">
        <f t="shared" si="58"/>
        <v>0.56038752667908986</v>
      </c>
      <c r="AI100">
        <f t="shared" si="59"/>
        <v>0.36356030120676341</v>
      </c>
    </row>
    <row r="101" spans="5:35" x14ac:dyDescent="0.25">
      <c r="E101">
        <f t="shared" si="50"/>
        <v>3143.7799841133756</v>
      </c>
      <c r="F101">
        <f t="shared" si="30"/>
        <v>0.68445856710390218</v>
      </c>
      <c r="G101">
        <f t="shared" si="31"/>
        <v>2.529294079925123E-3</v>
      </c>
      <c r="H101">
        <f t="shared" si="32"/>
        <v>0.47894444536755043</v>
      </c>
      <c r="I101">
        <f t="shared" si="33"/>
        <v>5.3881250103849421E-2</v>
      </c>
      <c r="J101">
        <f t="shared" si="34"/>
        <v>0.23947222268377522</v>
      </c>
      <c r="K101">
        <f t="shared" si="35"/>
        <v>1.707273503949458E-2</v>
      </c>
      <c r="L101">
        <v>100</v>
      </c>
      <c r="M101">
        <f t="shared" si="51"/>
        <v>0.05</v>
      </c>
      <c r="N101">
        <f t="shared" si="36"/>
        <v>0.91666069397376115</v>
      </c>
      <c r="O101">
        <f t="shared" si="37"/>
        <v>0.23158565766951761</v>
      </c>
      <c r="P101">
        <f t="shared" si="38"/>
        <v>3.9876502624500847</v>
      </c>
      <c r="Q101">
        <f t="shared" si="39"/>
        <v>0.44861065452563453</v>
      </c>
      <c r="R101">
        <f t="shared" si="40"/>
        <v>1.9938251312250423</v>
      </c>
      <c r="S101">
        <f t="shared" si="41"/>
        <v>1.563203189269244</v>
      </c>
      <c r="T101">
        <f t="shared" si="42"/>
        <v>0.44861065452563453</v>
      </c>
      <c r="U101">
        <f t="shared" si="52"/>
        <v>628.75599682267489</v>
      </c>
      <c r="V101">
        <f t="shared" si="43"/>
        <v>1.1149047561932806</v>
      </c>
      <c r="W101">
        <f t="shared" si="44"/>
        <v>4.1199308987419827E-3</v>
      </c>
      <c r="X101">
        <f t="shared" si="45"/>
        <v>0.78014574695443351</v>
      </c>
      <c r="Y101">
        <f t="shared" si="46"/>
        <v>8.7766396532373753E-2</v>
      </c>
      <c r="Z101">
        <f t="shared" si="47"/>
        <v>0.39007287347721675</v>
      </c>
      <c r="AA101">
        <f t="shared" si="48"/>
        <v>2.7809533566508379E-2</v>
      </c>
      <c r="AB101">
        <f t="shared" si="49"/>
        <v>8.7766396532373753E-2</v>
      </c>
      <c r="AC101">
        <f t="shared" si="53"/>
        <v>1.337897906413966</v>
      </c>
      <c r="AD101">
        <f t="shared" si="54"/>
        <v>7.5290664671441188E-2</v>
      </c>
      <c r="AE101">
        <f t="shared" si="55"/>
        <v>3.0716520543155212</v>
      </c>
      <c r="AF101">
        <f t="shared" si="56"/>
        <v>0.34556085611049614</v>
      </c>
      <c r="AG101">
        <f t="shared" si="57"/>
        <v>1.5358260271577606</v>
      </c>
      <c r="AH101">
        <f t="shared" si="58"/>
        <v>0.5082119865322281</v>
      </c>
      <c r="AI101">
        <f t="shared" si="59"/>
        <v>0.34556085611049614</v>
      </c>
    </row>
    <row r="102" spans="5:35" x14ac:dyDescent="0.25">
      <c r="E102">
        <f t="shared" si="50"/>
        <v>3300.9689833190446</v>
      </c>
      <c r="F102">
        <f t="shared" si="30"/>
        <v>0.67727810663086585</v>
      </c>
      <c r="G102">
        <f t="shared" si="31"/>
        <v>2.2941306910900135E-3</v>
      </c>
      <c r="H102">
        <f t="shared" si="32"/>
        <v>0.45596280334985639</v>
      </c>
      <c r="I102">
        <f t="shared" si="33"/>
        <v>5.1295815376858837E-2</v>
      </c>
      <c r="J102">
        <f t="shared" si="34"/>
        <v>0.2279814016749282</v>
      </c>
      <c r="K102">
        <f t="shared" si="35"/>
        <v>1.5485382164857592E-2</v>
      </c>
      <c r="L102">
        <v>101</v>
      </c>
      <c r="M102">
        <f t="shared" si="51"/>
        <v>0.05</v>
      </c>
      <c r="N102">
        <f t="shared" si="36"/>
        <v>0.89757011037740586</v>
      </c>
      <c r="O102">
        <f t="shared" si="37"/>
        <v>0.20987570249815257</v>
      </c>
      <c r="P102">
        <f t="shared" si="38"/>
        <v>3.7787794752407144</v>
      </c>
      <c r="Q102">
        <f t="shared" si="39"/>
        <v>0.42511269096458032</v>
      </c>
      <c r="R102">
        <f t="shared" si="40"/>
        <v>1.8893897376203572</v>
      </c>
      <c r="S102">
        <f t="shared" si="41"/>
        <v>1.4166609918625301</v>
      </c>
      <c r="T102">
        <f t="shared" si="42"/>
        <v>0.42511269096458032</v>
      </c>
      <c r="U102">
        <f t="shared" si="52"/>
        <v>660.19379666380871</v>
      </c>
      <c r="V102">
        <f t="shared" si="43"/>
        <v>1.1032086069772378</v>
      </c>
      <c r="W102">
        <f t="shared" si="44"/>
        <v>3.7368766230037793E-3</v>
      </c>
      <c r="X102">
        <f t="shared" si="45"/>
        <v>0.74271127944667426</v>
      </c>
      <c r="Y102">
        <f t="shared" si="46"/>
        <v>8.3555018937750858E-2</v>
      </c>
      <c r="Z102">
        <f t="shared" si="47"/>
        <v>0.37135563972333713</v>
      </c>
      <c r="AA102">
        <f t="shared" si="48"/>
        <v>2.5223917205275514E-2</v>
      </c>
      <c r="AB102">
        <f t="shared" si="49"/>
        <v>8.3555018937750858E-2</v>
      </c>
      <c r="AC102">
        <f t="shared" si="53"/>
        <v>1.3175535893534192</v>
      </c>
      <c r="AD102">
        <f t="shared" si="54"/>
        <v>6.8281589551661859E-2</v>
      </c>
      <c r="AE102">
        <f t="shared" si="55"/>
        <v>2.9198649998494619</v>
      </c>
      <c r="AF102">
        <f t="shared" si="56"/>
        <v>0.32848481248306444</v>
      </c>
      <c r="AG102">
        <f t="shared" si="57"/>
        <v>1.459932499924731</v>
      </c>
      <c r="AH102">
        <f t="shared" si="58"/>
        <v>0.46090072947371757</v>
      </c>
      <c r="AI102">
        <f t="shared" si="59"/>
        <v>0.32848481248306444</v>
      </c>
    </row>
    <row r="103" spans="5:35" x14ac:dyDescent="0.25">
      <c r="E103">
        <f t="shared" si="50"/>
        <v>3466.0174324849968</v>
      </c>
      <c r="F103">
        <f t="shared" si="30"/>
        <v>0.67023994517177943</v>
      </c>
      <c r="G103">
        <f t="shared" si="31"/>
        <v>2.0808329763742184E-3</v>
      </c>
      <c r="H103">
        <f t="shared" si="32"/>
        <v>0.43409189163857481</v>
      </c>
      <c r="I103">
        <f t="shared" si="33"/>
        <v>4.8835337809339671E-2</v>
      </c>
      <c r="J103">
        <f t="shared" si="34"/>
        <v>0.21704594581928741</v>
      </c>
      <c r="K103">
        <f t="shared" si="35"/>
        <v>1.4045622590525973E-2</v>
      </c>
      <c r="L103">
        <v>102</v>
      </c>
      <c r="M103">
        <f t="shared" si="51"/>
        <v>0.05</v>
      </c>
      <c r="N103">
        <f t="shared" si="36"/>
        <v>0.87924096169586319</v>
      </c>
      <c r="O103">
        <f t="shared" si="37"/>
        <v>0.19021616540478029</v>
      </c>
      <c r="P103">
        <f t="shared" si="38"/>
        <v>3.581786974274261</v>
      </c>
      <c r="Q103">
        <f t="shared" si="39"/>
        <v>0.4029510346058543</v>
      </c>
      <c r="R103">
        <f t="shared" si="40"/>
        <v>1.7908934871371305</v>
      </c>
      <c r="S103">
        <f t="shared" si="41"/>
        <v>1.283959116482267</v>
      </c>
      <c r="T103">
        <f t="shared" si="42"/>
        <v>0.4029510346058543</v>
      </c>
      <c r="U103">
        <f t="shared" si="52"/>
        <v>693.20348649699918</v>
      </c>
      <c r="V103">
        <f t="shared" si="43"/>
        <v>1.0917442465868148</v>
      </c>
      <c r="W103">
        <f t="shared" si="44"/>
        <v>3.3894390306480997E-3</v>
      </c>
      <c r="X103">
        <f t="shared" si="45"/>
        <v>0.70708606462561452</v>
      </c>
      <c r="Y103">
        <f t="shared" si="46"/>
        <v>7.9547182270381642E-2</v>
      </c>
      <c r="Z103">
        <f t="shared" si="47"/>
        <v>0.35354303231280726</v>
      </c>
      <c r="AA103">
        <f t="shared" si="48"/>
        <v>2.2878713456874675E-2</v>
      </c>
      <c r="AB103">
        <f t="shared" si="49"/>
        <v>7.9547182270381642E-2</v>
      </c>
      <c r="AC103">
        <f t="shared" si="53"/>
        <v>1.297799745698744</v>
      </c>
      <c r="AD103">
        <f t="shared" si="54"/>
        <v>6.1925796036272782E-2</v>
      </c>
      <c r="AE103">
        <f t="shared" si="55"/>
        <v>2.7758373013323054</v>
      </c>
      <c r="AF103">
        <f t="shared" si="56"/>
        <v>0.3122816963998844</v>
      </c>
      <c r="AG103">
        <f t="shared" si="57"/>
        <v>1.3879186506661527</v>
      </c>
      <c r="AH103">
        <f t="shared" si="58"/>
        <v>0.41799912324484129</v>
      </c>
      <c r="AI103">
        <f t="shared" si="59"/>
        <v>0.3122816963998844</v>
      </c>
    </row>
    <row r="104" spans="5:35" x14ac:dyDescent="0.25">
      <c r="E104">
        <f t="shared" si="50"/>
        <v>3639.3183041092466</v>
      </c>
      <c r="F104">
        <f t="shared" si="30"/>
        <v>0.66333989745941424</v>
      </c>
      <c r="G104">
        <f t="shared" si="31"/>
        <v>1.8873676451170258E-3</v>
      </c>
      <c r="H104">
        <f t="shared" si="32"/>
        <v>0.41327728046989726</v>
      </c>
      <c r="I104">
        <f t="shared" si="33"/>
        <v>4.6493694052863445E-2</v>
      </c>
      <c r="J104">
        <f t="shared" si="34"/>
        <v>0.20663864023494863</v>
      </c>
      <c r="K104">
        <f t="shared" si="35"/>
        <v>1.2739731604539924E-2</v>
      </c>
      <c r="L104">
        <v>103</v>
      </c>
      <c r="M104">
        <f t="shared" si="51"/>
        <v>0.05</v>
      </c>
      <c r="N104">
        <f t="shared" si="36"/>
        <v>0.86162859171361983</v>
      </c>
      <c r="O104">
        <f t="shared" si="37"/>
        <v>0.1724106773985056</v>
      </c>
      <c r="P104">
        <f t="shared" si="38"/>
        <v>3.3959026864990371</v>
      </c>
      <c r="Q104">
        <f t="shared" si="39"/>
        <v>0.38203905223114171</v>
      </c>
      <c r="R104">
        <f t="shared" si="40"/>
        <v>1.6979513432495186</v>
      </c>
      <c r="S104">
        <f t="shared" si="41"/>
        <v>1.1637720724399128</v>
      </c>
      <c r="T104">
        <f t="shared" si="42"/>
        <v>0.38203905223114171</v>
      </c>
      <c r="U104">
        <f t="shared" si="52"/>
        <v>727.86366082184918</v>
      </c>
      <c r="V104">
        <f t="shared" si="43"/>
        <v>1.0805048577001699</v>
      </c>
      <c r="W104">
        <f t="shared" si="44"/>
        <v>3.0743061236413131E-3</v>
      </c>
      <c r="X104">
        <f t="shared" si="45"/>
        <v>0.67318144262860535</v>
      </c>
      <c r="Y104">
        <f t="shared" si="46"/>
        <v>7.5732912295718102E-2</v>
      </c>
      <c r="Z104">
        <f t="shared" si="47"/>
        <v>0.33659072131430268</v>
      </c>
      <c r="AA104">
        <f t="shared" si="48"/>
        <v>2.0751566334578864E-2</v>
      </c>
      <c r="AB104">
        <f t="shared" si="49"/>
        <v>7.5732912295718102E-2</v>
      </c>
      <c r="AC104">
        <f t="shared" si="53"/>
        <v>1.2786110453283885</v>
      </c>
      <c r="AD104">
        <f t="shared" si="54"/>
        <v>5.6162256174278766E-2</v>
      </c>
      <c r="AE104">
        <f t="shared" si="55"/>
        <v>2.6391474704504834</v>
      </c>
      <c r="AF104">
        <f t="shared" si="56"/>
        <v>0.29690409042567933</v>
      </c>
      <c r="AG104">
        <f t="shared" si="57"/>
        <v>1.3195737352252417</v>
      </c>
      <c r="AH104">
        <f t="shared" si="58"/>
        <v>0.37909522917638167</v>
      </c>
      <c r="AI104">
        <f t="shared" si="59"/>
        <v>0.29690409042567933</v>
      </c>
    </row>
    <row r="105" spans="5:35" x14ac:dyDescent="0.25">
      <c r="E105">
        <f t="shared" si="50"/>
        <v>3821.2842193147089</v>
      </c>
      <c r="F105">
        <f t="shared" si="30"/>
        <v>0.65657394076116471</v>
      </c>
      <c r="G105">
        <f t="shared" si="31"/>
        <v>1.7118905185597576E-3</v>
      </c>
      <c r="H105">
        <f t="shared" si="32"/>
        <v>0.3934672771805986</v>
      </c>
      <c r="I105">
        <f t="shared" si="33"/>
        <v>4.4265068682817342E-2</v>
      </c>
      <c r="J105">
        <f t="shared" si="34"/>
        <v>0.1967336385902993</v>
      </c>
      <c r="K105">
        <f t="shared" si="35"/>
        <v>1.1555261000278363E-2</v>
      </c>
      <c r="L105">
        <v>104</v>
      </c>
      <c r="M105">
        <f t="shared" si="51"/>
        <v>0.05</v>
      </c>
      <c r="N105">
        <f t="shared" si="36"/>
        <v>0.84469176922321254</v>
      </c>
      <c r="O105">
        <f t="shared" si="37"/>
        <v>0.15628215949902555</v>
      </c>
      <c r="P105">
        <f t="shared" si="38"/>
        <v>3.2204159885187917</v>
      </c>
      <c r="Q105">
        <f t="shared" si="39"/>
        <v>0.36229679870836412</v>
      </c>
      <c r="R105">
        <f t="shared" si="40"/>
        <v>1.6102079942593959</v>
      </c>
      <c r="S105">
        <f t="shared" si="41"/>
        <v>1.0549045766184224</v>
      </c>
      <c r="T105">
        <f t="shared" si="42"/>
        <v>0.36229679870836412</v>
      </c>
      <c r="U105">
        <f t="shared" si="52"/>
        <v>764.25684386294165</v>
      </c>
      <c r="V105">
        <f t="shared" si="43"/>
        <v>1.0694838877457808</v>
      </c>
      <c r="W105">
        <f t="shared" si="44"/>
        <v>2.7884739456182851E-3</v>
      </c>
      <c r="X105">
        <f t="shared" si="45"/>
        <v>0.64091321201693274</v>
      </c>
      <c r="Y105">
        <f t="shared" si="46"/>
        <v>7.2102736351904936E-2</v>
      </c>
      <c r="Z105">
        <f t="shared" si="47"/>
        <v>0.32045660600846637</v>
      </c>
      <c r="AA105">
        <f t="shared" si="48"/>
        <v>1.8822199132923427E-2</v>
      </c>
      <c r="AB105">
        <f t="shared" si="49"/>
        <v>7.2102736351904936E-2</v>
      </c>
      <c r="AC105">
        <f t="shared" si="53"/>
        <v>1.2599635865106114</v>
      </c>
      <c r="AD105">
        <f t="shared" si="54"/>
        <v>5.093566771670914E-2</v>
      </c>
      <c r="AE105">
        <f t="shared" si="55"/>
        <v>2.5093992921515418</v>
      </c>
      <c r="AF105">
        <f t="shared" si="56"/>
        <v>0.28230742036704848</v>
      </c>
      <c r="AG105">
        <f t="shared" si="57"/>
        <v>1.2546996460757709</v>
      </c>
      <c r="AH105">
        <f t="shared" si="58"/>
        <v>0.34381575708778661</v>
      </c>
      <c r="AI105">
        <f t="shared" si="59"/>
        <v>0.28230742036704848</v>
      </c>
    </row>
    <row r="106" spans="5:35" x14ac:dyDescent="0.25">
      <c r="E106">
        <f t="shared" si="50"/>
        <v>4012.3484302804445</v>
      </c>
      <c r="F106">
        <f t="shared" si="30"/>
        <v>0.64993820706489103</v>
      </c>
      <c r="G106">
        <f t="shared" si="31"/>
        <v>1.5527289345708187E-3</v>
      </c>
      <c r="H106">
        <f t="shared" si="32"/>
        <v>0.37461278206232879</v>
      </c>
      <c r="I106">
        <f t="shared" si="33"/>
        <v>4.2143937982011992E-2</v>
      </c>
      <c r="J106">
        <f t="shared" si="34"/>
        <v>0.18730639103116439</v>
      </c>
      <c r="K106">
        <f t="shared" si="35"/>
        <v>1.0480920308353027E-2</v>
      </c>
      <c r="L106">
        <v>105</v>
      </c>
      <c r="M106">
        <f t="shared" si="51"/>
        <v>0.05</v>
      </c>
      <c r="N106">
        <f t="shared" si="36"/>
        <v>0.82839236584207832</v>
      </c>
      <c r="O106">
        <f t="shared" si="37"/>
        <v>0.14167084207245034</v>
      </c>
      <c r="P106">
        <f t="shared" si="38"/>
        <v>3.0546701671382004</v>
      </c>
      <c r="Q106">
        <f t="shared" si="39"/>
        <v>0.34365039380304752</v>
      </c>
      <c r="R106">
        <f t="shared" si="40"/>
        <v>1.5273350835691002</v>
      </c>
      <c r="S106">
        <f t="shared" si="41"/>
        <v>0.95627818398903996</v>
      </c>
      <c r="T106">
        <f t="shared" si="42"/>
        <v>0.34365039380304752</v>
      </c>
      <c r="U106">
        <f t="shared" si="52"/>
        <v>802.46968605608879</v>
      </c>
      <c r="V106">
        <f t="shared" si="43"/>
        <v>1.0586750361740764</v>
      </c>
      <c r="W106">
        <f t="shared" si="44"/>
        <v>2.529217921191043E-3</v>
      </c>
      <c r="X106">
        <f t="shared" si="45"/>
        <v>0.61020139497893966</v>
      </c>
      <c r="Y106">
        <f t="shared" si="46"/>
        <v>6.864765693513071E-2</v>
      </c>
      <c r="Z106">
        <f t="shared" si="47"/>
        <v>0.30510069748946983</v>
      </c>
      <c r="AA106">
        <f t="shared" si="48"/>
        <v>1.7072220968039536E-2</v>
      </c>
      <c r="AB106">
        <f t="shared" si="49"/>
        <v>6.864765693513071E-2</v>
      </c>
      <c r="AC106">
        <f t="shared" si="53"/>
        <v>1.2418347966178531</v>
      </c>
      <c r="AD106">
        <f t="shared" si="54"/>
        <v>4.6195912560738545E-2</v>
      </c>
      <c r="AE106">
        <f t="shared" si="55"/>
        <v>2.3862200844467565</v>
      </c>
      <c r="AF106">
        <f t="shared" si="56"/>
        <v>0.26844975950026012</v>
      </c>
      <c r="AG106">
        <f t="shared" si="57"/>
        <v>1.1931100422233782</v>
      </c>
      <c r="AH106">
        <f t="shared" si="58"/>
        <v>0.31182240978498516</v>
      </c>
      <c r="AI106">
        <f t="shared" si="59"/>
        <v>0.26844975950026012</v>
      </c>
    </row>
    <row r="107" spans="5:35" x14ac:dyDescent="0.25">
      <c r="E107">
        <f t="shared" si="50"/>
        <v>4212.9658517944672</v>
      </c>
      <c r="F107">
        <f t="shared" si="30"/>
        <v>0.64342897571127988</v>
      </c>
      <c r="G107">
        <f t="shared" si="31"/>
        <v>1.4083657905965287E-3</v>
      </c>
      <c r="H107">
        <f t="shared" si="32"/>
        <v>0.35666715240620972</v>
      </c>
      <c r="I107">
        <f t="shared" si="33"/>
        <v>4.0125054645698592E-2</v>
      </c>
      <c r="J107">
        <f t="shared" si="34"/>
        <v>0.17833357620310486</v>
      </c>
      <c r="K107">
        <f t="shared" si="35"/>
        <v>9.5064690865265689E-3</v>
      </c>
      <c r="L107">
        <v>106</v>
      </c>
      <c r="M107">
        <f t="shared" si="51"/>
        <v>0.05</v>
      </c>
      <c r="N107">
        <f t="shared" si="36"/>
        <v>0.81269506952629877</v>
      </c>
      <c r="O107">
        <f t="shared" si="37"/>
        <v>0.1284325025481495</v>
      </c>
      <c r="P107">
        <f t="shared" si="38"/>
        <v>2.8980574913015227</v>
      </c>
      <c r="Q107">
        <f t="shared" si="39"/>
        <v>0.32603146777142128</v>
      </c>
      <c r="R107">
        <f t="shared" si="40"/>
        <v>1.4490287456507613</v>
      </c>
      <c r="S107">
        <f t="shared" si="41"/>
        <v>0.86691939220000902</v>
      </c>
      <c r="T107">
        <f t="shared" si="42"/>
        <v>0.1</v>
      </c>
      <c r="U107">
        <f t="shared" si="52"/>
        <v>842.5931703588933</v>
      </c>
      <c r="V107">
        <f t="shared" si="43"/>
        <v>1.0480722424563935</v>
      </c>
      <c r="W107">
        <f t="shared" si="44"/>
        <v>2.2940668637399372E-3</v>
      </c>
      <c r="X107">
        <f t="shared" si="45"/>
        <v>0.58097001587421571</v>
      </c>
      <c r="Y107">
        <f t="shared" si="46"/>
        <v>6.5359126785849264E-2</v>
      </c>
      <c r="Z107">
        <f t="shared" si="47"/>
        <v>0.29048500793710785</v>
      </c>
      <c r="AA107">
        <f t="shared" si="48"/>
        <v>1.5484951330244578E-2</v>
      </c>
      <c r="AB107">
        <f t="shared" si="49"/>
        <v>6.5359126785849264E-2</v>
      </c>
      <c r="AC107">
        <f t="shared" si="53"/>
        <v>1.2242033410090174</v>
      </c>
      <c r="AD107">
        <f t="shared" si="54"/>
        <v>4.1897567188001188E-2</v>
      </c>
      <c r="AE107">
        <f t="shared" si="55"/>
        <v>2.269259098735918</v>
      </c>
      <c r="AF107">
        <f t="shared" si="56"/>
        <v>0.2552916486077908</v>
      </c>
      <c r="AG107">
        <f t="shared" si="57"/>
        <v>1.134629549367959</v>
      </c>
      <c r="AH107">
        <f t="shared" si="58"/>
        <v>0.28280857851900804</v>
      </c>
      <c r="AI107">
        <f t="shared" si="59"/>
        <v>0.2552916486077908</v>
      </c>
    </row>
    <row r="108" spans="5:35" x14ac:dyDescent="0.25">
      <c r="E108">
        <f t="shared" si="50"/>
        <v>4423.6141443841907</v>
      </c>
      <c r="F108">
        <f t="shared" si="30"/>
        <v>0.63704266644323138</v>
      </c>
      <c r="G108">
        <f t="shared" si="31"/>
        <v>1.2774250721082478E-3</v>
      </c>
      <c r="H108">
        <f t="shared" si="32"/>
        <v>0.33958607421851655</v>
      </c>
      <c r="I108">
        <f t="shared" si="33"/>
        <v>3.8203433349583114E-2</v>
      </c>
      <c r="J108">
        <f t="shared" si="34"/>
        <v>0.16979303710925828</v>
      </c>
      <c r="K108">
        <f t="shared" si="35"/>
        <v>8.622619236730673E-3</v>
      </c>
      <c r="L108">
        <v>107</v>
      </c>
      <c r="M108">
        <f t="shared" si="51"/>
        <v>0.05</v>
      </c>
      <c r="N108">
        <f t="shared" si="36"/>
        <v>0.79756712925065165</v>
      </c>
      <c r="O108">
        <f t="shared" si="37"/>
        <v>0.11643689487561068</v>
      </c>
      <c r="P108">
        <f t="shared" si="38"/>
        <v>2.7500148178130481</v>
      </c>
      <c r="Q108">
        <f t="shared" si="39"/>
        <v>0.30937666700396793</v>
      </c>
      <c r="R108">
        <f t="shared" si="40"/>
        <v>1.3750074089065241</v>
      </c>
      <c r="S108">
        <f t="shared" si="41"/>
        <v>0.78594904041037217</v>
      </c>
      <c r="T108">
        <f t="shared" si="42"/>
        <v>0.1</v>
      </c>
      <c r="U108">
        <f t="shared" si="52"/>
        <v>884.72282887683798</v>
      </c>
      <c r="V108">
        <f t="shared" si="43"/>
        <v>1.0376696747632235</v>
      </c>
      <c r="W108">
        <f t="shared" si="44"/>
        <v>2.0807794029084497E-3</v>
      </c>
      <c r="X108">
        <f t="shared" si="45"/>
        <v>0.55314689227310887</v>
      </c>
      <c r="Y108">
        <f t="shared" si="46"/>
        <v>6.2229025380724751E-2</v>
      </c>
      <c r="Z108">
        <f t="shared" si="47"/>
        <v>0.27657344613655443</v>
      </c>
      <c r="AA108">
        <f t="shared" si="48"/>
        <v>1.4045260969632037E-2</v>
      </c>
      <c r="AB108">
        <f t="shared" si="49"/>
        <v>6.2229025380724751E-2</v>
      </c>
      <c r="AC108">
        <f t="shared" si="53"/>
        <v>1.2070490393063367</v>
      </c>
      <c r="AD108">
        <f t="shared" si="54"/>
        <v>3.7999459969340746E-2</v>
      </c>
      <c r="AE108">
        <f t="shared" si="55"/>
        <v>2.1581860474457177</v>
      </c>
      <c r="AF108">
        <f t="shared" si="56"/>
        <v>0.24279593033764327</v>
      </c>
      <c r="AG108">
        <f t="shared" si="57"/>
        <v>1.0790930237228589</v>
      </c>
      <c r="AH108">
        <f t="shared" si="58"/>
        <v>0.25649635479305005</v>
      </c>
      <c r="AI108">
        <f t="shared" si="59"/>
        <v>0.24279593033764327</v>
      </c>
    </row>
    <row r="109" spans="5:35" x14ac:dyDescent="0.25">
      <c r="E109">
        <f t="shared" si="50"/>
        <v>4644.7948516034003</v>
      </c>
      <c r="F109">
        <f t="shared" si="30"/>
        <v>0.63077583284501393</v>
      </c>
      <c r="G109">
        <f t="shared" si="31"/>
        <v>1.1586587280906231E-3</v>
      </c>
      <c r="H109">
        <f t="shared" si="32"/>
        <v>0.32332744112578726</v>
      </c>
      <c r="I109">
        <f t="shared" si="33"/>
        <v>3.6374337126651064E-2</v>
      </c>
      <c r="J109">
        <f t="shared" si="34"/>
        <v>0.16166372056289363</v>
      </c>
      <c r="K109">
        <f t="shared" si="35"/>
        <v>7.8209464146117048E-3</v>
      </c>
      <c r="L109">
        <v>108</v>
      </c>
      <c r="M109">
        <f t="shared" si="51"/>
        <v>0.05</v>
      </c>
      <c r="N109">
        <f t="shared" si="36"/>
        <v>0.78297812696973434</v>
      </c>
      <c r="O109">
        <f t="shared" si="37"/>
        <v>0.10556634775033329</v>
      </c>
      <c r="P109">
        <f t="shared" si="38"/>
        <v>2.610019664292111</v>
      </c>
      <c r="Q109">
        <f t="shared" si="39"/>
        <v>0.29362721223286253</v>
      </c>
      <c r="R109">
        <f t="shared" si="40"/>
        <v>1.3050098321460555</v>
      </c>
      <c r="S109">
        <f t="shared" si="41"/>
        <v>0.71257284731474968</v>
      </c>
      <c r="T109">
        <f t="shared" si="42"/>
        <v>0.1</v>
      </c>
      <c r="U109">
        <f t="shared" si="52"/>
        <v>928.9589703206799</v>
      </c>
      <c r="V109">
        <f t="shared" si="43"/>
        <v>1.0274617192773456</v>
      </c>
      <c r="W109">
        <f t="shared" si="44"/>
        <v>1.8873226062739834E-3</v>
      </c>
      <c r="X109">
        <f t="shared" si="45"/>
        <v>0.5266634377069922</v>
      </c>
      <c r="Y109">
        <f t="shared" si="46"/>
        <v>5.9249636742036628E-2</v>
      </c>
      <c r="Z109">
        <f t="shared" si="47"/>
        <v>0.2633317188534961</v>
      </c>
      <c r="AA109">
        <f t="shared" si="48"/>
        <v>1.2739427592349388E-2</v>
      </c>
      <c r="AB109">
        <f t="shared" si="49"/>
        <v>5.9249636742036628E-2</v>
      </c>
      <c r="AC109">
        <f t="shared" si="53"/>
        <v>1.1903527883760356</v>
      </c>
      <c r="AD109">
        <f t="shared" si="54"/>
        <v>3.4464270737597169E-2</v>
      </c>
      <c r="AE109">
        <f t="shared" si="55"/>
        <v>2.0526897471846088</v>
      </c>
      <c r="AF109">
        <f t="shared" si="56"/>
        <v>0.23092759655826844</v>
      </c>
      <c r="AG109">
        <f t="shared" si="57"/>
        <v>1.0263448735923044</v>
      </c>
      <c r="AH109">
        <f t="shared" si="58"/>
        <v>0.23263382747878089</v>
      </c>
      <c r="AI109">
        <f t="shared" si="59"/>
        <v>0.23092759655826844</v>
      </c>
    </row>
    <row r="110" spans="5:35" x14ac:dyDescent="0.25">
      <c r="E110">
        <f t="shared" si="50"/>
        <v>4877.0345941835703</v>
      </c>
      <c r="F110">
        <f t="shared" si="30"/>
        <v>0.62462515614590441</v>
      </c>
      <c r="G110">
        <f t="shared" si="31"/>
        <v>1.0509347680497394E-3</v>
      </c>
      <c r="H110">
        <f t="shared" si="32"/>
        <v>0.30785124002216535</v>
      </c>
      <c r="I110">
        <f t="shared" si="33"/>
        <v>3.4633264502493599E-2</v>
      </c>
      <c r="J110">
        <f t="shared" si="34"/>
        <v>0.15392562001108268</v>
      </c>
      <c r="K110">
        <f t="shared" si="35"/>
        <v>7.0938096843357413E-3</v>
      </c>
      <c r="L110">
        <v>109</v>
      </c>
      <c r="M110">
        <f t="shared" si="51"/>
        <v>0.05</v>
      </c>
      <c r="N110">
        <f t="shared" si="36"/>
        <v>0.76889977351891314</v>
      </c>
      <c r="O110">
        <f t="shared" si="37"/>
        <v>9.5714511736916266E-2</v>
      </c>
      <c r="P110">
        <f t="shared" si="38"/>
        <v>2.4775866921370246</v>
      </c>
      <c r="Q110">
        <f t="shared" si="39"/>
        <v>0.27872850286541528</v>
      </c>
      <c r="R110">
        <f t="shared" si="40"/>
        <v>1.2387933460685123</v>
      </c>
      <c r="S110">
        <f t="shared" si="41"/>
        <v>0.64607295422418487</v>
      </c>
      <c r="T110">
        <f t="shared" si="42"/>
        <v>0.1</v>
      </c>
      <c r="U110">
        <f t="shared" si="52"/>
        <v>975.40691883671388</v>
      </c>
      <c r="V110">
        <f t="shared" si="43"/>
        <v>1.0174429701006649</v>
      </c>
      <c r="W110">
        <f t="shared" si="44"/>
        <v>1.711852590734936E-3</v>
      </c>
      <c r="X110">
        <f t="shared" si="45"/>
        <v>0.50145447540085963</v>
      </c>
      <c r="Y110">
        <f t="shared" si="46"/>
        <v>5.641362848259672E-2</v>
      </c>
      <c r="Z110">
        <f t="shared" si="47"/>
        <v>0.25072723770042982</v>
      </c>
      <c r="AA110">
        <f t="shared" si="48"/>
        <v>1.1555004987460819E-2</v>
      </c>
      <c r="AB110">
        <f t="shared" si="49"/>
        <v>5.641362848259672E-2</v>
      </c>
      <c r="AC110">
        <f t="shared" si="53"/>
        <v>1.174096491394844</v>
      </c>
      <c r="AD110">
        <f t="shared" si="54"/>
        <v>3.1258168500709484E-2</v>
      </c>
      <c r="AE110">
        <f t="shared" si="55"/>
        <v>1.9524768668608057</v>
      </c>
      <c r="AF110">
        <f t="shared" si="56"/>
        <v>0.21965364752184063</v>
      </c>
      <c r="AG110">
        <f t="shared" si="57"/>
        <v>0.97623843343040284</v>
      </c>
      <c r="AH110">
        <f t="shared" si="58"/>
        <v>0.21099263737978902</v>
      </c>
      <c r="AI110">
        <f t="shared" si="59"/>
        <v>0.21965364752184063</v>
      </c>
    </row>
    <row r="111" spans="5:35" x14ac:dyDescent="0.25">
      <c r="E111">
        <f t="shared" si="50"/>
        <v>5120.8863238927488</v>
      </c>
      <c r="F111">
        <f t="shared" si="30"/>
        <v>0.6185874393649099</v>
      </c>
      <c r="G111">
        <f t="shared" si="31"/>
        <v>9.5322646674046317E-4</v>
      </c>
      <c r="H111">
        <f t="shared" si="32"/>
        <v>0.29311944304343363</v>
      </c>
      <c r="I111">
        <f t="shared" si="33"/>
        <v>3.2975937342386283E-2</v>
      </c>
      <c r="J111">
        <f t="shared" si="34"/>
        <v>0.14655972152171681</v>
      </c>
      <c r="K111">
        <f t="shared" si="35"/>
        <v>6.4342786504981266E-3</v>
      </c>
      <c r="L111">
        <v>110</v>
      </c>
      <c r="M111">
        <f t="shared" si="51"/>
        <v>0.05</v>
      </c>
      <c r="N111">
        <f t="shared" si="36"/>
        <v>0.75530572557332454</v>
      </c>
      <c r="O111">
        <f t="shared" si="37"/>
        <v>8.6785238044309057E-2</v>
      </c>
      <c r="P111">
        <f t="shared" si="38"/>
        <v>2.3522645501508581</v>
      </c>
      <c r="Q111">
        <f t="shared" si="39"/>
        <v>0.26462976189197152</v>
      </c>
      <c r="R111">
        <f t="shared" si="40"/>
        <v>1.1761322750754291</v>
      </c>
      <c r="S111">
        <f t="shared" si="41"/>
        <v>0.58580035679908615</v>
      </c>
      <c r="T111">
        <f t="shared" si="42"/>
        <v>0.1</v>
      </c>
      <c r="U111">
        <f t="shared" si="52"/>
        <v>1024.1772647785497</v>
      </c>
      <c r="V111">
        <f t="shared" si="43"/>
        <v>1.0076082197166332</v>
      </c>
      <c r="W111">
        <f t="shared" si="44"/>
        <v>1.5526969382456868E-3</v>
      </c>
      <c r="X111">
        <f t="shared" si="45"/>
        <v>0.47745806231137528</v>
      </c>
      <c r="Y111">
        <f t="shared" si="46"/>
        <v>5.3714032010029722E-2</v>
      </c>
      <c r="Z111">
        <f t="shared" si="47"/>
        <v>0.23872903115568764</v>
      </c>
      <c r="AA111">
        <f t="shared" si="48"/>
        <v>1.0480704333158385E-2</v>
      </c>
      <c r="AB111">
        <f t="shared" si="49"/>
        <v>5.3714032010029722E-2</v>
      </c>
      <c r="AC111">
        <f t="shared" si="53"/>
        <v>1.1582629924485097</v>
      </c>
      <c r="AD111">
        <f t="shared" si="54"/>
        <v>2.8350483586577796E-2</v>
      </c>
      <c r="AE111">
        <f t="shared" si="55"/>
        <v>1.8572707713080177</v>
      </c>
      <c r="AF111">
        <f t="shared" si="56"/>
        <v>0.20894296177215196</v>
      </c>
      <c r="AG111">
        <f t="shared" si="57"/>
        <v>0.92863538565400883</v>
      </c>
      <c r="AH111">
        <f t="shared" si="58"/>
        <v>0.19136576420940013</v>
      </c>
      <c r="AI111">
        <f t="shared" si="59"/>
        <v>0.20894296177215196</v>
      </c>
    </row>
    <row r="112" spans="5:35" x14ac:dyDescent="0.25">
      <c r="E112">
        <f t="shared" si="50"/>
        <v>5376.9306400873866</v>
      </c>
      <c r="F112">
        <f t="shared" si="30"/>
        <v>0.61265960177487466</v>
      </c>
      <c r="G112">
        <f t="shared" si="31"/>
        <v>8.6460257343412691E-4</v>
      </c>
      <c r="H112">
        <f t="shared" si="32"/>
        <v>0.27909590548129121</v>
      </c>
      <c r="I112">
        <f t="shared" si="33"/>
        <v>3.1398289366645259E-2</v>
      </c>
      <c r="J112">
        <f t="shared" si="34"/>
        <v>0.1395479527406456</v>
      </c>
      <c r="K112">
        <f t="shared" si="35"/>
        <v>5.8360673706803565E-3</v>
      </c>
      <c r="L112">
        <v>111</v>
      </c>
      <c r="M112">
        <f t="shared" si="51"/>
        <v>0.05</v>
      </c>
      <c r="N112">
        <f t="shared" si="36"/>
        <v>0.74217142117307955</v>
      </c>
      <c r="O112">
        <f t="shared" si="37"/>
        <v>7.8691573942751891E-2</v>
      </c>
      <c r="P112">
        <f t="shared" si="38"/>
        <v>2.2336330361615517</v>
      </c>
      <c r="Q112">
        <f t="shared" si="39"/>
        <v>0.25128371656817461</v>
      </c>
      <c r="R112">
        <f t="shared" si="40"/>
        <v>1.1168165180807759</v>
      </c>
      <c r="S112">
        <f t="shared" si="41"/>
        <v>0.53116812411357528</v>
      </c>
      <c r="T112">
        <f t="shared" si="42"/>
        <v>0.1</v>
      </c>
      <c r="U112">
        <f t="shared" si="52"/>
        <v>1075.3861280174772</v>
      </c>
      <c r="V112">
        <f t="shared" si="43"/>
        <v>0.99795244997291366</v>
      </c>
      <c r="W112">
        <f t="shared" si="44"/>
        <v>1.4083387478329699E-3</v>
      </c>
      <c r="X112">
        <f t="shared" si="45"/>
        <v>0.45461532284090228</v>
      </c>
      <c r="Y112">
        <f t="shared" si="46"/>
        <v>5.1144223819601507E-2</v>
      </c>
      <c r="Z112">
        <f t="shared" si="47"/>
        <v>0.22730766142045114</v>
      </c>
      <c r="AA112">
        <f t="shared" si="48"/>
        <v>9.5062865478725469E-3</v>
      </c>
      <c r="AB112">
        <f t="shared" si="49"/>
        <v>5.1144223819601507E-2</v>
      </c>
      <c r="AC112">
        <f t="shared" si="53"/>
        <v>1.1428360161655844</v>
      </c>
      <c r="AD112">
        <f t="shared" si="54"/>
        <v>2.5713410884969087E-2</v>
      </c>
      <c r="AE112">
        <f t="shared" si="55"/>
        <v>1.7668104519342882</v>
      </c>
      <c r="AF112">
        <f t="shared" si="56"/>
        <v>0.19876617584260742</v>
      </c>
      <c r="AG112">
        <f t="shared" si="57"/>
        <v>0.8834052259671441</v>
      </c>
      <c r="AH112">
        <f t="shared" si="58"/>
        <v>0.17356552347354132</v>
      </c>
      <c r="AI112">
        <f t="shared" si="59"/>
        <v>0.19876617584260742</v>
      </c>
    </row>
    <row r="113" spans="5:35" x14ac:dyDescent="0.25">
      <c r="E113">
        <f t="shared" si="50"/>
        <v>5645.7771720917563</v>
      </c>
      <c r="F113">
        <f t="shared" si="30"/>
        <v>0.60683867366581468</v>
      </c>
      <c r="G113">
        <f t="shared" si="31"/>
        <v>7.842184321746338E-4</v>
      </c>
      <c r="H113">
        <f t="shared" si="32"/>
        <v>0.265746269278198</v>
      </c>
      <c r="I113">
        <f t="shared" si="33"/>
        <v>2.9896455293797277E-2</v>
      </c>
      <c r="J113">
        <f t="shared" si="34"/>
        <v>0.132873134639099</v>
      </c>
      <c r="K113">
        <f t="shared" si="35"/>
        <v>5.2934744171787788E-3</v>
      </c>
      <c r="L113">
        <v>112</v>
      </c>
      <c r="M113">
        <f t="shared" si="51"/>
        <v>0.05</v>
      </c>
      <c r="N113">
        <f t="shared" si="36"/>
        <v>0.72947393165405028</v>
      </c>
      <c r="O113">
        <f t="shared" si="37"/>
        <v>7.1354861719529428E-2</v>
      </c>
      <c r="P113">
        <f t="shared" si="38"/>
        <v>2.1213005396487103</v>
      </c>
      <c r="Q113">
        <f t="shared" si="39"/>
        <v>0.2386463107104799</v>
      </c>
      <c r="R113">
        <f t="shared" si="40"/>
        <v>1.0606502698243552</v>
      </c>
      <c r="S113">
        <f t="shared" si="41"/>
        <v>0.48164531660682364</v>
      </c>
      <c r="T113">
        <f t="shared" si="42"/>
        <v>0.1</v>
      </c>
      <c r="U113">
        <f t="shared" si="52"/>
        <v>1129.155434418351</v>
      </c>
      <c r="V113">
        <f t="shared" si="43"/>
        <v>0.988470823551449</v>
      </c>
      <c r="W113">
        <f t="shared" si="44"/>
        <v>1.2774021715082316E-3</v>
      </c>
      <c r="X113">
        <f t="shared" si="45"/>
        <v>0.43287029164163732</v>
      </c>
      <c r="Y113">
        <f t="shared" si="46"/>
        <v>4.8697907809684193E-2</v>
      </c>
      <c r="Z113">
        <f t="shared" si="47"/>
        <v>0.21643514582081866</v>
      </c>
      <c r="AA113">
        <f t="shared" si="48"/>
        <v>8.6224646576805643E-3</v>
      </c>
      <c r="AB113">
        <f t="shared" si="49"/>
        <v>0.05</v>
      </c>
      <c r="AC113">
        <f t="shared" si="53"/>
        <v>1.1278001119397749</v>
      </c>
      <c r="AD113">
        <f t="shared" si="54"/>
        <v>2.3321741185629113E-2</v>
      </c>
      <c r="AE113">
        <f t="shared" si="55"/>
        <v>1.6808495367691554</v>
      </c>
      <c r="AF113">
        <f t="shared" si="56"/>
        <v>0.18909557288653001</v>
      </c>
      <c r="AG113">
        <f t="shared" si="57"/>
        <v>0.84042476838457769</v>
      </c>
      <c r="AH113">
        <f t="shared" si="58"/>
        <v>0.15742175300299649</v>
      </c>
      <c r="AI113">
        <f t="shared" si="59"/>
        <v>0.18909557288653001</v>
      </c>
    </row>
    <row r="114" spans="5:35" x14ac:dyDescent="0.25">
      <c r="E114">
        <f t="shared" si="50"/>
        <v>5928.0660306963446</v>
      </c>
      <c r="F114">
        <f t="shared" si="30"/>
        <v>0.60112179138880195</v>
      </c>
      <c r="G114">
        <f t="shared" si="31"/>
        <v>7.1130792819688437E-4</v>
      </c>
      <c r="H114">
        <f t="shared" si="32"/>
        <v>0.25303787176776715</v>
      </c>
      <c r="I114">
        <f t="shared" si="33"/>
        <v>2.8466760573873807E-2</v>
      </c>
      <c r="J114">
        <f t="shared" si="34"/>
        <v>0.12651893588388358</v>
      </c>
      <c r="K114">
        <f t="shared" si="35"/>
        <v>4.8013285153289693E-3</v>
      </c>
      <c r="L114">
        <v>113</v>
      </c>
      <c r="M114">
        <f t="shared" si="51"/>
        <v>0.05</v>
      </c>
      <c r="N114">
        <f t="shared" si="36"/>
        <v>0.71719182810638504</v>
      </c>
      <c r="O114">
        <f t="shared" si="37"/>
        <v>6.4703929704732044E-2</v>
      </c>
      <c r="P114">
        <f t="shared" si="38"/>
        <v>2.014901733233029</v>
      </c>
      <c r="Q114">
        <f t="shared" si="39"/>
        <v>0.22667644498871581</v>
      </c>
      <c r="R114">
        <f t="shared" si="40"/>
        <v>1.0074508666165145</v>
      </c>
      <c r="S114">
        <f t="shared" si="41"/>
        <v>0.4367515255069413</v>
      </c>
      <c r="T114">
        <f t="shared" si="42"/>
        <v>0.1</v>
      </c>
      <c r="U114">
        <f t="shared" si="52"/>
        <v>1185.6132061392686</v>
      </c>
      <c r="V114">
        <f t="shared" si="43"/>
        <v>0.97915867589551775</v>
      </c>
      <c r="W114">
        <f t="shared" si="44"/>
        <v>1.1586392959039551E-3</v>
      </c>
      <c r="X114">
        <f t="shared" si="45"/>
        <v>0.41216976496414248</v>
      </c>
      <c r="Y114">
        <f t="shared" si="46"/>
        <v>4.6369098558466035E-2</v>
      </c>
      <c r="Z114">
        <f t="shared" si="47"/>
        <v>0.20608488248207124</v>
      </c>
      <c r="AA114">
        <f t="shared" si="48"/>
        <v>7.8208152473516982E-3</v>
      </c>
      <c r="AB114">
        <f t="shared" si="49"/>
        <v>0.05</v>
      </c>
      <c r="AC114">
        <f t="shared" si="53"/>
        <v>1.1131406023391739</v>
      </c>
      <c r="AD114">
        <f t="shared" si="54"/>
        <v>2.1152617910329432E-2</v>
      </c>
      <c r="AE114">
        <f t="shared" si="55"/>
        <v>1.5991553730470309</v>
      </c>
      <c r="AF114">
        <f t="shared" si="56"/>
        <v>0.17990497946779099</v>
      </c>
      <c r="AG114">
        <f t="shared" si="57"/>
        <v>0.79957768652351546</v>
      </c>
      <c r="AH114">
        <f t="shared" si="58"/>
        <v>0.14278017089472367</v>
      </c>
      <c r="AI114">
        <f t="shared" si="59"/>
        <v>0.17990497946779099</v>
      </c>
    </row>
    <row r="115" spans="5:35" x14ac:dyDescent="0.25">
      <c r="E115">
        <f t="shared" si="50"/>
        <v>6224.4693322311623</v>
      </c>
      <c r="F115">
        <f t="shared" si="30"/>
        <v>0.59550619266298799</v>
      </c>
      <c r="G115">
        <f t="shared" si="31"/>
        <v>6.4517618359098033E-4</v>
      </c>
      <c r="H115">
        <f t="shared" si="32"/>
        <v>0.24093965934841211</v>
      </c>
      <c r="I115">
        <f t="shared" si="33"/>
        <v>2.7105711676696363E-2</v>
      </c>
      <c r="J115">
        <f t="shared" si="34"/>
        <v>0.12046982967420605</v>
      </c>
      <c r="K115">
        <f t="shared" si="35"/>
        <v>4.3549392392391176E-3</v>
      </c>
      <c r="L115">
        <v>114</v>
      </c>
      <c r="M115">
        <f t="shared" si="51"/>
        <v>0.05</v>
      </c>
      <c r="N115">
        <f t="shared" si="36"/>
        <v>0.70530506072454779</v>
      </c>
      <c r="O115">
        <f t="shared" si="37"/>
        <v>5.8674365302646456E-2</v>
      </c>
      <c r="P115">
        <f t="shared" si="38"/>
        <v>1.9140954850262248</v>
      </c>
      <c r="Q115">
        <f t="shared" si="39"/>
        <v>0.21533574206545028</v>
      </c>
      <c r="R115">
        <f t="shared" si="40"/>
        <v>0.95704774251311242</v>
      </c>
      <c r="S115">
        <f t="shared" si="41"/>
        <v>0.39605196579286356</v>
      </c>
      <c r="T115">
        <f t="shared" si="42"/>
        <v>0.1</v>
      </c>
      <c r="U115">
        <f t="shared" si="52"/>
        <v>1244.8938664462321</v>
      </c>
      <c r="V115">
        <f t="shared" si="43"/>
        <v>0.97001150756541121</v>
      </c>
      <c r="W115">
        <f t="shared" si="44"/>
        <v>1.0509182443457108E-3</v>
      </c>
      <c r="X115">
        <f t="shared" si="45"/>
        <v>0.39246316004158627</v>
      </c>
      <c r="Y115">
        <f t="shared" si="46"/>
        <v>4.4152105504678463E-2</v>
      </c>
      <c r="Z115">
        <f t="shared" si="47"/>
        <v>0.19623158002079313</v>
      </c>
      <c r="AA115">
        <f t="shared" si="48"/>
        <v>7.093698149333548E-3</v>
      </c>
      <c r="AB115">
        <f t="shared" si="49"/>
        <v>0.05</v>
      </c>
      <c r="AC115">
        <f t="shared" si="53"/>
        <v>1.0988435353401282</v>
      </c>
      <c r="AD115">
        <f t="shared" si="54"/>
        <v>1.9185316803885199E-2</v>
      </c>
      <c r="AE115">
        <f t="shared" si="55"/>
        <v>1.5215081761423594</v>
      </c>
      <c r="AF115">
        <f t="shared" si="56"/>
        <v>0.17116966981601545</v>
      </c>
      <c r="AG115">
        <f t="shared" si="57"/>
        <v>0.76075408807117972</v>
      </c>
      <c r="AH115">
        <f t="shared" si="58"/>
        <v>0.12950088842622509</v>
      </c>
      <c r="AI115">
        <f t="shared" si="59"/>
        <v>0.17116966981601545</v>
      </c>
    </row>
    <row r="116" spans="5:35" x14ac:dyDescent="0.25">
      <c r="E116">
        <f t="shared" si="50"/>
        <v>6535.6927988427205</v>
      </c>
      <c r="F116">
        <f t="shared" si="30"/>
        <v>0.58998921212964606</v>
      </c>
      <c r="G116">
        <f t="shared" si="31"/>
        <v>5.8519293246576021E-4</v>
      </c>
      <c r="H116">
        <f t="shared" si="32"/>
        <v>0.22942210579892425</v>
      </c>
      <c r="I116">
        <f t="shared" si="33"/>
        <v>2.5809986902378981E-2</v>
      </c>
      <c r="J116">
        <f t="shared" si="34"/>
        <v>0.11471105289946212</v>
      </c>
      <c r="K116">
        <f t="shared" si="35"/>
        <v>3.950052294143881E-3</v>
      </c>
      <c r="L116">
        <v>115</v>
      </c>
      <c r="M116">
        <f t="shared" si="51"/>
        <v>0.05</v>
      </c>
      <c r="N116">
        <f t="shared" si="36"/>
        <v>0.69379484961997206</v>
      </c>
      <c r="O116">
        <f t="shared" si="37"/>
        <v>5.3207861175345497E-2</v>
      </c>
      <c r="P116">
        <f t="shared" si="38"/>
        <v>1.818562967390662</v>
      </c>
      <c r="Q116">
        <f t="shared" si="39"/>
        <v>0.2045883338314495</v>
      </c>
      <c r="R116">
        <f t="shared" si="40"/>
        <v>0.90928148369533102</v>
      </c>
      <c r="S116">
        <f t="shared" si="41"/>
        <v>0.35915306293358218</v>
      </c>
      <c r="T116">
        <f t="shared" si="42"/>
        <v>0.1</v>
      </c>
      <c r="U116">
        <f t="shared" si="52"/>
        <v>1307.1385597685437</v>
      </c>
      <c r="V116">
        <f t="shared" si="43"/>
        <v>0.96102497699647627</v>
      </c>
      <c r="W116">
        <f t="shared" si="44"/>
        <v>9.5321238575092442E-4</v>
      </c>
      <c r="X116">
        <f t="shared" si="45"/>
        <v>0.37370238203515727</v>
      </c>
      <c r="Y116">
        <f t="shared" si="46"/>
        <v>4.2041517978955195E-2</v>
      </c>
      <c r="Z116">
        <f t="shared" si="47"/>
        <v>0.18685119101757863</v>
      </c>
      <c r="AA116">
        <f t="shared" si="48"/>
        <v>6.4341836038187394E-3</v>
      </c>
      <c r="AB116">
        <f t="shared" si="49"/>
        <v>0.05</v>
      </c>
      <c r="AC116">
        <f t="shared" si="53"/>
        <v>1.0848956400590486</v>
      </c>
      <c r="AD116">
        <f t="shared" si="54"/>
        <v>1.7401046388761238E-2</v>
      </c>
      <c r="AE116">
        <f t="shared" si="55"/>
        <v>1.4477002392750782</v>
      </c>
      <c r="AF116">
        <f t="shared" si="56"/>
        <v>0.16286627691844632</v>
      </c>
      <c r="AG116">
        <f t="shared" si="57"/>
        <v>0.72385011963753909</v>
      </c>
      <c r="AH116">
        <f t="shared" si="58"/>
        <v>0.11745706312413837</v>
      </c>
      <c r="AI116">
        <f t="shared" si="59"/>
        <v>0.16286627691844632</v>
      </c>
    </row>
    <row r="117" spans="5:35" x14ac:dyDescent="0.25">
      <c r="E117">
        <f t="shared" si="50"/>
        <v>6862.4774387848565</v>
      </c>
      <c r="F117">
        <f t="shared" si="30"/>
        <v>0.58456827713815729</v>
      </c>
      <c r="G117">
        <f t="shared" si="31"/>
        <v>5.3078651236530491E-4</v>
      </c>
      <c r="H117">
        <f t="shared" si="32"/>
        <v>0.21845713496402208</v>
      </c>
      <c r="I117">
        <f t="shared" si="33"/>
        <v>2.4576427683452483E-2</v>
      </c>
      <c r="J117">
        <f t="shared" si="34"/>
        <v>0.10922856748201104</v>
      </c>
      <c r="K117">
        <f t="shared" si="35"/>
        <v>3.5828089584658083E-3</v>
      </c>
      <c r="L117">
        <v>116</v>
      </c>
      <c r="M117">
        <f t="shared" si="51"/>
        <v>0.05</v>
      </c>
      <c r="N117">
        <f t="shared" si="36"/>
        <v>0.68264358584561202</v>
      </c>
      <c r="O117">
        <f t="shared" si="37"/>
        <v>4.8251626772421286E-2</v>
      </c>
      <c r="P117">
        <f t="shared" si="38"/>
        <v>1.728005940710674</v>
      </c>
      <c r="Q117">
        <f t="shared" si="39"/>
        <v>0.19440066832995082</v>
      </c>
      <c r="R117">
        <f t="shared" si="40"/>
        <v>0.86400297035533702</v>
      </c>
      <c r="S117">
        <f t="shared" si="41"/>
        <v>0.32569848071384366</v>
      </c>
      <c r="T117">
        <f t="shared" si="42"/>
        <v>0.1</v>
      </c>
      <c r="U117">
        <f t="shared" si="52"/>
        <v>1372.495487756971</v>
      </c>
      <c r="V117">
        <f t="shared" si="43"/>
        <v>0.9521948936349689</v>
      </c>
      <c r="W117">
        <f t="shared" si="44"/>
        <v>8.6459054733329039E-4</v>
      </c>
      <c r="X117">
        <f t="shared" si="45"/>
        <v>0.35584169809766292</v>
      </c>
      <c r="Y117">
        <f t="shared" si="46"/>
        <v>4.0032191035987083E-2</v>
      </c>
      <c r="Z117">
        <f t="shared" si="47"/>
        <v>0.17792084904883146</v>
      </c>
      <c r="AA117">
        <f t="shared" si="48"/>
        <v>5.8359861944997102E-3</v>
      </c>
      <c r="AB117">
        <f t="shared" si="49"/>
        <v>0.05</v>
      </c>
      <c r="AC117">
        <f t="shared" si="53"/>
        <v>1.0712842856869156</v>
      </c>
      <c r="AD117">
        <f t="shared" si="54"/>
        <v>1.5782767202833503E-2</v>
      </c>
      <c r="AE117">
        <f t="shared" si="55"/>
        <v>1.3775351989422311</v>
      </c>
      <c r="AF117">
        <f t="shared" si="56"/>
        <v>0.15497270988100101</v>
      </c>
      <c r="AG117">
        <f t="shared" si="57"/>
        <v>0.68876759947111554</v>
      </c>
      <c r="AH117">
        <f t="shared" si="58"/>
        <v>0.10653367861912616</v>
      </c>
      <c r="AI117">
        <f t="shared" si="59"/>
        <v>0.15497270988100101</v>
      </c>
    </row>
    <row r="118" spans="5:35" x14ac:dyDescent="0.25">
      <c r="E118">
        <f t="shared" si="50"/>
        <v>7205.6013107240997</v>
      </c>
      <c r="F118">
        <f t="shared" si="30"/>
        <v>0.57924090374997583</v>
      </c>
      <c r="G118">
        <f t="shared" si="31"/>
        <v>4.8143841458503605E-4</v>
      </c>
      <c r="H118">
        <f t="shared" si="32"/>
        <v>0.20801804755580655</v>
      </c>
      <c r="I118">
        <f t="shared" si="33"/>
        <v>2.3402030350028236E-2</v>
      </c>
      <c r="J118">
        <f t="shared" si="34"/>
        <v>0.10400902377790328</v>
      </c>
      <c r="K118">
        <f t="shared" si="35"/>
        <v>3.2497092984489933E-3</v>
      </c>
      <c r="L118">
        <v>117</v>
      </c>
      <c r="M118">
        <f t="shared" si="51"/>
        <v>0.05</v>
      </c>
      <c r="N118">
        <f t="shared" si="36"/>
        <v>0.67183474153518696</v>
      </c>
      <c r="O118">
        <f t="shared" si="37"/>
        <v>4.375785830942111E-2</v>
      </c>
      <c r="P118">
        <f t="shared" si="38"/>
        <v>1.6421451934083526</v>
      </c>
      <c r="Q118">
        <f t="shared" si="39"/>
        <v>0.18474133425843967</v>
      </c>
      <c r="R118">
        <f t="shared" si="40"/>
        <v>0.82107259670417632</v>
      </c>
      <c r="S118">
        <f t="shared" si="41"/>
        <v>0.29536554358859252</v>
      </c>
      <c r="T118">
        <f t="shared" si="42"/>
        <v>0.1</v>
      </c>
      <c r="U118">
        <f t="shared" si="52"/>
        <v>1441.1202621448197</v>
      </c>
      <c r="V118">
        <f t="shared" si="43"/>
        <v>0.94351721142896994</v>
      </c>
      <c r="W118">
        <f t="shared" si="44"/>
        <v>7.8420813769071928E-4</v>
      </c>
      <c r="X118">
        <f t="shared" si="45"/>
        <v>0.33883761814146862</v>
      </c>
      <c r="Y118">
        <f t="shared" si="46"/>
        <v>3.8119232040915219E-2</v>
      </c>
      <c r="Z118">
        <f t="shared" si="47"/>
        <v>0.16941880907073431</v>
      </c>
      <c r="AA118">
        <f t="shared" si="48"/>
        <v>5.2934049294123542E-3</v>
      </c>
      <c r="AB118">
        <f t="shared" si="49"/>
        <v>0.05</v>
      </c>
      <c r="AC118">
        <f t="shared" si="53"/>
        <v>1.0579974433593418</v>
      </c>
      <c r="AD118">
        <f t="shared" si="54"/>
        <v>1.4315028032903142E-2</v>
      </c>
      <c r="AE118">
        <f t="shared" si="55"/>
        <v>1.3108273515110933</v>
      </c>
      <c r="AF118">
        <f t="shared" si="56"/>
        <v>0.14746807704499798</v>
      </c>
      <c r="AG118">
        <f t="shared" si="57"/>
        <v>0.65541367575554665</v>
      </c>
      <c r="AH118">
        <f t="shared" si="58"/>
        <v>9.6626439222096197E-2</v>
      </c>
      <c r="AI118">
        <f t="shared" si="59"/>
        <v>0.14746807704499798</v>
      </c>
    </row>
    <row r="119" spans="5:35" x14ac:dyDescent="0.25">
      <c r="E119">
        <f t="shared" si="50"/>
        <v>7565.8813762603049</v>
      </c>
      <c r="F119">
        <f t="shared" si="30"/>
        <v>0.57400469294751111</v>
      </c>
      <c r="G119">
        <f t="shared" si="31"/>
        <v>4.3667834137684516E-4</v>
      </c>
      <c r="H119">
        <f t="shared" si="32"/>
        <v>0.19807945183361494</v>
      </c>
      <c r="I119">
        <f t="shared" si="33"/>
        <v>2.2283938331281682E-2</v>
      </c>
      <c r="J119">
        <f t="shared" si="34"/>
        <v>9.9039725916807472E-2</v>
      </c>
      <c r="K119">
        <f t="shared" si="35"/>
        <v>2.9475788042937052E-3</v>
      </c>
      <c r="L119">
        <v>118</v>
      </c>
      <c r="M119">
        <f t="shared" si="51"/>
        <v>0.05</v>
      </c>
      <c r="N119">
        <f t="shared" si="36"/>
        <v>0.66135278819270615</v>
      </c>
      <c r="O119">
        <f t="shared" si="37"/>
        <v>3.9683261088058433E-2</v>
      </c>
      <c r="P119">
        <f t="shared" si="38"/>
        <v>1.5607191217091703</v>
      </c>
      <c r="Q119">
        <f t="shared" si="39"/>
        <v>0.17558090119228167</v>
      </c>
      <c r="R119">
        <f t="shared" si="40"/>
        <v>0.78035956085458513</v>
      </c>
      <c r="S119">
        <f t="shared" si="41"/>
        <v>0.26786201234439444</v>
      </c>
      <c r="T119">
        <f t="shared" si="42"/>
        <v>0.1</v>
      </c>
      <c r="U119">
        <f t="shared" si="52"/>
        <v>1513.1762752520608</v>
      </c>
      <c r="V119">
        <f t="shared" si="43"/>
        <v>0.93498802265308834</v>
      </c>
      <c r="W119">
        <f t="shared" si="44"/>
        <v>7.112990955575729E-4</v>
      </c>
      <c r="X119">
        <f t="shared" si="45"/>
        <v>0.32264878192390462</v>
      </c>
      <c r="Y119">
        <f t="shared" si="46"/>
        <v>3.6297987966439273E-2</v>
      </c>
      <c r="Z119">
        <f t="shared" si="47"/>
        <v>0.16132439096195231</v>
      </c>
      <c r="AA119">
        <f t="shared" si="48"/>
        <v>4.8012688950136171E-3</v>
      </c>
      <c r="AB119">
        <f t="shared" si="49"/>
        <v>0.05</v>
      </c>
      <c r="AC119">
        <f t="shared" si="53"/>
        <v>1.0450236507202806</v>
      </c>
      <c r="AD119">
        <f t="shared" si="54"/>
        <v>1.2983817530055557E-2</v>
      </c>
      <c r="AE119">
        <f t="shared" si="55"/>
        <v>1.2474010168377005</v>
      </c>
      <c r="AF119">
        <f t="shared" si="56"/>
        <v>0.1403326143942413</v>
      </c>
      <c r="AG119">
        <f t="shared" si="57"/>
        <v>0.62370050841885027</v>
      </c>
      <c r="AH119">
        <f t="shared" si="58"/>
        <v>8.7640768327874985E-2</v>
      </c>
      <c r="AI119">
        <f t="shared" si="59"/>
        <v>0.1403326143942413</v>
      </c>
    </row>
    <row r="120" spans="5:35" x14ac:dyDescent="0.25">
      <c r="E120">
        <f t="shared" si="50"/>
        <v>7944.1754450733206</v>
      </c>
      <c r="F120">
        <f t="shared" si="30"/>
        <v>0.56885732703578762</v>
      </c>
      <c r="G120">
        <f t="shared" si="31"/>
        <v>3.9607972287690149E-4</v>
      </c>
      <c r="H120">
        <f t="shared" si="32"/>
        <v>0.18861719794009132</v>
      </c>
      <c r="I120">
        <f t="shared" si="33"/>
        <v>2.1219434768260277E-2</v>
      </c>
      <c r="J120">
        <f t="shared" si="34"/>
        <v>9.4308598970045662E-2</v>
      </c>
      <c r="K120">
        <f t="shared" si="35"/>
        <v>2.6735381294190853E-3</v>
      </c>
      <c r="L120">
        <v>119</v>
      </c>
      <c r="M120">
        <f t="shared" si="51"/>
        <v>0.05</v>
      </c>
      <c r="N120">
        <f t="shared" si="36"/>
        <v>0.65118312228264175</v>
      </c>
      <c r="O120">
        <f t="shared" si="37"/>
        <v>3.598861874093217E-2</v>
      </c>
      <c r="P120">
        <f t="shared" si="38"/>
        <v>1.4834824346304929</v>
      </c>
      <c r="Q120">
        <f t="shared" si="39"/>
        <v>0.16689177389593043</v>
      </c>
      <c r="R120">
        <f t="shared" si="40"/>
        <v>0.74174121731524645</v>
      </c>
      <c r="S120">
        <f t="shared" si="41"/>
        <v>0.24292317650129214</v>
      </c>
      <c r="T120">
        <f t="shared" si="42"/>
        <v>0.1</v>
      </c>
      <c r="U120">
        <f t="shared" si="52"/>
        <v>1588.8350890146639</v>
      </c>
      <c r="V120">
        <f t="shared" si="43"/>
        <v>0.92660355204717593</v>
      </c>
      <c r="W120">
        <f t="shared" si="44"/>
        <v>6.4516858739258021E-4</v>
      </c>
      <c r="X120">
        <f t="shared" si="45"/>
        <v>0.3072358520882314</v>
      </c>
      <c r="Y120">
        <f t="shared" si="46"/>
        <v>3.4564033359926034E-2</v>
      </c>
      <c r="Z120">
        <f t="shared" si="47"/>
        <v>0.1536179260441157</v>
      </c>
      <c r="AA120">
        <f t="shared" si="48"/>
        <v>4.3548879648999169E-3</v>
      </c>
      <c r="AB120">
        <f t="shared" si="49"/>
        <v>0.05</v>
      </c>
      <c r="AC120">
        <f t="shared" si="53"/>
        <v>1.032351978959956</v>
      </c>
      <c r="AD120">
        <f t="shared" si="54"/>
        <v>1.1776429749016984E-2</v>
      </c>
      <c r="AE120">
        <f t="shared" si="55"/>
        <v>1.1870899451581716</v>
      </c>
      <c r="AF120">
        <f t="shared" si="56"/>
        <v>0.13354761883029428</v>
      </c>
      <c r="AG120">
        <f t="shared" si="57"/>
        <v>0.59354497257908578</v>
      </c>
      <c r="AH120">
        <f t="shared" si="58"/>
        <v>7.9490900805864642E-2</v>
      </c>
      <c r="AI120">
        <f t="shared" si="59"/>
        <v>0.13354761883029428</v>
      </c>
    </row>
    <row r="121" spans="5:35" x14ac:dyDescent="0.25">
      <c r="E121">
        <f t="shared" si="50"/>
        <v>8341.3842173269877</v>
      </c>
      <c r="F121">
        <f t="shared" si="30"/>
        <v>0.56379656622552532</v>
      </c>
      <c r="G121">
        <f t="shared" si="31"/>
        <v>3.5925565098205814E-4</v>
      </c>
      <c r="H121">
        <f t="shared" si="32"/>
        <v>0.17960831568549265</v>
      </c>
      <c r="I121">
        <f t="shared" si="33"/>
        <v>2.0205935514617922E-2</v>
      </c>
      <c r="J121">
        <f t="shared" si="34"/>
        <v>8.9804157842746327E-2</v>
      </c>
      <c r="K121">
        <f t="shared" si="35"/>
        <v>2.4249756441288924E-3</v>
      </c>
      <c r="L121">
        <v>120</v>
      </c>
      <c r="M121">
        <f t="shared" si="51"/>
        <v>0.05</v>
      </c>
      <c r="N121">
        <f t="shared" si="36"/>
        <v>0.64131199737094857</v>
      </c>
      <c r="O121">
        <f t="shared" si="37"/>
        <v>3.2638404586756091E-2</v>
      </c>
      <c r="P121">
        <f t="shared" si="38"/>
        <v>1.4102049713736344</v>
      </c>
      <c r="Q121">
        <f t="shared" si="39"/>
        <v>0.15864805927953388</v>
      </c>
      <c r="R121">
        <f t="shared" si="40"/>
        <v>0.70510248568681722</v>
      </c>
      <c r="S121">
        <f t="shared" si="41"/>
        <v>0.22030923096060362</v>
      </c>
      <c r="T121">
        <f t="shared" si="42"/>
        <v>0.1</v>
      </c>
      <c r="U121">
        <f t="shared" si="52"/>
        <v>1668.2768434653972</v>
      </c>
      <c r="V121">
        <f t="shared" si="43"/>
        <v>0.91836015125055548</v>
      </c>
      <c r="W121">
        <f t="shared" si="44"/>
        <v>5.8518638412835848E-4</v>
      </c>
      <c r="X121">
        <f t="shared" si="45"/>
        <v>0.29256141282138737</v>
      </c>
      <c r="Y121">
        <f t="shared" si="46"/>
        <v>3.2913158942406075E-2</v>
      </c>
      <c r="Z121">
        <f t="shared" si="47"/>
        <v>0.14628070641069368</v>
      </c>
      <c r="AA121">
        <f t="shared" si="48"/>
        <v>3.9500080928664199E-3</v>
      </c>
      <c r="AB121">
        <f t="shared" si="49"/>
        <v>0.05</v>
      </c>
      <c r="AC121">
        <f t="shared" si="53"/>
        <v>1.0199720021277714</v>
      </c>
      <c r="AD121">
        <f t="shared" si="54"/>
        <v>1.0681342294140665E-2</v>
      </c>
      <c r="AE121">
        <f t="shared" si="55"/>
        <v>1.1297367638438631</v>
      </c>
      <c r="AF121">
        <f t="shared" si="56"/>
        <v>0.12709538593243461</v>
      </c>
      <c r="AG121">
        <f t="shared" si="57"/>
        <v>0.56486838192193156</v>
      </c>
      <c r="AH121">
        <f t="shared" si="58"/>
        <v>7.2099060485449493E-2</v>
      </c>
      <c r="AI121">
        <f t="shared" si="59"/>
        <v>0.12709538593243461</v>
      </c>
    </row>
    <row r="122" spans="5:35" x14ac:dyDescent="0.25">
      <c r="E122">
        <f t="shared" si="50"/>
        <v>8758.4534281933375</v>
      </c>
      <c r="F122">
        <f t="shared" si="30"/>
        <v>0.55882024538706565</v>
      </c>
      <c r="G122">
        <f t="shared" si="31"/>
        <v>3.2585519138344425E-4</v>
      </c>
      <c r="H122">
        <f t="shared" si="32"/>
        <v>0.17103095558542136</v>
      </c>
      <c r="I122">
        <f t="shared" si="33"/>
        <v>1.9240982503359903E-2</v>
      </c>
      <c r="J122">
        <f t="shared" si="34"/>
        <v>8.5515477792710681E-2</v>
      </c>
      <c r="K122">
        <f t="shared" si="35"/>
        <v>2.1995225418382489E-3</v>
      </c>
      <c r="L122">
        <v>121</v>
      </c>
      <c r="M122">
        <f t="shared" si="51"/>
        <v>0.05</v>
      </c>
      <c r="N122">
        <f t="shared" si="36"/>
        <v>0.63172646215376493</v>
      </c>
      <c r="O122">
        <f t="shared" si="37"/>
        <v>2.9600430811125008E-2</v>
      </c>
      <c r="P122">
        <f t="shared" si="38"/>
        <v>1.340670619785175</v>
      </c>
      <c r="Q122">
        <f t="shared" si="39"/>
        <v>0.15082544472583218</v>
      </c>
      <c r="R122">
        <f t="shared" si="40"/>
        <v>0.67033530989258749</v>
      </c>
      <c r="S122">
        <f t="shared" si="41"/>
        <v>0.19980290797509381</v>
      </c>
      <c r="T122">
        <f t="shared" si="42"/>
        <v>0.1</v>
      </c>
      <c r="U122">
        <f t="shared" si="52"/>
        <v>1751.6906856386672</v>
      </c>
      <c r="V122">
        <f t="shared" si="43"/>
        <v>0.91025429351453835</v>
      </c>
      <c r="W122">
        <f t="shared" si="44"/>
        <v>5.3078085389575457E-4</v>
      </c>
      <c r="X122">
        <f t="shared" si="45"/>
        <v>0.27858987381119588</v>
      </c>
      <c r="Y122">
        <f t="shared" si="46"/>
        <v>3.134136080375953E-2</v>
      </c>
      <c r="Z122">
        <f t="shared" si="47"/>
        <v>0.13929493690559794</v>
      </c>
      <c r="AA122">
        <f t="shared" si="48"/>
        <v>3.5827707637963438E-3</v>
      </c>
      <c r="AB122">
        <f t="shared" si="49"/>
        <v>0.05</v>
      </c>
      <c r="AC122">
        <f t="shared" si="53"/>
        <v>1.0078737685391179</v>
      </c>
      <c r="AD122">
        <f t="shared" si="54"/>
        <v>9.6881058811933898E-3</v>
      </c>
      <c r="AE122">
        <f t="shared" si="55"/>
        <v>1.0751924609197681</v>
      </c>
      <c r="AF122">
        <f t="shared" si="56"/>
        <v>0.12095915185347393</v>
      </c>
      <c r="AG122">
        <f t="shared" si="57"/>
        <v>0.53759623045988403</v>
      </c>
      <c r="AH122">
        <f t="shared" si="58"/>
        <v>6.539471469805537E-2</v>
      </c>
      <c r="AI122">
        <f t="shared" si="59"/>
        <v>0.12095915185347393</v>
      </c>
    </row>
    <row r="123" spans="5:35" x14ac:dyDescent="0.25">
      <c r="E123">
        <f t="shared" si="50"/>
        <v>9196.3760996030051</v>
      </c>
      <c r="F123">
        <f t="shared" si="30"/>
        <v>0.5539262709652697</v>
      </c>
      <c r="G123">
        <f t="shared" si="31"/>
        <v>2.955600385771514E-4</v>
      </c>
      <c r="H123">
        <f t="shared" si="32"/>
        <v>0.16286433296939667</v>
      </c>
      <c r="I123">
        <f t="shared" si="33"/>
        <v>1.8322237459057127E-2</v>
      </c>
      <c r="J123">
        <f t="shared" si="34"/>
        <v>8.1432166484698337E-2</v>
      </c>
      <c r="K123">
        <f t="shared" si="35"/>
        <v>1.9950302603957719E-3</v>
      </c>
      <c r="L123">
        <v>122</v>
      </c>
      <c r="M123">
        <f t="shared" si="51"/>
        <v>0.05</v>
      </c>
      <c r="N123">
        <f t="shared" si="36"/>
        <v>0.6224143037863834</v>
      </c>
      <c r="O123">
        <f t="shared" si="37"/>
        <v>2.684553165287645E-2</v>
      </c>
      <c r="P123">
        <f t="shared" si="38"/>
        <v>1.2746763258475595</v>
      </c>
      <c r="Q123">
        <f t="shared" si="39"/>
        <v>0.14340108665785042</v>
      </c>
      <c r="R123">
        <f t="shared" si="40"/>
        <v>0.63733816292377976</v>
      </c>
      <c r="S123">
        <f t="shared" si="41"/>
        <v>0.18120733865691604</v>
      </c>
      <c r="T123">
        <f t="shared" si="42"/>
        <v>0.1</v>
      </c>
      <c r="U123">
        <f t="shared" si="52"/>
        <v>1839.2752199206006</v>
      </c>
      <c r="V123">
        <f t="shared" si="43"/>
        <v>0.9022825686771454</v>
      </c>
      <c r="W123">
        <f t="shared" si="44"/>
        <v>4.8143351341866362E-4</v>
      </c>
      <c r="X123">
        <f t="shared" si="45"/>
        <v>0.26528737920561751</v>
      </c>
      <c r="Y123">
        <f t="shared" si="46"/>
        <v>2.9844830160631972E-2</v>
      </c>
      <c r="Z123">
        <f t="shared" si="47"/>
        <v>0.13264368960280876</v>
      </c>
      <c r="AA123">
        <f t="shared" si="48"/>
        <v>3.2496762155759793E-3</v>
      </c>
      <c r="AB123">
        <f t="shared" si="49"/>
        <v>0.05</v>
      </c>
      <c r="AC123">
        <f t="shared" si="53"/>
        <v>0.99604777411124212</v>
      </c>
      <c r="AD123">
        <f t="shared" si="54"/>
        <v>8.7872442381644773E-3</v>
      </c>
      <c r="AE123">
        <f t="shared" si="55"/>
        <v>1.0233159025226217</v>
      </c>
      <c r="AF123">
        <f t="shared" si="56"/>
        <v>0.11512303903379494</v>
      </c>
      <c r="AG123">
        <f t="shared" si="57"/>
        <v>0.51165795126131086</v>
      </c>
      <c r="AH123">
        <f t="shared" si="58"/>
        <v>5.9313898607610223E-2</v>
      </c>
      <c r="AI123">
        <f t="shared" si="59"/>
        <v>0.11512303903379494</v>
      </c>
    </row>
    <row r="124" spans="5:35" x14ac:dyDescent="0.25">
      <c r="E124">
        <f t="shared" si="50"/>
        <v>9656.1949045831552</v>
      </c>
      <c r="F124">
        <f t="shared" si="30"/>
        <v>0.54911261804613232</v>
      </c>
      <c r="G124">
        <f t="shared" si="31"/>
        <v>2.6808148194665081E-4</v>
      </c>
      <c r="H124">
        <f t="shared" si="32"/>
        <v>0.1550886749890304</v>
      </c>
      <c r="I124">
        <f t="shared" si="33"/>
        <v>1.7447475936265919E-2</v>
      </c>
      <c r="J124">
        <f t="shared" si="34"/>
        <v>7.7544337494515198E-2</v>
      </c>
      <c r="K124">
        <f t="shared" si="35"/>
        <v>1.8095500031398931E-3</v>
      </c>
      <c r="L124">
        <v>123</v>
      </c>
      <c r="M124">
        <f t="shared" si="51"/>
        <v>0.05</v>
      </c>
      <c r="N124">
        <f t="shared" si="36"/>
        <v>0.61336399599098423</v>
      </c>
      <c r="O124">
        <f t="shared" si="37"/>
        <v>2.4347277185813285E-2</v>
      </c>
      <c r="P124">
        <f t="shared" si="38"/>
        <v>1.2120311852893395</v>
      </c>
      <c r="Q124">
        <f t="shared" si="39"/>
        <v>0.13635350834505069</v>
      </c>
      <c r="R124">
        <f t="shared" si="40"/>
        <v>0.60601559264466975</v>
      </c>
      <c r="S124">
        <f t="shared" si="41"/>
        <v>0.16434412100423967</v>
      </c>
      <c r="T124">
        <f t="shared" si="42"/>
        <v>0.1</v>
      </c>
      <c r="U124">
        <f t="shared" si="52"/>
        <v>1931.2389809166307</v>
      </c>
      <c r="V124">
        <f t="shared" si="43"/>
        <v>0.89444167838495725</v>
      </c>
      <c r="W124">
        <f t="shared" si="44"/>
        <v>4.3667408610913459E-4</v>
      </c>
      <c r="X124">
        <f t="shared" si="45"/>
        <v>0.25262172129512694</v>
      </c>
      <c r="Y124">
        <f t="shared" si="46"/>
        <v>2.841994364570178E-2</v>
      </c>
      <c r="Z124">
        <f t="shared" si="47"/>
        <v>0.12631086064756347</v>
      </c>
      <c r="AA124">
        <f t="shared" si="48"/>
        <v>2.9475500812366586E-3</v>
      </c>
      <c r="AB124">
        <f t="shared" si="49"/>
        <v>0.05</v>
      </c>
      <c r="AC124">
        <f t="shared" si="53"/>
        <v>0.98448493747805887</v>
      </c>
      <c r="AD124">
        <f t="shared" si="54"/>
        <v>7.9701633711726436E-3</v>
      </c>
      <c r="AE124">
        <f t="shared" si="55"/>
        <v>0.97397338172441617</v>
      </c>
      <c r="AF124">
        <f t="shared" si="56"/>
        <v>0.10957200544399683</v>
      </c>
      <c r="AG124">
        <f t="shared" si="57"/>
        <v>0.48698669086220808</v>
      </c>
      <c r="AH124">
        <f t="shared" si="58"/>
        <v>5.3798602755415349E-2</v>
      </c>
      <c r="AI124">
        <f t="shared" si="59"/>
        <v>0.10957200544399683</v>
      </c>
    </row>
    <row r="125" spans="5:35" x14ac:dyDescent="0.25">
      <c r="E125">
        <f t="shared" si="50"/>
        <v>10139.004649812314</v>
      </c>
      <c r="F125">
        <f t="shared" si="30"/>
        <v>0.54437732756649326</v>
      </c>
      <c r="G125">
        <f t="shared" si="31"/>
        <v>2.4315765398113241E-4</v>
      </c>
      <c r="H125">
        <f t="shared" si="32"/>
        <v>0.14768517036512671</v>
      </c>
      <c r="I125">
        <f t="shared" si="33"/>
        <v>1.6614581666076753E-2</v>
      </c>
      <c r="J125">
        <f t="shared" si="34"/>
        <v>7.3842585182563356E-2</v>
      </c>
      <c r="K125">
        <f t="shared" si="35"/>
        <v>1.6413141643726438E-3</v>
      </c>
      <c r="L125">
        <v>124</v>
      </c>
      <c r="M125">
        <f t="shared" si="51"/>
        <v>0.05</v>
      </c>
      <c r="N125">
        <f t="shared" si="36"/>
        <v>0.60456465147957072</v>
      </c>
      <c r="O125">
        <f t="shared" si="37"/>
        <v>2.2081714647291542E-2</v>
      </c>
      <c r="P125">
        <f t="shared" si="38"/>
        <v>1.1525556093945253</v>
      </c>
      <c r="Q125">
        <f t="shared" si="39"/>
        <v>0.12966250605688412</v>
      </c>
      <c r="R125">
        <f t="shared" si="40"/>
        <v>0.57627780469726264</v>
      </c>
      <c r="S125">
        <f t="shared" si="41"/>
        <v>0.14905157386921791</v>
      </c>
      <c r="T125">
        <f t="shared" si="42"/>
        <v>0.1</v>
      </c>
      <c r="U125">
        <f t="shared" si="52"/>
        <v>2027.8009299624623</v>
      </c>
      <c r="V125">
        <f t="shared" si="43"/>
        <v>0.88672843154805281</v>
      </c>
      <c r="W125">
        <f t="shared" si="44"/>
        <v>3.9607601972963755E-4</v>
      </c>
      <c r="X125">
        <f t="shared" si="45"/>
        <v>0.24056225865648306</v>
      </c>
      <c r="Y125">
        <f t="shared" si="46"/>
        <v>2.706325409885435E-2</v>
      </c>
      <c r="Z125">
        <f t="shared" si="47"/>
        <v>0.12028112932824153</v>
      </c>
      <c r="AA125">
        <f t="shared" si="48"/>
        <v>2.6735131331750536E-3</v>
      </c>
      <c r="AB125">
        <f t="shared" si="49"/>
        <v>0.05</v>
      </c>
      <c r="AC125">
        <f t="shared" si="53"/>
        <v>0.97317657674693125</v>
      </c>
      <c r="AD125">
        <f t="shared" si="54"/>
        <v>7.2290693143490653E-3</v>
      </c>
      <c r="AE125">
        <f t="shared" si="55"/>
        <v>0.92703819637153229</v>
      </c>
      <c r="AF125">
        <f t="shared" si="56"/>
        <v>0.10429179709179738</v>
      </c>
      <c r="AG125">
        <f t="shared" si="57"/>
        <v>0.46351909818576614</v>
      </c>
      <c r="AH125">
        <f t="shared" si="58"/>
        <v>4.8796217871856194E-2</v>
      </c>
      <c r="AI125">
        <f t="shared" si="59"/>
        <v>0.10429179709179738</v>
      </c>
    </row>
    <row r="126" spans="5:35" x14ac:dyDescent="0.25">
      <c r="E126">
        <f t="shared" si="50"/>
        <v>10645.954882302929</v>
      </c>
      <c r="F126">
        <f t="shared" si="30"/>
        <v>0.53971850365875906</v>
      </c>
      <c r="G126">
        <f t="shared" si="31"/>
        <v>2.2055103438685091E-4</v>
      </c>
      <c r="H126">
        <f t="shared" si="32"/>
        <v>0.1406359217228422</v>
      </c>
      <c r="I126">
        <f t="shared" si="33"/>
        <v>1.582154119381975E-2</v>
      </c>
      <c r="J126">
        <f t="shared" si="34"/>
        <v>7.03179608614211E-2</v>
      </c>
      <c r="K126">
        <f t="shared" si="35"/>
        <v>1.4887194821112434E-3</v>
      </c>
      <c r="L126">
        <v>125</v>
      </c>
      <c r="M126">
        <f t="shared" si="51"/>
        <v>0.05</v>
      </c>
      <c r="N126">
        <f t="shared" si="36"/>
        <v>0.59600597827914292</v>
      </c>
      <c r="O126">
        <f t="shared" si="37"/>
        <v>2.002713458521246E-2</v>
      </c>
      <c r="P126">
        <f t="shared" si="38"/>
        <v>1.0960805579577209</v>
      </c>
      <c r="Q126">
        <f t="shared" si="39"/>
        <v>0.1233090627702436</v>
      </c>
      <c r="R126">
        <f t="shared" si="40"/>
        <v>0.54804027897886043</v>
      </c>
      <c r="S126">
        <f t="shared" si="41"/>
        <v>0.13518315845018408</v>
      </c>
      <c r="T126">
        <f t="shared" si="42"/>
        <v>0.1</v>
      </c>
      <c r="U126">
        <f t="shared" si="52"/>
        <v>2129.1909764605857</v>
      </c>
      <c r="V126">
        <f t="shared" si="43"/>
        <v>0.87913974001486417</v>
      </c>
      <c r="W126">
        <f t="shared" si="44"/>
        <v>3.5925242087578508E-4</v>
      </c>
      <c r="X126">
        <f t="shared" si="45"/>
        <v>0.22907983851215466</v>
      </c>
      <c r="Y126">
        <f t="shared" si="46"/>
        <v>2.5771481832617401E-2</v>
      </c>
      <c r="Z126">
        <f t="shared" si="47"/>
        <v>0.11453991925607733</v>
      </c>
      <c r="AA126">
        <f t="shared" si="48"/>
        <v>2.4249538409115493E-3</v>
      </c>
      <c r="AB126">
        <f t="shared" si="49"/>
        <v>0.05</v>
      </c>
      <c r="AC126">
        <f t="shared" si="53"/>
        <v>0.96211438777242542</v>
      </c>
      <c r="AD126">
        <f t="shared" si="54"/>
        <v>6.5568935663486575E-3</v>
      </c>
      <c r="AE126">
        <f t="shared" si="55"/>
        <v>0.88239025379214986</v>
      </c>
      <c r="AF126">
        <f t="shared" si="56"/>
        <v>9.9268903551616855E-2</v>
      </c>
      <c r="AG126">
        <f t="shared" si="57"/>
        <v>0.44119512689607493</v>
      </c>
      <c r="AH126">
        <f t="shared" si="58"/>
        <v>4.4259031572853443E-2</v>
      </c>
      <c r="AI126">
        <f t="shared" si="59"/>
        <v>9.9268903551616855E-2</v>
      </c>
    </row>
    <row r="127" spans="5:35" x14ac:dyDescent="0.25">
      <c r="E127">
        <f t="shared" si="50"/>
        <v>11178.252626418076</v>
      </c>
      <c r="F127">
        <f t="shared" si="30"/>
        <v>0.53513431112308363</v>
      </c>
      <c r="G127">
        <f t="shared" si="31"/>
        <v>2.0004618629061022E-4</v>
      </c>
      <c r="H127">
        <f t="shared" si="32"/>
        <v>0.13392390037318255</v>
      </c>
      <c r="I127">
        <f t="shared" si="33"/>
        <v>1.5066438791983036E-2</v>
      </c>
      <c r="J127">
        <f t="shared" si="34"/>
        <v>6.6961950186591276E-2</v>
      </c>
      <c r="K127">
        <f t="shared" si="35"/>
        <v>1.3503117574616189E-3</v>
      </c>
      <c r="L127">
        <v>126</v>
      </c>
      <c r="M127">
        <f t="shared" si="51"/>
        <v>0.05</v>
      </c>
      <c r="N127">
        <f t="shared" si="36"/>
        <v>0.58767823959078092</v>
      </c>
      <c r="O127">
        <f t="shared" si="37"/>
        <v>1.816385937863358E-2</v>
      </c>
      <c r="P127">
        <f t="shared" si="38"/>
        <v>1.0424468330934475</v>
      </c>
      <c r="Q127">
        <f t="shared" si="39"/>
        <v>0.11727526872301285</v>
      </c>
      <c r="R127">
        <f t="shared" si="40"/>
        <v>0.52122341654672377</v>
      </c>
      <c r="S127">
        <f t="shared" si="41"/>
        <v>0.12260605080577668</v>
      </c>
      <c r="T127">
        <f t="shared" si="42"/>
        <v>0.1</v>
      </c>
      <c r="U127">
        <f t="shared" si="52"/>
        <v>2235.650525283615</v>
      </c>
      <c r="V127">
        <f t="shared" si="43"/>
        <v>0.87167261445464828</v>
      </c>
      <c r="W127">
        <f t="shared" si="44"/>
        <v>3.2585236751061321E-4</v>
      </c>
      <c r="X127">
        <f t="shared" si="45"/>
        <v>0.21814672307454716</v>
      </c>
      <c r="Y127">
        <f t="shared" si="46"/>
        <v>2.4541506345886557E-2</v>
      </c>
      <c r="Z127">
        <f t="shared" si="47"/>
        <v>0.10907336153727358</v>
      </c>
      <c r="AA127">
        <f t="shared" si="48"/>
        <v>2.199503480696639E-3</v>
      </c>
      <c r="AB127">
        <f t="shared" si="49"/>
        <v>0.05</v>
      </c>
      <c r="AC127">
        <f t="shared" si="53"/>
        <v>0.95129042383274942</v>
      </c>
      <c r="AD127">
        <f t="shared" si="54"/>
        <v>5.9472254917967054E-3</v>
      </c>
      <c r="AE127">
        <f t="shared" si="55"/>
        <v>0.83991570040740837</v>
      </c>
      <c r="AF127">
        <f t="shared" si="56"/>
        <v>9.4490516295833424E-2</v>
      </c>
      <c r="AG127">
        <f t="shared" si="57"/>
        <v>0.41995785020370419</v>
      </c>
      <c r="AH127">
        <f t="shared" si="58"/>
        <v>4.014377206962777E-2</v>
      </c>
      <c r="AI127">
        <f t="shared" si="59"/>
        <v>9.4490516295833424E-2</v>
      </c>
    </row>
    <row r="128" spans="5:35" x14ac:dyDescent="0.25">
      <c r="E128">
        <f t="shared" si="50"/>
        <v>11737.16525773898</v>
      </c>
      <c r="F128">
        <f t="shared" si="30"/>
        <v>0.53062297301991712</v>
      </c>
      <c r="G128">
        <f t="shared" si="31"/>
        <v>1.814477029491384E-4</v>
      </c>
      <c r="H128">
        <f t="shared" si="32"/>
        <v>0.12753290340762641</v>
      </c>
      <c r="I128">
        <f t="shared" si="33"/>
        <v>1.4347451633357971E-2</v>
      </c>
      <c r="J128">
        <f t="shared" si="34"/>
        <v>6.3766451703813204E-2</v>
      </c>
      <c r="K128">
        <f t="shared" si="35"/>
        <v>1.2247719949066843E-3</v>
      </c>
      <c r="L128">
        <v>127</v>
      </c>
      <c r="M128">
        <f t="shared" si="51"/>
        <v>0.05</v>
      </c>
      <c r="N128">
        <f t="shared" si="36"/>
        <v>0.57957221685344518</v>
      </c>
      <c r="O128">
        <f t="shared" si="37"/>
        <v>1.647405193911303E-2</v>
      </c>
      <c r="P128">
        <f t="shared" si="38"/>
        <v>0.99150442827839425</v>
      </c>
      <c r="Q128">
        <f t="shared" si="39"/>
        <v>0.11154424818131935</v>
      </c>
      <c r="R128">
        <f t="shared" si="40"/>
        <v>0.49575221413919712</v>
      </c>
      <c r="S128">
        <f t="shared" si="41"/>
        <v>0.11119985058901297</v>
      </c>
      <c r="T128">
        <f t="shared" si="42"/>
        <v>0.1</v>
      </c>
      <c r="U128">
        <f t="shared" si="52"/>
        <v>2347.4330515477959</v>
      </c>
      <c r="V128">
        <f t="shared" si="43"/>
        <v>0.86432416043602422</v>
      </c>
      <c r="W128">
        <f t="shared" si="44"/>
        <v>2.9555756438889147E-4</v>
      </c>
      <c r="X128">
        <f t="shared" si="45"/>
        <v>0.20773651965805059</v>
      </c>
      <c r="Y128">
        <f t="shared" si="46"/>
        <v>2.3370358461530693E-2</v>
      </c>
      <c r="Z128">
        <f t="shared" si="47"/>
        <v>0.1038682598290253</v>
      </c>
      <c r="AA128">
        <f t="shared" si="48"/>
        <v>1.9950135596250177E-3</v>
      </c>
      <c r="AB128">
        <f t="shared" si="49"/>
        <v>0.05</v>
      </c>
      <c r="AC128">
        <f t="shared" si="53"/>
        <v>0.94069707660437629</v>
      </c>
      <c r="AD128">
        <f t="shared" si="54"/>
        <v>5.3942510343285314E-3</v>
      </c>
      <c r="AE128">
        <f t="shared" si="55"/>
        <v>0.79950657444703521</v>
      </c>
      <c r="AF128">
        <f t="shared" si="56"/>
        <v>8.9944489625291446E-2</v>
      </c>
      <c r="AG128">
        <f t="shared" si="57"/>
        <v>0.39975328722351761</v>
      </c>
      <c r="AH128">
        <f t="shared" si="58"/>
        <v>3.6411194481717583E-2</v>
      </c>
      <c r="AI128">
        <f t="shared" si="59"/>
        <v>8.9944489625291446E-2</v>
      </c>
    </row>
    <row r="129" spans="5:35" x14ac:dyDescent="0.25">
      <c r="E129">
        <f t="shared" si="50"/>
        <v>12324.023520625929</v>
      </c>
      <c r="F129">
        <f t="shared" si="30"/>
        <v>0.52618276837629074</v>
      </c>
      <c r="G129">
        <f t="shared" si="31"/>
        <v>1.6457834538649674E-4</v>
      </c>
      <c r="H129">
        <f t="shared" si="32"/>
        <v>0.12144751298060698</v>
      </c>
      <c r="I129">
        <f t="shared" si="33"/>
        <v>1.3662845210318285E-2</v>
      </c>
      <c r="J129">
        <f t="shared" si="34"/>
        <v>6.0723756490303489E-2</v>
      </c>
      <c r="K129">
        <f t="shared" si="35"/>
        <v>1.1109038313588532E-3</v>
      </c>
      <c r="L129">
        <v>128</v>
      </c>
      <c r="M129">
        <f t="shared" si="51"/>
        <v>0.05</v>
      </c>
      <c r="N129">
        <f t="shared" si="36"/>
        <v>0.57167917571793014</v>
      </c>
      <c r="O129">
        <f t="shared" si="37"/>
        <v>1.4941542623955351E-2</v>
      </c>
      <c r="P129">
        <f t="shared" si="38"/>
        <v>0.94311192759623608</v>
      </c>
      <c r="Q129">
        <f t="shared" si="39"/>
        <v>0.10610009185457656</v>
      </c>
      <c r="R129">
        <f t="shared" si="40"/>
        <v>0.47155596379811804</v>
      </c>
      <c r="S129">
        <f t="shared" si="41"/>
        <v>0.10085541271169862</v>
      </c>
      <c r="T129">
        <f t="shared" si="42"/>
        <v>0.1</v>
      </c>
      <c r="U129">
        <f t="shared" si="52"/>
        <v>2464.8047041251857</v>
      </c>
      <c r="V129">
        <f t="shared" si="43"/>
        <v>0.85709157469077335</v>
      </c>
      <c r="W129">
        <f t="shared" si="44"/>
        <v>2.6807930948137537E-4</v>
      </c>
      <c r="X129">
        <f t="shared" si="45"/>
        <v>0.197824114354857</v>
      </c>
      <c r="Y129">
        <f t="shared" si="46"/>
        <v>2.2255212864921416E-2</v>
      </c>
      <c r="Z129">
        <f t="shared" si="47"/>
        <v>9.89120571774285E-2</v>
      </c>
      <c r="AA129">
        <f t="shared" si="48"/>
        <v>1.8095353389992839E-3</v>
      </c>
      <c r="AB129">
        <f t="shared" si="49"/>
        <v>0.05</v>
      </c>
      <c r="AC129">
        <f t="shared" si="53"/>
        <v>0.93032705833909801</v>
      </c>
      <c r="AD129">
        <f t="shared" si="54"/>
        <v>4.8926971496527369E-3</v>
      </c>
      <c r="AE129">
        <f t="shared" si="55"/>
        <v>0.76106048011972616</v>
      </c>
      <c r="AF129">
        <f t="shared" si="56"/>
        <v>8.5619304013469191E-2</v>
      </c>
      <c r="AG129">
        <f t="shared" si="57"/>
        <v>0.38053024005986308</v>
      </c>
      <c r="AH129">
        <f t="shared" si="58"/>
        <v>3.3025705760155975E-2</v>
      </c>
      <c r="AI129">
        <f t="shared" si="59"/>
        <v>0.1</v>
      </c>
    </row>
    <row r="130" spans="5:35" x14ac:dyDescent="0.25">
      <c r="E130">
        <f t="shared" si="50"/>
        <v>12940.224696657226</v>
      </c>
      <c r="F130">
        <f t="shared" si="30"/>
        <v>0.52181202999962706</v>
      </c>
      <c r="G130">
        <f t="shared" si="31"/>
        <v>1.4927735320307737E-4</v>
      </c>
      <c r="H130">
        <f t="shared" si="32"/>
        <v>0.115653057661987</v>
      </c>
      <c r="I130">
        <f t="shared" si="33"/>
        <v>1.3010968986973537E-2</v>
      </c>
      <c r="J130">
        <f t="shared" si="34"/>
        <v>5.7826528830993498E-2</v>
      </c>
      <c r="K130">
        <f t="shared" si="35"/>
        <v>1.0076221341207723E-3</v>
      </c>
      <c r="L130">
        <v>129</v>
      </c>
      <c r="M130">
        <f t="shared" si="51"/>
        <v>0.05</v>
      </c>
      <c r="N130">
        <f t="shared" si="36"/>
        <v>0.56399083466694466</v>
      </c>
      <c r="O130">
        <f t="shared" si="37"/>
        <v>1.3551672592127365E-2</v>
      </c>
      <c r="P130">
        <f t="shared" si="38"/>
        <v>0.89713595067648777</v>
      </c>
      <c r="Q130">
        <f t="shared" si="39"/>
        <v>0.10092779445110488</v>
      </c>
      <c r="R130">
        <f t="shared" si="40"/>
        <v>0.44856797533824389</v>
      </c>
      <c r="S130">
        <f t="shared" si="41"/>
        <v>9.147378999685972E-2</v>
      </c>
      <c r="T130">
        <f t="shared" si="42"/>
        <v>0.1</v>
      </c>
      <c r="U130">
        <f t="shared" si="52"/>
        <v>2588.0449393314452</v>
      </c>
      <c r="V130">
        <f t="shared" si="43"/>
        <v>0.849972141552786</v>
      </c>
      <c r="W130">
        <f t="shared" si="44"/>
        <v>2.4315574247577615E-4</v>
      </c>
      <c r="X130">
        <f t="shared" si="45"/>
        <v>0.18838560908256022</v>
      </c>
      <c r="Y130">
        <f t="shared" si="46"/>
        <v>2.1193381021788023E-2</v>
      </c>
      <c r="Z130">
        <f t="shared" si="47"/>
        <v>9.4192804541280109E-2</v>
      </c>
      <c r="AA130">
        <f t="shared" si="48"/>
        <v>1.6413012617114892E-3</v>
      </c>
      <c r="AB130">
        <f t="shared" si="49"/>
        <v>0.05</v>
      </c>
      <c r="AC130">
        <f t="shared" si="53"/>
        <v>0.9201733851558046</v>
      </c>
      <c r="AD130">
        <f t="shared" si="54"/>
        <v>4.4377814229152913E-3</v>
      </c>
      <c r="AE130">
        <f t="shared" si="55"/>
        <v>0.72448028172406154</v>
      </c>
      <c r="AF130">
        <f t="shared" si="56"/>
        <v>8.1504031693956938E-2</v>
      </c>
      <c r="AG130">
        <f t="shared" si="57"/>
        <v>0.36224014086203077</v>
      </c>
      <c r="AH130">
        <f t="shared" si="58"/>
        <v>2.9955024604678217E-2</v>
      </c>
      <c r="AI130">
        <f t="shared" si="59"/>
        <v>0.1</v>
      </c>
    </row>
    <row r="131" spans="5:35" x14ac:dyDescent="0.25">
      <c r="E131">
        <f t="shared" si="50"/>
        <v>13587.235931490088</v>
      </c>
      <c r="F131">
        <f t="shared" ref="F131:F194" si="60">((0.14)/(($E131/$B$5)^0.02-1))*$B$4</f>
        <v>0.51750914239322332</v>
      </c>
      <c r="G131">
        <f t="shared" ref="G131:G194" si="61">((80)/(($E131/$B$5)^2-1))*$B$4</f>
        <v>1.3539891245158917E-4</v>
      </c>
      <c r="H131">
        <f t="shared" ref="H131:H194" si="62">((120)/(($E131/$B$5)-1))*$B$4</f>
        <v>0.11013557574857877</v>
      </c>
      <c r="I131">
        <f t="shared" ref="I131:I194" si="63">((13.5)/(($E131/$B$5)-1))*$B$4</f>
        <v>1.2390252271715111E-2</v>
      </c>
      <c r="J131">
        <f t="shared" ref="J131:J194" si="64">((60)/(($E131/$B$5)-1))*$B$4</f>
        <v>5.5067787874289384E-2</v>
      </c>
      <c r="K131">
        <f t="shared" ref="K131:K194" si="65">((540)/(($E131/$B$5)^2-1))*$B$4</f>
        <v>9.1394265904822696E-4</v>
      </c>
      <c r="L131">
        <v>130</v>
      </c>
      <c r="M131">
        <f t="shared" si="51"/>
        <v>0.05</v>
      </c>
      <c r="N131">
        <f t="shared" ref="N131:N194" si="66">((0.14)/(($E131/$B$28)^0.02-1))*$B$27</f>
        <v>0.55649933604429458</v>
      </c>
      <c r="O131">
        <f t="shared" ref="O131:O194" si="67">((80)/(($E131/$B$28)^2-1))*$B$27</f>
        <v>1.2291152011685407E-2</v>
      </c>
      <c r="P131">
        <f t="shared" ref="P131:P194" si="68">((120)/(($E131/$B$28)-1))*$B$27</f>
        <v>0.85345063928042131</v>
      </c>
      <c r="Q131">
        <f t="shared" ref="Q131:Q194" si="69">((13.5)/(($E131/$B$28)-1))*$B$27</f>
        <v>9.6013196919047389E-2</v>
      </c>
      <c r="R131">
        <f t="shared" ref="R131:R194" si="70">((60)/(($E131/$B$28)-1))*$B$27</f>
        <v>0.42672531964021065</v>
      </c>
      <c r="S131">
        <f t="shared" ref="S131:S194" si="71">((540)/(($E131/$B$28)^2-1))*$B$27</f>
        <v>8.2965276078876493E-2</v>
      </c>
      <c r="T131">
        <f t="shared" ref="T131:T194" si="72">IF($E131&lt;$B$31,HLOOKUP($B$29,$N$2:$S$242,$L131,FALSE),$B$30)</f>
        <v>0.1</v>
      </c>
      <c r="U131">
        <f t="shared" si="52"/>
        <v>2717.4471862980176</v>
      </c>
      <c r="V131">
        <f t="shared" ref="V131:V194" si="73">((0.14)/(($U131/$B$18)^0.02-1))*$B$17</f>
        <v>0.8429632295626226</v>
      </c>
      <c r="W131">
        <f t="shared" ref="W131:W194" si="74">((80)/(($U131/$B$18)^2-1))*$B$17</f>
        <v>2.2054934912190064E-4</v>
      </c>
      <c r="X131">
        <f t="shared" ref="X131:X194" si="75">((120)/(($U131/$B$18)-1))*$B$17</f>
        <v>0.17939826182281671</v>
      </c>
      <c r="Y131">
        <f t="shared" ref="Y131:Y194" si="76">((13.5)/(($U131/$B$18)-1))*$B$17</f>
        <v>2.0182304455066878E-2</v>
      </c>
      <c r="Z131">
        <f t="shared" ref="Z131:Z194" si="77">((60)/(($U131/$B$18)-1))*$B$17</f>
        <v>8.9699130911408353E-2</v>
      </c>
      <c r="AA131">
        <f t="shared" ref="AA131:AA194" si="78">((540)/(($U131/$B$18)^2-1))*$B$17</f>
        <v>1.4887081065728292E-3</v>
      </c>
      <c r="AB131">
        <f t="shared" ref="AB131:AB194" si="79">IF($U131&lt;$B$21,HLOOKUP($B$19,$V$2:$AA$242,$L131,FALSE),$B$20)</f>
        <v>0.05</v>
      </c>
      <c r="AC131">
        <f t="shared" si="53"/>
        <v>0.91022936136645494</v>
      </c>
      <c r="AD131">
        <f t="shared" si="54"/>
        <v>4.0251663851455762E-3</v>
      </c>
      <c r="AE131">
        <f t="shared" si="55"/>
        <v>0.68967381630866886</v>
      </c>
      <c r="AF131">
        <f t="shared" si="56"/>
        <v>7.7588304334725244E-2</v>
      </c>
      <c r="AG131">
        <f t="shared" si="57"/>
        <v>0.34483690815433443</v>
      </c>
      <c r="AH131">
        <f t="shared" si="58"/>
        <v>2.7169873099732636E-2</v>
      </c>
      <c r="AI131">
        <f t="shared" si="59"/>
        <v>0.1</v>
      </c>
    </row>
    <row r="132" spans="5:35" x14ac:dyDescent="0.25">
      <c r="E132">
        <f t="shared" ref="E132:E195" si="80">E131*(1+$B$15)</f>
        <v>14266.597728064593</v>
      </c>
      <c r="F132">
        <f t="shared" si="60"/>
        <v>0.51327253976795184</v>
      </c>
      <c r="G132">
        <f t="shared" si="61"/>
        <v>1.2281076597352956E-4</v>
      </c>
      <c r="H132">
        <f t="shared" si="62"/>
        <v>0.10488178043022116</v>
      </c>
      <c r="I132">
        <f t="shared" si="63"/>
        <v>1.179920029839988E-2</v>
      </c>
      <c r="J132">
        <f t="shared" si="64"/>
        <v>5.2440890215110579E-2</v>
      </c>
      <c r="K132">
        <f t="shared" si="65"/>
        <v>8.2897267032132457E-4</v>
      </c>
      <c r="L132">
        <v>131</v>
      </c>
      <c r="M132">
        <f t="shared" ref="M132:M195" si="81">IF($E132&lt;$B$8,HLOOKUP($B$6,$F$2:$K$242,L132,FALSE),$B$7)</f>
        <v>0.05</v>
      </c>
      <c r="N132">
        <f t="shared" si="66"/>
        <v>0.54919721928012966</v>
      </c>
      <c r="O132">
        <f t="shared" si="67"/>
        <v>1.1147931686638128E-2</v>
      </c>
      <c r="P132">
        <f t="shared" si="68"/>
        <v>0.81193718189601127</v>
      </c>
      <c r="Q132">
        <f t="shared" si="69"/>
        <v>9.1342932963301274E-2</v>
      </c>
      <c r="R132">
        <f t="shared" si="70"/>
        <v>0.40596859094800564</v>
      </c>
      <c r="S132">
        <f t="shared" si="71"/>
        <v>7.524853888480737E-2</v>
      </c>
      <c r="T132">
        <f t="shared" si="72"/>
        <v>0.1</v>
      </c>
      <c r="U132">
        <f t="shared" ref="U132:U195" si="82">U131*(1+$B$23)</f>
        <v>2853.3195456129188</v>
      </c>
      <c r="V132">
        <f t="shared" si="73"/>
        <v>0.83606228822880024</v>
      </c>
      <c r="W132">
        <f t="shared" si="74"/>
        <v>2.0004469762863373E-4</v>
      </c>
      <c r="X132">
        <f t="shared" si="75"/>
        <v>0.17084042988086701</v>
      </c>
      <c r="Y132">
        <f t="shared" si="76"/>
        <v>1.921954836159754E-2</v>
      </c>
      <c r="Z132">
        <f t="shared" si="77"/>
        <v>8.5420214940433503E-2</v>
      </c>
      <c r="AA132">
        <f t="shared" si="78"/>
        <v>1.3503017089932776E-3</v>
      </c>
      <c r="AB132">
        <f t="shared" si="79"/>
        <v>0.05</v>
      </c>
      <c r="AC132">
        <f t="shared" ref="AC132:AC195" si="83">((0.14)/(($U132/$B$34)^0.02-1))*$B$33</f>
        <v>0.90048856476234851</v>
      </c>
      <c r="AD132">
        <f t="shared" ref="AD132:AD195" si="84">((80)/(($U132/$B$34)^2-1))*$B$33</f>
        <v>3.6509180892501714E-3</v>
      </c>
      <c r="AE132">
        <f t="shared" ref="AE132:AE195" si="85">((120)/(($U132/$B$34)-1))*$B$33</f>
        <v>0.65655362360195557</v>
      </c>
      <c r="AF132">
        <f t="shared" ref="AF132:AF195" si="86">((13.5)/(($U132/$B$34)-1))*$B$33</f>
        <v>7.3862282655219991E-2</v>
      </c>
      <c r="AG132">
        <f t="shared" ref="AG132:AG195" si="87">((60)/(($U132/$B$34)-1))*$B$33</f>
        <v>0.32827681180097779</v>
      </c>
      <c r="AH132">
        <f t="shared" ref="AH132:AH195" si="88">((540)/(($U132/$B$34)^2-1))*$B$33</f>
        <v>2.4643697102438654E-2</v>
      </c>
      <c r="AI132">
        <f t="shared" ref="AI132:AI195" si="89">IF($U132&lt;$B$37,HLOOKUP($B$35,$AC$2:$AH$242,$L132,FALSE),$B$36)</f>
        <v>0.1</v>
      </c>
    </row>
    <row r="133" spans="5:35" x14ac:dyDescent="0.25">
      <c r="E133">
        <f t="shared" si="80"/>
        <v>14979.927614467822</v>
      </c>
      <c r="F133">
        <f t="shared" si="60"/>
        <v>0.50910070414502506</v>
      </c>
      <c r="G133">
        <f t="shared" si="61"/>
        <v>1.1139295294830236E-4</v>
      </c>
      <c r="H133">
        <f t="shared" si="62"/>
        <v>9.9879026711964844E-2</v>
      </c>
      <c r="I133">
        <f t="shared" si="63"/>
        <v>1.1236390505096045E-2</v>
      </c>
      <c r="J133">
        <f t="shared" si="64"/>
        <v>4.9939513355982422E-2</v>
      </c>
      <c r="K133">
        <f t="shared" si="65"/>
        <v>7.519024324010409E-4</v>
      </c>
      <c r="L133">
        <v>132</v>
      </c>
      <c r="M133">
        <f t="shared" si="81"/>
        <v>0.05</v>
      </c>
      <c r="N133">
        <f t="shared" si="66"/>
        <v>0.54207739612044992</v>
      </c>
      <c r="O133">
        <f t="shared" si="67"/>
        <v>1.0111086813465456E-2</v>
      </c>
      <c r="P133">
        <f t="shared" si="68"/>
        <v>0.7724833730667614</v>
      </c>
      <c r="Q133">
        <f t="shared" si="69"/>
        <v>8.6904379470010659E-2</v>
      </c>
      <c r="R133">
        <f t="shared" si="70"/>
        <v>0.3862416865333807</v>
      </c>
      <c r="S133">
        <f t="shared" si="71"/>
        <v>6.8249835990891836E-2</v>
      </c>
      <c r="T133">
        <f t="shared" si="72"/>
        <v>0.1</v>
      </c>
      <c r="U133">
        <f t="shared" si="82"/>
        <v>2995.9855228935648</v>
      </c>
      <c r="V133">
        <f t="shared" si="73"/>
        <v>0.82926684493741465</v>
      </c>
      <c r="W133">
        <f t="shared" si="74"/>
        <v>1.8144638553355109E-4</v>
      </c>
      <c r="X133">
        <f t="shared" si="75"/>
        <v>0.16269151600555729</v>
      </c>
      <c r="Y133">
        <f t="shared" si="76"/>
        <v>1.8302795550625195E-2</v>
      </c>
      <c r="Z133">
        <f t="shared" si="77"/>
        <v>8.1345758002778643E-2</v>
      </c>
      <c r="AA133">
        <f t="shared" si="78"/>
        <v>1.2247631023514698E-3</v>
      </c>
      <c r="AB133">
        <f t="shared" si="79"/>
        <v>0.05</v>
      </c>
      <c r="AC133">
        <f t="shared" si="83"/>
        <v>0.89094483279272674</v>
      </c>
      <c r="AD133">
        <f t="shared" si="84"/>
        <v>3.311468547355651E-3</v>
      </c>
      <c r="AE133">
        <f t="shared" si="85"/>
        <v>0.62503669203321555</v>
      </c>
      <c r="AF133">
        <f t="shared" si="86"/>
        <v>7.0316627853736741E-2</v>
      </c>
      <c r="AG133">
        <f t="shared" si="87"/>
        <v>0.31251834601660777</v>
      </c>
      <c r="AH133">
        <f t="shared" si="88"/>
        <v>2.2352412694650641E-2</v>
      </c>
      <c r="AI133">
        <f t="shared" si="89"/>
        <v>0.1</v>
      </c>
    </row>
    <row r="134" spans="5:35" x14ac:dyDescent="0.25">
      <c r="E134">
        <f t="shared" si="80"/>
        <v>15728.923995191215</v>
      </c>
      <c r="F134">
        <f t="shared" si="60"/>
        <v>0.50499216354499454</v>
      </c>
      <c r="G134">
        <f t="shared" si="61"/>
        <v>1.0103666563937381E-4</v>
      </c>
      <c r="H134">
        <f t="shared" si="62"/>
        <v>9.5115279999567259E-2</v>
      </c>
      <c r="I134">
        <f t="shared" si="63"/>
        <v>1.0700468999951317E-2</v>
      </c>
      <c r="J134">
        <f t="shared" si="64"/>
        <v>4.755763999978363E-2</v>
      </c>
      <c r="K134">
        <f t="shared" si="65"/>
        <v>6.8199749306577327E-4</v>
      </c>
      <c r="L134">
        <v>133</v>
      </c>
      <c r="M134">
        <f t="shared" si="81"/>
        <v>0.05</v>
      </c>
      <c r="N134">
        <f t="shared" si="66"/>
        <v>0.53513312768802379</v>
      </c>
      <c r="O134">
        <f t="shared" si="67"/>
        <v>9.1707117049438496E-3</v>
      </c>
      <c r="P134">
        <f t="shared" si="68"/>
        <v>0.73498320450177712</v>
      </c>
      <c r="Q134">
        <f t="shared" si="69"/>
        <v>8.2685610506449916E-2</v>
      </c>
      <c r="R134">
        <f t="shared" si="70"/>
        <v>0.36749160225088856</v>
      </c>
      <c r="S134">
        <f t="shared" si="71"/>
        <v>6.1902304008370983E-2</v>
      </c>
      <c r="T134">
        <f t="shared" si="72"/>
        <v>0.1</v>
      </c>
      <c r="U134">
        <f t="shared" si="82"/>
        <v>3145.7847990382434</v>
      </c>
      <c r="V134">
        <f t="shared" si="73"/>
        <v>0.82257450200222582</v>
      </c>
      <c r="W134">
        <f t="shared" si="74"/>
        <v>1.6457717747310794E-4</v>
      </c>
      <c r="X134">
        <f t="shared" si="75"/>
        <v>0.154931917218702</v>
      </c>
      <c r="Y134">
        <f t="shared" si="76"/>
        <v>1.7429840687103976E-2</v>
      </c>
      <c r="Z134">
        <f t="shared" si="77"/>
        <v>7.7465958609351002E-2</v>
      </c>
      <c r="AA134">
        <f t="shared" si="78"/>
        <v>1.1108959479434787E-3</v>
      </c>
      <c r="AB134">
        <f t="shared" si="79"/>
        <v>0.05</v>
      </c>
      <c r="AC134">
        <f t="shared" si="83"/>
        <v>0.88159224957322802</v>
      </c>
      <c r="AD134">
        <f t="shared" si="84"/>
        <v>3.0035816687103561E-3</v>
      </c>
      <c r="AE134">
        <f t="shared" si="85"/>
        <v>0.59504421975925048</v>
      </c>
      <c r="AF134">
        <f t="shared" si="86"/>
        <v>6.6942474722915687E-2</v>
      </c>
      <c r="AG134">
        <f t="shared" si="87"/>
        <v>0.29752210987962524</v>
      </c>
      <c r="AH134">
        <f t="shared" si="88"/>
        <v>2.0274176263794901E-2</v>
      </c>
      <c r="AI134">
        <f t="shared" si="89"/>
        <v>0.1</v>
      </c>
    </row>
    <row r="135" spans="5:35" x14ac:dyDescent="0.25">
      <c r="E135">
        <f t="shared" si="80"/>
        <v>16515.370194950778</v>
      </c>
      <c r="F135">
        <f t="shared" si="60"/>
        <v>0.50094549025845536</v>
      </c>
      <c r="G135">
        <f t="shared" si="61"/>
        <v>9.1643212439422488E-5</v>
      </c>
      <c r="H135">
        <f t="shared" si="62"/>
        <v>9.0579086260788352E-2</v>
      </c>
      <c r="I135">
        <f t="shared" si="63"/>
        <v>1.019014720433869E-2</v>
      </c>
      <c r="J135">
        <f t="shared" si="64"/>
        <v>4.5289543130394176E-2</v>
      </c>
      <c r="K135">
        <f t="shared" si="65"/>
        <v>6.1859168396610179E-4</v>
      </c>
      <c r="L135">
        <v>134</v>
      </c>
      <c r="M135">
        <f t="shared" si="81"/>
        <v>0.05</v>
      </c>
      <c r="N135">
        <f t="shared" si="66"/>
        <v>0.5283580032186197</v>
      </c>
      <c r="O135">
        <f t="shared" si="67"/>
        <v>8.3178244331667331E-3</v>
      </c>
      <c r="P135">
        <f t="shared" si="68"/>
        <v>0.69933648530152615</v>
      </c>
      <c r="Q135">
        <f t="shared" si="69"/>
        <v>7.8675354596421693E-2</v>
      </c>
      <c r="R135">
        <f t="shared" si="70"/>
        <v>0.34966824265076307</v>
      </c>
      <c r="S135">
        <f t="shared" si="71"/>
        <v>5.6145314923875443E-2</v>
      </c>
      <c r="T135">
        <f t="shared" si="72"/>
        <v>0.1</v>
      </c>
      <c r="U135">
        <f t="shared" si="82"/>
        <v>3303.0740389901557</v>
      </c>
      <c r="V135">
        <f t="shared" si="73"/>
        <v>0.81598293384783382</v>
      </c>
      <c r="W135">
        <f t="shared" si="74"/>
        <v>1.4927631610173593E-4</v>
      </c>
      <c r="X135">
        <f t="shared" si="75"/>
        <v>0.14754297621124571</v>
      </c>
      <c r="Y135">
        <f t="shared" si="76"/>
        <v>1.6598584823765142E-2</v>
      </c>
      <c r="Z135">
        <f t="shared" si="77"/>
        <v>7.3771488105622854E-2</v>
      </c>
      <c r="AA135">
        <f t="shared" si="78"/>
        <v>1.0076151336867176E-3</v>
      </c>
      <c r="AB135">
        <f t="shared" si="79"/>
        <v>0.05</v>
      </c>
      <c r="AC135">
        <f t="shared" si="83"/>
        <v>0.87242513366660679</v>
      </c>
      <c r="AD135">
        <f t="shared" si="84"/>
        <v>2.7243223712170913E-3</v>
      </c>
      <c r="AE135">
        <f t="shared" si="85"/>
        <v>0.56650138969478048</v>
      </c>
      <c r="AF135">
        <f t="shared" si="86"/>
        <v>6.3731406340662794E-2</v>
      </c>
      <c r="AG135">
        <f t="shared" si="87"/>
        <v>0.28325069484739024</v>
      </c>
      <c r="AH135">
        <f t="shared" si="88"/>
        <v>1.8389176005715369E-2</v>
      </c>
      <c r="AI135">
        <f t="shared" si="89"/>
        <v>0.1</v>
      </c>
    </row>
    <row r="136" spans="5:35" x14ac:dyDescent="0.25">
      <c r="E136">
        <f t="shared" si="80"/>
        <v>17341.138704698318</v>
      </c>
      <c r="F136">
        <f t="shared" si="60"/>
        <v>0.49695929919417803</v>
      </c>
      <c r="G136">
        <f t="shared" si="61"/>
        <v>8.312307733002114E-5</v>
      </c>
      <c r="H136">
        <f t="shared" si="62"/>
        <v>8.6259543679930301E-2</v>
      </c>
      <c r="I136">
        <f t="shared" si="63"/>
        <v>9.7041986639921588E-3</v>
      </c>
      <c r="J136">
        <f t="shared" si="64"/>
        <v>4.312977183996515E-2</v>
      </c>
      <c r="K136">
        <f t="shared" si="65"/>
        <v>5.6108077197764277E-4</v>
      </c>
      <c r="L136">
        <v>135</v>
      </c>
      <c r="M136">
        <f t="shared" si="81"/>
        <v>0.05</v>
      </c>
      <c r="N136">
        <f t="shared" si="66"/>
        <v>0.52174592033156708</v>
      </c>
      <c r="O136">
        <f t="shared" si="67"/>
        <v>7.5442804461641486E-3</v>
      </c>
      <c r="P136">
        <f t="shared" si="68"/>
        <v>0.66544848888962516</v>
      </c>
      <c r="Q136">
        <f t="shared" si="69"/>
        <v>7.4862955000082831E-2</v>
      </c>
      <c r="R136">
        <f t="shared" si="70"/>
        <v>0.33272424444481258</v>
      </c>
      <c r="S136">
        <f t="shared" si="71"/>
        <v>5.0923893011608004E-2</v>
      </c>
      <c r="T136">
        <f t="shared" si="72"/>
        <v>0.1</v>
      </c>
      <c r="U136">
        <f t="shared" si="82"/>
        <v>3468.2277409396638</v>
      </c>
      <c r="V136">
        <f t="shared" si="73"/>
        <v>0.80948988431897428</v>
      </c>
      <c r="W136">
        <f t="shared" si="74"/>
        <v>1.3539799005919122E-4</v>
      </c>
      <c r="X136">
        <f t="shared" si="75"/>
        <v>0.14050693517174917</v>
      </c>
      <c r="Y136">
        <f t="shared" si="76"/>
        <v>1.5807030206821782E-2</v>
      </c>
      <c r="Z136">
        <f t="shared" si="77"/>
        <v>7.0253467585874585E-2</v>
      </c>
      <c r="AA136">
        <f t="shared" si="78"/>
        <v>9.1393643289954072E-4</v>
      </c>
      <c r="AB136">
        <f t="shared" si="79"/>
        <v>0.05</v>
      </c>
      <c r="AC136">
        <f t="shared" si="83"/>
        <v>0.86343802658271773</v>
      </c>
      <c r="AD136">
        <f t="shared" si="84"/>
        <v>2.4710285703257997E-3</v>
      </c>
      <c r="AE136">
        <f t="shared" si="85"/>
        <v>0.53933715762163981</v>
      </c>
      <c r="AF136">
        <f t="shared" si="86"/>
        <v>6.0675430232434484E-2</v>
      </c>
      <c r="AG136">
        <f t="shared" si="87"/>
        <v>0.2696685788108199</v>
      </c>
      <c r="AH136">
        <f t="shared" si="88"/>
        <v>1.6679442849699151E-2</v>
      </c>
      <c r="AI136">
        <f t="shared" si="89"/>
        <v>0.1</v>
      </c>
    </row>
    <row r="137" spans="5:35" x14ac:dyDescent="0.25">
      <c r="E137">
        <f t="shared" si="80"/>
        <v>18208.195639933234</v>
      </c>
      <c r="F137">
        <f t="shared" si="60"/>
        <v>0.4930322463006569</v>
      </c>
      <c r="G137">
        <f t="shared" si="61"/>
        <v>7.5395066790670236E-5</v>
      </c>
      <c r="H137">
        <f t="shared" si="62"/>
        <v>8.2146275727709064E-2</v>
      </c>
      <c r="I137">
        <f t="shared" si="63"/>
        <v>9.241456019367272E-3</v>
      </c>
      <c r="J137">
        <f t="shared" si="64"/>
        <v>4.1073137863854532E-2</v>
      </c>
      <c r="K137">
        <f t="shared" si="65"/>
        <v>5.0891670083702404E-4</v>
      </c>
      <c r="L137">
        <v>136</v>
      </c>
      <c r="M137">
        <f t="shared" si="81"/>
        <v>0.05</v>
      </c>
      <c r="N137">
        <f t="shared" si="66"/>
        <v>0.51529106670699198</v>
      </c>
      <c r="O137">
        <f t="shared" si="67"/>
        <v>6.8426943046049843E-3</v>
      </c>
      <c r="P137">
        <f t="shared" si="68"/>
        <v>0.63322962446942976</v>
      </c>
      <c r="Q137">
        <f t="shared" si="69"/>
        <v>7.1238332752810843E-2</v>
      </c>
      <c r="R137">
        <f t="shared" si="70"/>
        <v>0.31661481223471488</v>
      </c>
      <c r="S137">
        <f t="shared" si="71"/>
        <v>4.6188186556083644E-2</v>
      </c>
      <c r="T137">
        <f t="shared" si="72"/>
        <v>0.1</v>
      </c>
      <c r="U137">
        <f t="shared" si="82"/>
        <v>3641.6391279866471</v>
      </c>
      <c r="V137">
        <f t="shared" si="73"/>
        <v>0.80309316410940068</v>
      </c>
      <c r="W137">
        <f t="shared" si="74"/>
        <v>1.2280994438289801E-4</v>
      </c>
      <c r="X137">
        <f t="shared" si="75"/>
        <v>0.13380689192028866</v>
      </c>
      <c r="Y137">
        <f t="shared" si="76"/>
        <v>1.5053275341032476E-2</v>
      </c>
      <c r="Z137">
        <f t="shared" si="77"/>
        <v>6.6903445960144331E-2</v>
      </c>
      <c r="AA137">
        <f t="shared" si="78"/>
        <v>8.2896712458456164E-4</v>
      </c>
      <c r="AB137">
        <f t="shared" si="79"/>
        <v>0.05</v>
      </c>
      <c r="AC137">
        <f t="shared" si="83"/>
        <v>0.85462568194883592</v>
      </c>
      <c r="AD137">
        <f t="shared" si="84"/>
        <v>2.2412857767756412E-3</v>
      </c>
      <c r="AE137">
        <f t="shared" si="85"/>
        <v>0.51348405252179596</v>
      </c>
      <c r="AF137">
        <f t="shared" si="86"/>
        <v>5.7766955908702053E-2</v>
      </c>
      <c r="AG137">
        <f t="shared" si="87"/>
        <v>0.25674202626089798</v>
      </c>
      <c r="AH137">
        <f t="shared" si="88"/>
        <v>1.5128678993235578E-2</v>
      </c>
      <c r="AI137">
        <f t="shared" si="89"/>
        <v>0.1</v>
      </c>
    </row>
    <row r="138" spans="5:35" x14ac:dyDescent="0.25">
      <c r="E138">
        <f t="shared" si="80"/>
        <v>19118.605421929897</v>
      </c>
      <c r="F138">
        <f t="shared" si="60"/>
        <v>0.48916302705729786</v>
      </c>
      <c r="G138">
        <f t="shared" si="61"/>
        <v>6.8385536025760796E-5</v>
      </c>
      <c r="H138">
        <f t="shared" si="62"/>
        <v>7.8229405572898078E-2</v>
      </c>
      <c r="I138">
        <f t="shared" si="63"/>
        <v>8.800808126951035E-3</v>
      </c>
      <c r="J138">
        <f t="shared" si="64"/>
        <v>3.9114702786449039E-2</v>
      </c>
      <c r="K138">
        <f t="shared" si="65"/>
        <v>4.6160236817388545E-4</v>
      </c>
      <c r="L138">
        <v>137</v>
      </c>
      <c r="M138">
        <f t="shared" si="81"/>
        <v>0.05</v>
      </c>
      <c r="N138">
        <f t="shared" si="66"/>
        <v>0.50898790305409691</v>
      </c>
      <c r="O138">
        <f t="shared" si="67"/>
        <v>6.2063687678405146E-3</v>
      </c>
      <c r="P138">
        <f t="shared" si="68"/>
        <v>0.60259513102842099</v>
      </c>
      <c r="Q138">
        <f t="shared" si="69"/>
        <v>6.7791952240697367E-2</v>
      </c>
      <c r="R138">
        <f t="shared" si="70"/>
        <v>0.3012975655142105</v>
      </c>
      <c r="S138">
        <f t="shared" si="71"/>
        <v>4.1892989182923474E-2</v>
      </c>
      <c r="T138">
        <f t="shared" si="72"/>
        <v>0.1</v>
      </c>
      <c r="U138">
        <f t="shared" si="82"/>
        <v>3823.7210843859798</v>
      </c>
      <c r="V138">
        <f t="shared" si="73"/>
        <v>0.79679064830420265</v>
      </c>
      <c r="W138">
        <f t="shared" si="74"/>
        <v>1.1139222012013143E-4</v>
      </c>
      <c r="X138">
        <f t="shared" si="75"/>
        <v>0.12742675822794877</v>
      </c>
      <c r="Y138">
        <f t="shared" si="76"/>
        <v>1.4335510300644236E-2</v>
      </c>
      <c r="Z138">
        <f t="shared" si="77"/>
        <v>6.3713379113974386E-2</v>
      </c>
      <c r="AA138">
        <f t="shared" si="78"/>
        <v>7.5189748581088714E-4</v>
      </c>
      <c r="AB138">
        <f t="shared" si="79"/>
        <v>0.05</v>
      </c>
      <c r="AC138">
        <f t="shared" si="83"/>
        <v>0.84598305530516182</v>
      </c>
      <c r="AD138">
        <f t="shared" si="84"/>
        <v>2.0329040598170154E-3</v>
      </c>
      <c r="AE138">
        <f t="shared" si="85"/>
        <v>0.48887798834323676</v>
      </c>
      <c r="AF138">
        <f t="shared" si="86"/>
        <v>5.4998773688614139E-2</v>
      </c>
      <c r="AG138">
        <f t="shared" si="87"/>
        <v>0.24443899417161838</v>
      </c>
      <c r="AH138">
        <f t="shared" si="88"/>
        <v>1.3722102403764855E-2</v>
      </c>
      <c r="AI138">
        <f t="shared" si="89"/>
        <v>0.1</v>
      </c>
    </row>
    <row r="139" spans="5:35" x14ac:dyDescent="0.25">
      <c r="E139">
        <f t="shared" si="80"/>
        <v>20074.535693026392</v>
      </c>
      <c r="F139">
        <f t="shared" si="60"/>
        <v>0.48535037503168216</v>
      </c>
      <c r="G139">
        <f t="shared" si="61"/>
        <v>6.2027687134241129E-5</v>
      </c>
      <c r="H139">
        <f t="shared" si="62"/>
        <v>7.4499531766269986E-2</v>
      </c>
      <c r="I139">
        <f t="shared" si="63"/>
        <v>8.381197323705375E-3</v>
      </c>
      <c r="J139">
        <f t="shared" si="64"/>
        <v>3.7249765883134993E-2</v>
      </c>
      <c r="K139">
        <f t="shared" si="65"/>
        <v>4.1868688815612756E-4</v>
      </c>
      <c r="L139">
        <v>138</v>
      </c>
      <c r="M139">
        <f t="shared" si="81"/>
        <v>0.05</v>
      </c>
      <c r="N139">
        <f t="shared" si="66"/>
        <v>0.50283114726558897</v>
      </c>
      <c r="O139">
        <f t="shared" si="67"/>
        <v>5.6292305330174148E-3</v>
      </c>
      <c r="P139">
        <f t="shared" si="68"/>
        <v>0.57346479209618662</v>
      </c>
      <c r="Q139">
        <f t="shared" si="69"/>
        <v>6.451478911082098E-2</v>
      </c>
      <c r="R139">
        <f t="shared" si="70"/>
        <v>0.28673239604809331</v>
      </c>
      <c r="S139">
        <f t="shared" si="71"/>
        <v>3.7997306097867549E-2</v>
      </c>
      <c r="T139">
        <f t="shared" si="72"/>
        <v>0.1</v>
      </c>
      <c r="U139">
        <f t="shared" si="82"/>
        <v>4014.9071386052788</v>
      </c>
      <c r="V139">
        <f t="shared" si="73"/>
        <v>0.79058027402975273</v>
      </c>
      <c r="W139">
        <f t="shared" si="74"/>
        <v>1.0103601112664038E-4</v>
      </c>
      <c r="X139">
        <f t="shared" si="75"/>
        <v>0.1213512202087437</v>
      </c>
      <c r="Y139">
        <f t="shared" si="76"/>
        <v>1.3652012273483666E-2</v>
      </c>
      <c r="Z139">
        <f t="shared" si="77"/>
        <v>6.0675610104371849E-2</v>
      </c>
      <c r="AA139">
        <f t="shared" si="78"/>
        <v>6.8199307510482252E-4</v>
      </c>
      <c r="AB139">
        <f t="shared" si="79"/>
        <v>0.05</v>
      </c>
      <c r="AC139">
        <f t="shared" si="83"/>
        <v>0.83750529448381861</v>
      </c>
      <c r="AD139">
        <f t="shared" si="84"/>
        <v>1.8438971553163472E-3</v>
      </c>
      <c r="AE139">
        <f t="shared" si="85"/>
        <v>0.46545808646632258</v>
      </c>
      <c r="AF139">
        <f t="shared" si="86"/>
        <v>5.2364034727461289E-2</v>
      </c>
      <c r="AG139">
        <f t="shared" si="87"/>
        <v>0.23272904323316129</v>
      </c>
      <c r="AH139">
        <f t="shared" si="88"/>
        <v>1.2446305798385343E-2</v>
      </c>
      <c r="AI139">
        <f t="shared" si="89"/>
        <v>0.1</v>
      </c>
    </row>
    <row r="140" spans="5:35" x14ac:dyDescent="0.25">
      <c r="E140">
        <f t="shared" si="80"/>
        <v>21078.262477677712</v>
      </c>
      <c r="F140">
        <f t="shared" si="60"/>
        <v>0.48159306049956374</v>
      </c>
      <c r="G140">
        <f t="shared" si="61"/>
        <v>5.626093253261758E-5</v>
      </c>
      <c r="H140">
        <f t="shared" si="62"/>
        <v>7.0947705131197733E-2</v>
      </c>
      <c r="I140">
        <f t="shared" si="63"/>
        <v>7.9816168272597438E-3</v>
      </c>
      <c r="J140">
        <f t="shared" si="64"/>
        <v>3.5473852565598867E-2</v>
      </c>
      <c r="K140">
        <f t="shared" si="65"/>
        <v>3.7976129459516868E-4</v>
      </c>
      <c r="L140">
        <v>139</v>
      </c>
      <c r="M140">
        <f t="shared" si="81"/>
        <v>0.05</v>
      </c>
      <c r="N140">
        <f t="shared" si="66"/>
        <v>0.49681575966299146</v>
      </c>
      <c r="O140">
        <f t="shared" si="67"/>
        <v>5.1057719980332284E-3</v>
      </c>
      <c r="P140">
        <f t="shared" si="68"/>
        <v>0.54576266962565667</v>
      </c>
      <c r="Q140">
        <f t="shared" si="69"/>
        <v>6.1398300332886381E-2</v>
      </c>
      <c r="R140">
        <f t="shared" si="70"/>
        <v>0.27288133481282834</v>
      </c>
      <c r="S140">
        <f t="shared" si="71"/>
        <v>3.4463960986724294E-2</v>
      </c>
      <c r="T140">
        <f t="shared" si="72"/>
        <v>0.1</v>
      </c>
      <c r="U140">
        <f t="shared" si="82"/>
        <v>4215.6524955355426</v>
      </c>
      <c r="V140">
        <f t="shared" si="73"/>
        <v>0.78446003820584054</v>
      </c>
      <c r="W140">
        <f t="shared" si="74"/>
        <v>9.1642627155491129E-5</v>
      </c>
      <c r="X140">
        <f t="shared" si="75"/>
        <v>0.11556570067704805</v>
      </c>
      <c r="Y140">
        <f t="shared" si="76"/>
        <v>1.3001141326167906E-2</v>
      </c>
      <c r="Z140">
        <f t="shared" si="77"/>
        <v>5.7782850338524025E-2</v>
      </c>
      <c r="AA140">
        <f t="shared" si="78"/>
        <v>6.1858773329956515E-4</v>
      </c>
      <c r="AB140">
        <f t="shared" si="79"/>
        <v>0.05</v>
      </c>
      <c r="AC140">
        <f t="shared" si="83"/>
        <v>0.82918773053276507</v>
      </c>
      <c r="AD140">
        <f t="shared" si="84"/>
        <v>1.6724635187755853E-3</v>
      </c>
      <c r="AE140">
        <f t="shared" si="85"/>
        <v>0.44316650819181647</v>
      </c>
      <c r="AF140">
        <f t="shared" si="86"/>
        <v>4.9856232171579355E-2</v>
      </c>
      <c r="AG140">
        <f t="shared" si="87"/>
        <v>0.22158325409590823</v>
      </c>
      <c r="AH140">
        <f t="shared" si="88"/>
        <v>1.1289128751735199E-2</v>
      </c>
      <c r="AI140">
        <f t="shared" si="89"/>
        <v>0.1</v>
      </c>
    </row>
    <row r="141" spans="5:35" x14ac:dyDescent="0.25">
      <c r="E141">
        <f t="shared" si="80"/>
        <v>22132.175601561597</v>
      </c>
      <c r="F141">
        <f t="shared" si="60"/>
        <v>0.47788988912442809</v>
      </c>
      <c r="G141">
        <f t="shared" si="61"/>
        <v>5.1030317563978726E-5</v>
      </c>
      <c r="H141">
        <f t="shared" si="62"/>
        <v>6.7565406798878264E-2</v>
      </c>
      <c r="I141">
        <f t="shared" si="63"/>
        <v>7.6011082648738057E-3</v>
      </c>
      <c r="J141">
        <f t="shared" si="64"/>
        <v>3.3782703399439132E-2</v>
      </c>
      <c r="K141">
        <f t="shared" si="65"/>
        <v>3.4445464355685641E-4</v>
      </c>
      <c r="L141">
        <v>140</v>
      </c>
      <c r="M141">
        <f t="shared" si="81"/>
        <v>0.05</v>
      </c>
      <c r="N141">
        <f t="shared" si="66"/>
        <v>0.49093692924620158</v>
      </c>
      <c r="O141">
        <f t="shared" si="67"/>
        <v>4.6309984795070902E-3</v>
      </c>
      <c r="P141">
        <f t="shared" si="68"/>
        <v>0.51941685551433903</v>
      </c>
      <c r="Q141">
        <f t="shared" si="69"/>
        <v>5.8434396245363153E-2</v>
      </c>
      <c r="R141">
        <f t="shared" si="70"/>
        <v>0.25970842775716951</v>
      </c>
      <c r="S141">
        <f t="shared" si="71"/>
        <v>3.1259239736672863E-2</v>
      </c>
      <c r="T141">
        <f t="shared" si="72"/>
        <v>0.1</v>
      </c>
      <c r="U141">
        <f t="shared" si="82"/>
        <v>4426.4351203123197</v>
      </c>
      <c r="V141">
        <f t="shared" si="73"/>
        <v>0.77842799539482432</v>
      </c>
      <c r="W141">
        <f t="shared" si="74"/>
        <v>8.3122553353177293E-5</v>
      </c>
      <c r="X141">
        <f t="shared" si="75"/>
        <v>0.11005632336948762</v>
      </c>
      <c r="Y141">
        <f t="shared" si="76"/>
        <v>1.2381336379067357E-2</v>
      </c>
      <c r="Z141">
        <f t="shared" si="77"/>
        <v>5.5028161684743809E-2</v>
      </c>
      <c r="AA141">
        <f t="shared" si="78"/>
        <v>5.610772351339467E-4</v>
      </c>
      <c r="AB141">
        <f t="shared" si="79"/>
        <v>0.05</v>
      </c>
      <c r="AC141">
        <f t="shared" si="83"/>
        <v>0.82102586914897657</v>
      </c>
      <c r="AD141">
        <f t="shared" si="84"/>
        <v>1.5169691419883707E-3</v>
      </c>
      <c r="AE141">
        <f t="shared" si="85"/>
        <v>0.42194829662094313</v>
      </c>
      <c r="AF141">
        <f t="shared" si="86"/>
        <v>4.7469183369856109E-2</v>
      </c>
      <c r="AG141">
        <f t="shared" si="87"/>
        <v>0.21097414831047157</v>
      </c>
      <c r="AH141">
        <f t="shared" si="88"/>
        <v>1.0239541708421502E-2</v>
      </c>
      <c r="AI141">
        <f t="shared" si="89"/>
        <v>0.1</v>
      </c>
    </row>
    <row r="142" spans="5:35" x14ac:dyDescent="0.25">
      <c r="E142">
        <f t="shared" si="80"/>
        <v>23238.784381639678</v>
      </c>
      <c r="F142">
        <f t="shared" si="60"/>
        <v>0.47423970069364579</v>
      </c>
      <c r="G142">
        <f t="shared" si="61"/>
        <v>4.6285996789932843E-5</v>
      </c>
      <c r="H142">
        <f t="shared" si="62"/>
        <v>6.4344527329528237E-2</v>
      </c>
      <c r="I142">
        <f t="shared" si="63"/>
        <v>7.2387593245719275E-3</v>
      </c>
      <c r="J142">
        <f t="shared" si="64"/>
        <v>3.2172263664764118E-2</v>
      </c>
      <c r="K142">
        <f t="shared" si="65"/>
        <v>3.124304783320467E-4</v>
      </c>
      <c r="L142">
        <v>141</v>
      </c>
      <c r="M142">
        <f t="shared" si="81"/>
        <v>0.05</v>
      </c>
      <c r="N142">
        <f t="shared" si="66"/>
        <v>0.48519006086845445</v>
      </c>
      <c r="O142">
        <f t="shared" si="67"/>
        <v>4.2003803713846453E-3</v>
      </c>
      <c r="P142">
        <f t="shared" si="68"/>
        <v>0.49435923941447374</v>
      </c>
      <c r="Q142">
        <f t="shared" si="69"/>
        <v>5.5615414434128298E-2</v>
      </c>
      <c r="R142">
        <f t="shared" si="70"/>
        <v>0.24717961970723687</v>
      </c>
      <c r="S142">
        <f t="shared" si="71"/>
        <v>2.8352567506846355E-2</v>
      </c>
      <c r="T142">
        <f t="shared" si="72"/>
        <v>0.1</v>
      </c>
      <c r="U142">
        <f t="shared" si="82"/>
        <v>4647.756876327936</v>
      </c>
      <c r="V142">
        <f t="shared" si="73"/>
        <v>0.77248225574297025</v>
      </c>
      <c r="W142">
        <f t="shared" si="74"/>
        <v>7.5394597199057896E-5</v>
      </c>
      <c r="X142">
        <f t="shared" si="75"/>
        <v>0.10480987893575387</v>
      </c>
      <c r="Y142">
        <f t="shared" si="76"/>
        <v>1.1791111380272312E-2</v>
      </c>
      <c r="Z142">
        <f t="shared" si="77"/>
        <v>5.2404939467876936E-2</v>
      </c>
      <c r="AA142">
        <f t="shared" si="78"/>
        <v>5.089135310936408E-4</v>
      </c>
      <c r="AB142">
        <f t="shared" si="79"/>
        <v>0.05</v>
      </c>
      <c r="AC142">
        <f t="shared" si="83"/>
        <v>0.81301538258785089</v>
      </c>
      <c r="AD142">
        <f t="shared" si="84"/>
        <v>1.3759319689896153E-3</v>
      </c>
      <c r="AE142">
        <f t="shared" si="85"/>
        <v>0.40175122734291691</v>
      </c>
      <c r="AF142">
        <f t="shared" si="86"/>
        <v>4.5197013076078152E-2</v>
      </c>
      <c r="AG142">
        <f t="shared" si="87"/>
        <v>0.20087561367145845</v>
      </c>
      <c r="AH142">
        <f t="shared" si="88"/>
        <v>9.2875407906799021E-3</v>
      </c>
      <c r="AI142">
        <f t="shared" si="89"/>
        <v>0.1</v>
      </c>
    </row>
    <row r="143" spans="5:35" x14ac:dyDescent="0.25">
      <c r="E143">
        <f t="shared" si="80"/>
        <v>24400.723600721663</v>
      </c>
      <c r="F143">
        <f t="shared" si="60"/>
        <v>0.47064136790840583</v>
      </c>
      <c r="G143">
        <f t="shared" si="61"/>
        <v>4.1982758974074207E-5</v>
      </c>
      <c r="H143">
        <f t="shared" si="62"/>
        <v>6.1277346864084085E-2</v>
      </c>
      <c r="I143">
        <f t="shared" si="63"/>
        <v>6.89370152220946E-3</v>
      </c>
      <c r="J143">
        <f t="shared" si="64"/>
        <v>3.0638673432042043E-2</v>
      </c>
      <c r="K143">
        <f t="shared" si="65"/>
        <v>2.8338362307500084E-4</v>
      </c>
      <c r="L143">
        <v>142</v>
      </c>
      <c r="M143">
        <f t="shared" si="81"/>
        <v>0.05</v>
      </c>
      <c r="N143">
        <f t="shared" si="66"/>
        <v>0.47957076326484466</v>
      </c>
      <c r="O143">
        <f t="shared" si="67"/>
        <v>3.8098097789024256E-3</v>
      </c>
      <c r="P143">
        <f t="shared" si="68"/>
        <v>0.47052529159997664</v>
      </c>
      <c r="Q143">
        <f t="shared" si="69"/>
        <v>5.2934095304997375E-2</v>
      </c>
      <c r="R143">
        <f t="shared" si="70"/>
        <v>0.23526264579998832</v>
      </c>
      <c r="S143">
        <f t="shared" si="71"/>
        <v>2.5716216007591376E-2</v>
      </c>
      <c r="T143">
        <f t="shared" si="72"/>
        <v>0.1</v>
      </c>
      <c r="U143">
        <f t="shared" si="82"/>
        <v>4880.1447201443334</v>
      </c>
      <c r="V143">
        <f t="shared" si="73"/>
        <v>0.76662098300939185</v>
      </c>
      <c r="W143">
        <f t="shared" si="74"/>
        <v>6.83851147577295E-5</v>
      </c>
      <c r="X143">
        <f t="shared" si="75"/>
        <v>9.9813792607992696E-2</v>
      </c>
      <c r="Y143">
        <f t="shared" si="76"/>
        <v>1.1229051668399178E-2</v>
      </c>
      <c r="Z143">
        <f t="shared" si="77"/>
        <v>4.9906896303996348E-2</v>
      </c>
      <c r="AA143">
        <f t="shared" si="78"/>
        <v>4.6159952461467417E-4</v>
      </c>
      <c r="AB143">
        <f t="shared" si="79"/>
        <v>0.05</v>
      </c>
      <c r="AC143">
        <f t="shared" si="83"/>
        <v>0.80515210201823317</v>
      </c>
      <c r="AD143">
        <f t="shared" si="84"/>
        <v>1.2480077623011816E-3</v>
      </c>
      <c r="AE143">
        <f t="shared" si="85"/>
        <v>0.38252566738678018</v>
      </c>
      <c r="AF143">
        <f t="shared" si="86"/>
        <v>4.303413758101278E-2</v>
      </c>
      <c r="AG143">
        <f t="shared" si="87"/>
        <v>0.19126283369339009</v>
      </c>
      <c r="AH143">
        <f t="shared" si="88"/>
        <v>8.424052395532974E-3</v>
      </c>
      <c r="AI143">
        <f t="shared" si="89"/>
        <v>0.1</v>
      </c>
    </row>
    <row r="144" spans="5:35" x14ac:dyDescent="0.25">
      <c r="E144">
        <f t="shared" si="80"/>
        <v>25620.759780757748</v>
      </c>
      <c r="F144">
        <f t="shared" si="60"/>
        <v>0.46709379522477851</v>
      </c>
      <c r="G144">
        <f t="shared" si="61"/>
        <v>3.8079596229725848E-5</v>
      </c>
      <c r="H144">
        <f t="shared" si="62"/>
        <v>5.8356516253934176E-2</v>
      </c>
      <c r="I144">
        <f t="shared" si="63"/>
        <v>6.5651080785675952E-3</v>
      </c>
      <c r="J144">
        <f t="shared" si="64"/>
        <v>2.9178258126967088E-2</v>
      </c>
      <c r="K144">
        <f t="shared" si="65"/>
        <v>2.5703727455064947E-4</v>
      </c>
      <c r="L144">
        <v>143</v>
      </c>
      <c r="M144">
        <f t="shared" si="81"/>
        <v>0.05</v>
      </c>
      <c r="N144">
        <f t="shared" si="66"/>
        <v>0.47407483786883997</v>
      </c>
      <c r="O144">
        <f t="shared" si="67"/>
        <v>3.4555612069494344E-3</v>
      </c>
      <c r="P144">
        <f t="shared" si="68"/>
        <v>0.44785385976520803</v>
      </c>
      <c r="Q144">
        <f t="shared" si="69"/>
        <v>5.0383559223585908E-2</v>
      </c>
      <c r="R144">
        <f t="shared" si="70"/>
        <v>0.22392692988260401</v>
      </c>
      <c r="S144">
        <f t="shared" si="71"/>
        <v>2.3325038146908686E-2</v>
      </c>
      <c r="T144">
        <f t="shared" si="72"/>
        <v>0.1</v>
      </c>
      <c r="U144">
        <f t="shared" si="82"/>
        <v>5124.1519561515506</v>
      </c>
      <c r="V144">
        <f t="shared" si="73"/>
        <v>0.76084239267827392</v>
      </c>
      <c r="W144">
        <f t="shared" si="74"/>
        <v>6.2027308869955702E-5</v>
      </c>
      <c r="X144">
        <f t="shared" si="75"/>
        <v>9.5056093463295271E-2</v>
      </c>
      <c r="Y144">
        <f t="shared" si="76"/>
        <v>1.0693810514620719E-2</v>
      </c>
      <c r="Z144">
        <f t="shared" si="77"/>
        <v>4.7528046731647636E-2</v>
      </c>
      <c r="AA144">
        <f t="shared" si="78"/>
        <v>4.1868433487220099E-4</v>
      </c>
      <c r="AB144">
        <f t="shared" si="79"/>
        <v>0.05</v>
      </c>
      <c r="AC144">
        <f t="shared" si="83"/>
        <v>0.79743201029470911</v>
      </c>
      <c r="AD144">
        <f t="shared" si="84"/>
        <v>1.1319772843837311E-3</v>
      </c>
      <c r="AE144">
        <f t="shared" si="85"/>
        <v>0.36422444193245163</v>
      </c>
      <c r="AF144">
        <f t="shared" si="86"/>
        <v>4.0975249717400804E-2</v>
      </c>
      <c r="AG144">
        <f t="shared" si="87"/>
        <v>0.18211222096622581</v>
      </c>
      <c r="AH144">
        <f t="shared" si="88"/>
        <v>7.640846669590186E-3</v>
      </c>
      <c r="AI144">
        <f t="shared" si="89"/>
        <v>0.1</v>
      </c>
    </row>
    <row r="145" spans="5:35" x14ac:dyDescent="0.25">
      <c r="E145">
        <f t="shared" si="80"/>
        <v>26901.797769795638</v>
      </c>
      <c r="F145">
        <f t="shared" si="60"/>
        <v>0.46359591774340425</v>
      </c>
      <c r="G145">
        <f t="shared" si="61"/>
        <v>3.4539313225674275E-5</v>
      </c>
      <c r="H145">
        <f t="shared" si="62"/>
        <v>5.5575039119029113E-2</v>
      </c>
      <c r="I145">
        <f t="shared" si="63"/>
        <v>6.2521919008907759E-3</v>
      </c>
      <c r="J145">
        <f t="shared" si="64"/>
        <v>2.7787519559514556E-2</v>
      </c>
      <c r="K145">
        <f t="shared" si="65"/>
        <v>2.3314036427330131E-4</v>
      </c>
      <c r="L145">
        <v>144</v>
      </c>
      <c r="M145">
        <f t="shared" si="81"/>
        <v>0.05</v>
      </c>
      <c r="N145">
        <f t="shared" si="66"/>
        <v>0.46869826835694423</v>
      </c>
      <c r="O145">
        <f t="shared" si="67"/>
        <v>3.1342559218685952E-3</v>
      </c>
      <c r="P145">
        <f t="shared" si="68"/>
        <v>0.42628697872726956</v>
      </c>
      <c r="Q145">
        <f t="shared" si="69"/>
        <v>4.7957285106817835E-2</v>
      </c>
      <c r="R145">
        <f t="shared" si="70"/>
        <v>0.21314348936363478</v>
      </c>
      <c r="S145">
        <f t="shared" si="71"/>
        <v>2.1156227472613014E-2</v>
      </c>
      <c r="T145">
        <f t="shared" si="72"/>
        <v>0.1</v>
      </c>
      <c r="U145">
        <f t="shared" si="82"/>
        <v>5380.3595539591288</v>
      </c>
      <c r="V145">
        <f t="shared" si="73"/>
        <v>0.75514475015030247</v>
      </c>
      <c r="W145">
        <f t="shared" si="74"/>
        <v>5.6260592593485804E-5</v>
      </c>
      <c r="X145">
        <f t="shared" si="75"/>
        <v>9.0525385198410968E-2</v>
      </c>
      <c r="Y145">
        <f t="shared" si="76"/>
        <v>1.0184105834821235E-2</v>
      </c>
      <c r="Z145">
        <f t="shared" si="77"/>
        <v>4.5262692599205484E-2</v>
      </c>
      <c r="AA145">
        <f t="shared" si="78"/>
        <v>3.7975900000602922E-4</v>
      </c>
      <c r="AB145">
        <f t="shared" si="79"/>
        <v>0.05</v>
      </c>
      <c r="AC145">
        <f t="shared" si="83"/>
        <v>0.78985123512079858</v>
      </c>
      <c r="AD145">
        <f t="shared" si="84"/>
        <v>1.0267346718094387E-3</v>
      </c>
      <c r="AE145">
        <f t="shared" si="85"/>
        <v>0.34680270831090187</v>
      </c>
      <c r="AF145">
        <f t="shared" si="86"/>
        <v>3.9015304684976458E-2</v>
      </c>
      <c r="AG145">
        <f t="shared" si="87"/>
        <v>0.17340135415545094</v>
      </c>
      <c r="AH145">
        <f t="shared" si="88"/>
        <v>6.930459034713711E-3</v>
      </c>
      <c r="AI145">
        <f t="shared" si="89"/>
        <v>0.1</v>
      </c>
    </row>
    <row r="146" spans="5:35" x14ac:dyDescent="0.25">
      <c r="E146">
        <f t="shared" si="80"/>
        <v>28246.887658285421</v>
      </c>
      <c r="F146">
        <f t="shared" si="60"/>
        <v>0.46014670014544712</v>
      </c>
      <c r="G146">
        <f t="shared" si="61"/>
        <v>3.1328172725429698E-5</v>
      </c>
      <c r="H146">
        <f t="shared" si="62"/>
        <v>5.2926254787370675E-2</v>
      </c>
      <c r="I146">
        <f t="shared" si="63"/>
        <v>5.9542036635792011E-3</v>
      </c>
      <c r="J146">
        <f t="shared" si="64"/>
        <v>2.6463127393685337E-2</v>
      </c>
      <c r="K146">
        <f t="shared" si="65"/>
        <v>2.1146516589665048E-4</v>
      </c>
      <c r="L146">
        <v>145</v>
      </c>
      <c r="M146">
        <f t="shared" si="81"/>
        <v>0.05</v>
      </c>
      <c r="N146">
        <f t="shared" si="66"/>
        <v>0.46343721086679213</v>
      </c>
      <c r="O146">
        <f t="shared" si="67"/>
        <v>2.8428296418722063E-3</v>
      </c>
      <c r="P146">
        <f t="shared" si="68"/>
        <v>0.40576969209084818</v>
      </c>
      <c r="Q146">
        <f t="shared" si="69"/>
        <v>4.5649090360220419E-2</v>
      </c>
      <c r="R146">
        <f t="shared" si="70"/>
        <v>0.20288484604542409</v>
      </c>
      <c r="S146">
        <f t="shared" si="71"/>
        <v>1.9189100082637394E-2</v>
      </c>
      <c r="T146">
        <f t="shared" si="72"/>
        <v>0.1</v>
      </c>
      <c r="U146">
        <f t="shared" si="82"/>
        <v>5649.3775316570855</v>
      </c>
      <c r="V146">
        <f t="shared" si="73"/>
        <v>0.74952636900945513</v>
      </c>
      <c r="W146">
        <f t="shared" si="74"/>
        <v>5.1030011827032969E-5</v>
      </c>
      <c r="X146">
        <f t="shared" si="75"/>
        <v>8.6210818340125242E-2</v>
      </c>
      <c r="Y146">
        <f t="shared" si="76"/>
        <v>9.6987170632640892E-3</v>
      </c>
      <c r="Z146">
        <f t="shared" si="77"/>
        <v>4.3105409170062621E-2</v>
      </c>
      <c r="AA146">
        <f t="shared" si="78"/>
        <v>3.4445257983247254E-4</v>
      </c>
      <c r="AB146">
        <f t="shared" si="79"/>
        <v>0.05</v>
      </c>
      <c r="AC146">
        <f t="shared" si="83"/>
        <v>0.78240604257864033</v>
      </c>
      <c r="AD146">
        <f t="shared" si="84"/>
        <v>9.3127689109501004E-4</v>
      </c>
      <c r="AE146">
        <f t="shared" si="85"/>
        <v>0.33021783685561829</v>
      </c>
      <c r="AF146">
        <f t="shared" si="86"/>
        <v>3.7149506646257061E-2</v>
      </c>
      <c r="AG146">
        <f t="shared" si="87"/>
        <v>0.16510891842780914</v>
      </c>
      <c r="AH146">
        <f t="shared" si="88"/>
        <v>6.2861190148913179E-3</v>
      </c>
      <c r="AI146">
        <f t="shared" si="89"/>
        <v>0.1</v>
      </c>
    </row>
    <row r="147" spans="5:35" x14ac:dyDescent="0.25">
      <c r="E147">
        <f t="shared" si="80"/>
        <v>29659.232041199692</v>
      </c>
      <c r="F147">
        <f t="shared" si="60"/>
        <v>0.45674513567257535</v>
      </c>
      <c r="G147">
        <f t="shared" si="61"/>
        <v>2.8415574081855833E-5</v>
      </c>
      <c r="H147">
        <f t="shared" si="62"/>
        <v>5.040382207138018E-2</v>
      </c>
      <c r="I147">
        <f t="shared" si="63"/>
        <v>5.6704299830302712E-3</v>
      </c>
      <c r="J147">
        <f t="shared" si="64"/>
        <v>2.520191103569009E-2</v>
      </c>
      <c r="K147">
        <f t="shared" si="65"/>
        <v>1.918051250525269E-4</v>
      </c>
      <c r="L147">
        <v>146</v>
      </c>
      <c r="M147">
        <f t="shared" si="81"/>
        <v>0.05</v>
      </c>
      <c r="N147">
        <f t="shared" si="66"/>
        <v>0.45828798483860478</v>
      </c>
      <c r="O147">
        <f t="shared" si="67"/>
        <v>2.5785032438908903E-3</v>
      </c>
      <c r="P147">
        <f t="shared" si="68"/>
        <v>0.38624988501356655</v>
      </c>
      <c r="Q147">
        <f t="shared" si="69"/>
        <v>4.3453112064026238E-2</v>
      </c>
      <c r="R147">
        <f t="shared" si="70"/>
        <v>0.19312494250678328</v>
      </c>
      <c r="S147">
        <f t="shared" si="71"/>
        <v>1.7404896896263507E-2</v>
      </c>
      <c r="T147">
        <f t="shared" si="72"/>
        <v>0.1</v>
      </c>
      <c r="U147">
        <f t="shared" si="82"/>
        <v>5931.8464082399396</v>
      </c>
      <c r="V147">
        <f t="shared" si="73"/>
        <v>0.74398560936150537</v>
      </c>
      <c r="W147">
        <f t="shared" si="74"/>
        <v>4.6285721614781664E-5</v>
      </c>
      <c r="X147">
        <f t="shared" si="75"/>
        <v>8.2102063818818447E-2</v>
      </c>
      <c r="Y147">
        <f t="shared" si="76"/>
        <v>9.2364821796170754E-3</v>
      </c>
      <c r="Z147">
        <f t="shared" si="77"/>
        <v>4.1051031909409223E-2</v>
      </c>
      <c r="AA147">
        <f t="shared" si="78"/>
        <v>3.1242862089977621E-4</v>
      </c>
      <c r="AB147">
        <f t="shared" si="79"/>
        <v>0.05</v>
      </c>
      <c r="AC147">
        <f t="shared" si="83"/>
        <v>0.77509283100243109</v>
      </c>
      <c r="AD147">
        <f t="shared" si="84"/>
        <v>8.4469417549043815E-4</v>
      </c>
      <c r="AE147">
        <f t="shared" si="85"/>
        <v>0.31442929819724519</v>
      </c>
      <c r="AF147">
        <f t="shared" si="86"/>
        <v>3.5373296047190084E-2</v>
      </c>
      <c r="AG147">
        <f t="shared" si="87"/>
        <v>0.15721464909862259</v>
      </c>
      <c r="AH147">
        <f t="shared" si="88"/>
        <v>5.7016856845604575E-3</v>
      </c>
      <c r="AI147">
        <f t="shared" si="89"/>
        <v>0.1</v>
      </c>
    </row>
    <row r="148" spans="5:35" x14ac:dyDescent="0.25">
      <c r="E148">
        <f t="shared" si="80"/>
        <v>31142.193643259678</v>
      </c>
      <c r="F148">
        <f t="shared" si="60"/>
        <v>0.45339024514886261</v>
      </c>
      <c r="G148">
        <f t="shared" si="61"/>
        <v>2.5773761623119564E-5</v>
      </c>
      <c r="H148">
        <f t="shared" si="62"/>
        <v>4.8001703839004012E-2</v>
      </c>
      <c r="I148">
        <f t="shared" si="63"/>
        <v>5.400191681887951E-3</v>
      </c>
      <c r="J148">
        <f t="shared" si="64"/>
        <v>2.4000851919502006E-2</v>
      </c>
      <c r="K148">
        <f t="shared" si="65"/>
        <v>1.7397289095605705E-4</v>
      </c>
      <c r="L148">
        <v>147</v>
      </c>
      <c r="M148">
        <f t="shared" si="81"/>
        <v>0.05</v>
      </c>
      <c r="N148">
        <f t="shared" si="66"/>
        <v>0.45324706443414509</v>
      </c>
      <c r="O148">
        <f t="shared" si="67"/>
        <v>2.3387562041816351E-3</v>
      </c>
      <c r="P148">
        <f t="shared" si="68"/>
        <v>0.3676781272812697</v>
      </c>
      <c r="Q148">
        <f t="shared" si="69"/>
        <v>4.1363789319142842E-2</v>
      </c>
      <c r="R148">
        <f t="shared" si="70"/>
        <v>0.18383906364063485</v>
      </c>
      <c r="S148">
        <f t="shared" si="71"/>
        <v>1.5786604378226037E-2</v>
      </c>
      <c r="T148">
        <f t="shared" si="72"/>
        <v>0.1</v>
      </c>
      <c r="U148">
        <f t="shared" si="82"/>
        <v>6228.4387286519368</v>
      </c>
      <c r="V148">
        <f t="shared" si="73"/>
        <v>0.73852087624081186</v>
      </c>
      <c r="W148">
        <f t="shared" si="74"/>
        <v>4.1982511140438053E-5</v>
      </c>
      <c r="X148">
        <f t="shared" si="75"/>
        <v>7.8189287836560567E-2</v>
      </c>
      <c r="Y148">
        <f t="shared" si="76"/>
        <v>8.7962948816130634E-3</v>
      </c>
      <c r="Z148">
        <f t="shared" si="77"/>
        <v>3.9094643918280284E-2</v>
      </c>
      <c r="AA148">
        <f t="shared" si="78"/>
        <v>2.8338195019795691E-4</v>
      </c>
      <c r="AB148">
        <f t="shared" si="79"/>
        <v>0.05</v>
      </c>
      <c r="AC148">
        <f t="shared" si="83"/>
        <v>0.76790812517450191</v>
      </c>
      <c r="AD148">
        <f t="shared" si="84"/>
        <v>7.6616135140665888E-4</v>
      </c>
      <c r="AE148">
        <f t="shared" si="85"/>
        <v>0.2993985566207063</v>
      </c>
      <c r="AF148">
        <f t="shared" si="86"/>
        <v>3.3682337619829458E-2</v>
      </c>
      <c r="AG148">
        <f t="shared" si="87"/>
        <v>0.14969927831035315</v>
      </c>
      <c r="AH148">
        <f t="shared" si="88"/>
        <v>5.171589121994947E-3</v>
      </c>
      <c r="AI148">
        <f t="shared" si="89"/>
        <v>0.1</v>
      </c>
    </row>
    <row r="149" spans="5:35" x14ac:dyDescent="0.25">
      <c r="E149">
        <f t="shared" si="80"/>
        <v>32699.303325422661</v>
      </c>
      <c r="F149">
        <f t="shared" si="60"/>
        <v>0.45008107604261177</v>
      </c>
      <c r="G149">
        <f t="shared" si="61"/>
        <v>2.3377560150807401E-5</v>
      </c>
      <c r="H149">
        <f t="shared" si="62"/>
        <v>4.5714152339635432E-2</v>
      </c>
      <c r="I149">
        <f t="shared" si="63"/>
        <v>5.1428421382089858E-3</v>
      </c>
      <c r="J149">
        <f t="shared" si="64"/>
        <v>2.2857076169817716E-2</v>
      </c>
      <c r="K149">
        <f t="shared" si="65"/>
        <v>1.5779853101794994E-4</v>
      </c>
      <c r="L149">
        <v>148</v>
      </c>
      <c r="M149">
        <f t="shared" si="81"/>
        <v>0.05</v>
      </c>
      <c r="N149">
        <f t="shared" si="66"/>
        <v>0.44831107049113716</v>
      </c>
      <c r="O149">
        <f t="shared" si="67"/>
        <v>2.1213025166976736E-3</v>
      </c>
      <c r="P149">
        <f t="shared" si="68"/>
        <v>0.35000752596744505</v>
      </c>
      <c r="Q149">
        <f t="shared" si="69"/>
        <v>3.9375846671337561E-2</v>
      </c>
      <c r="R149">
        <f t="shared" si="70"/>
        <v>0.17500376298372253</v>
      </c>
      <c r="S149">
        <f t="shared" si="71"/>
        <v>1.4318791987709299E-2</v>
      </c>
      <c r="T149">
        <f t="shared" si="72"/>
        <v>0.1</v>
      </c>
      <c r="U149">
        <f t="shared" si="82"/>
        <v>6539.860665084534</v>
      </c>
      <c r="V149">
        <f t="shared" si="73"/>
        <v>0.73313061808213675</v>
      </c>
      <c r="W149">
        <f t="shared" si="74"/>
        <v>3.8079372883900405E-5</v>
      </c>
      <c r="X149">
        <f t="shared" si="75"/>
        <v>7.4463127964715548E-2</v>
      </c>
      <c r="Y149">
        <f t="shared" si="76"/>
        <v>8.3771018960304994E-3</v>
      </c>
      <c r="Z149">
        <f t="shared" si="77"/>
        <v>3.7231563982357774E-2</v>
      </c>
      <c r="AA149">
        <f t="shared" si="78"/>
        <v>2.5703576696632771E-4</v>
      </c>
      <c r="AB149">
        <f t="shared" si="79"/>
        <v>0.05</v>
      </c>
      <c r="AC149">
        <f t="shared" si="83"/>
        <v>0.76084857082438773</v>
      </c>
      <c r="AD149">
        <f t="shared" si="84"/>
        <v>6.9492997167578546E-4</v>
      </c>
      <c r="AE149">
        <f t="shared" si="85"/>
        <v>0.28508896912943738</v>
      </c>
      <c r="AF149">
        <f t="shared" si="86"/>
        <v>3.2072509027061706E-2</v>
      </c>
      <c r="AG149">
        <f t="shared" si="87"/>
        <v>0.14254448456471869</v>
      </c>
      <c r="AH149">
        <f t="shared" si="88"/>
        <v>4.6907773088115529E-3</v>
      </c>
      <c r="AI149">
        <f t="shared" si="89"/>
        <v>0.1</v>
      </c>
    </row>
    <row r="150" spans="5:35" x14ac:dyDescent="0.25">
      <c r="E150">
        <f t="shared" si="80"/>
        <v>34334.268491693794</v>
      </c>
      <c r="F150">
        <f t="shared" si="60"/>
        <v>0.44681670156620945</v>
      </c>
      <c r="G150">
        <f t="shared" si="61"/>
        <v>2.1204135029459926E-5</v>
      </c>
      <c r="H150">
        <f t="shared" si="62"/>
        <v>4.3535695247028147E-2</v>
      </c>
      <c r="I150">
        <f t="shared" si="63"/>
        <v>4.8977657152906671E-3</v>
      </c>
      <c r="J150">
        <f t="shared" si="64"/>
        <v>2.1767847623514074E-2</v>
      </c>
      <c r="K150">
        <f t="shared" si="65"/>
        <v>1.4312791144885449E-4</v>
      </c>
      <c r="L150">
        <v>149</v>
      </c>
      <c r="M150">
        <f t="shared" si="81"/>
        <v>0.05</v>
      </c>
      <c r="N150">
        <f t="shared" si="66"/>
        <v>0.44347676297456945</v>
      </c>
      <c r="O150">
        <f t="shared" si="67"/>
        <v>1.9240688573494646E-3</v>
      </c>
      <c r="P150">
        <f t="shared" si="68"/>
        <v>0.33319358700973917</v>
      </c>
      <c r="Q150">
        <f t="shared" si="69"/>
        <v>3.7484278538595657E-2</v>
      </c>
      <c r="R150">
        <f t="shared" si="70"/>
        <v>0.16659679350486958</v>
      </c>
      <c r="S150">
        <f t="shared" si="71"/>
        <v>1.2987464787108884E-2</v>
      </c>
      <c r="T150">
        <f t="shared" si="72"/>
        <v>0.1</v>
      </c>
      <c r="U150">
        <f t="shared" si="82"/>
        <v>6866.8536983387612</v>
      </c>
      <c r="V150">
        <f t="shared" si="73"/>
        <v>0.72781332525441111</v>
      </c>
      <c r="W150">
        <f t="shared" si="74"/>
        <v>3.4539111834538133E-5</v>
      </c>
      <c r="X150">
        <f t="shared" si="75"/>
        <v>7.091467040944302E-2</v>
      </c>
      <c r="Y150">
        <f t="shared" si="76"/>
        <v>7.9779004210623408E-3</v>
      </c>
      <c r="Z150">
        <f t="shared" si="77"/>
        <v>3.545733520472151E-2</v>
      </c>
      <c r="AA150">
        <f t="shared" si="78"/>
        <v>2.3313900488313238E-4</v>
      </c>
      <c r="AB150">
        <f t="shared" si="79"/>
        <v>0.05</v>
      </c>
      <c r="AC150">
        <f t="shared" si="83"/>
        <v>0.75391092941258853</v>
      </c>
      <c r="AD150">
        <f t="shared" si="84"/>
        <v>6.3032118055317938E-4</v>
      </c>
      <c r="AE150">
        <f t="shared" si="85"/>
        <v>0.27146568988475805</v>
      </c>
      <c r="AF150">
        <f t="shared" si="86"/>
        <v>3.0539890112035284E-2</v>
      </c>
      <c r="AG150">
        <f t="shared" si="87"/>
        <v>0.13573284494237903</v>
      </c>
      <c r="AH150">
        <f t="shared" si="88"/>
        <v>4.2546679687339604E-3</v>
      </c>
      <c r="AI150">
        <f t="shared" si="89"/>
        <v>0.1</v>
      </c>
    </row>
    <row r="151" spans="5:35" x14ac:dyDescent="0.25">
      <c r="E151">
        <f t="shared" si="80"/>
        <v>36050.981916278484</v>
      </c>
      <c r="F151">
        <f t="shared" si="60"/>
        <v>0.44359621981223485</v>
      </c>
      <c r="G151">
        <f t="shared" si="61"/>
        <v>1.923277458115175E-5</v>
      </c>
      <c r="H151">
        <f t="shared" si="62"/>
        <v>4.146112238335449E-2</v>
      </c>
      <c r="I151">
        <f t="shared" si="63"/>
        <v>4.6643762681273801E-3</v>
      </c>
      <c r="J151">
        <f t="shared" si="64"/>
        <v>2.0730561191677245E-2</v>
      </c>
      <c r="K151">
        <f t="shared" si="65"/>
        <v>1.2982122842277431E-4</v>
      </c>
      <c r="L151">
        <v>150</v>
      </c>
      <c r="M151">
        <f t="shared" si="81"/>
        <v>0.05</v>
      </c>
      <c r="N151">
        <f t="shared" si="66"/>
        <v>0.43874103388943292</v>
      </c>
      <c r="O151">
        <f t="shared" si="67"/>
        <v>1.7451747841115103E-3</v>
      </c>
      <c r="P151">
        <f t="shared" si="68"/>
        <v>0.31719408508991359</v>
      </c>
      <c r="Q151">
        <f t="shared" si="69"/>
        <v>3.568433457261528E-2</v>
      </c>
      <c r="R151">
        <f t="shared" si="70"/>
        <v>0.1585970425449568</v>
      </c>
      <c r="S151">
        <f t="shared" si="71"/>
        <v>1.1779929792752693E-2</v>
      </c>
      <c r="T151">
        <f t="shared" si="72"/>
        <v>0.1</v>
      </c>
      <c r="U151">
        <f t="shared" si="82"/>
        <v>7210.1963832556994</v>
      </c>
      <c r="V151">
        <f t="shared" si="73"/>
        <v>0.72256752865355578</v>
      </c>
      <c r="W151">
        <f t="shared" si="74"/>
        <v>3.1327991036839859E-5</v>
      </c>
      <c r="X151">
        <f t="shared" si="75"/>
        <v>6.7535428386706883E-2</v>
      </c>
      <c r="Y151">
        <f t="shared" si="76"/>
        <v>7.5977356935045251E-3</v>
      </c>
      <c r="Z151">
        <f t="shared" si="77"/>
        <v>3.3767714193353442E-2</v>
      </c>
      <c r="AA151">
        <f t="shared" si="78"/>
        <v>2.1146393949866905E-4</v>
      </c>
      <c r="AB151">
        <f t="shared" si="79"/>
        <v>0.05</v>
      </c>
      <c r="AC151">
        <f t="shared" si="83"/>
        <v>0.74709207318197768</v>
      </c>
      <c r="AD151">
        <f t="shared" si="84"/>
        <v>5.7171924236587741E-4</v>
      </c>
      <c r="AE151">
        <f t="shared" si="85"/>
        <v>0.25849557971005743</v>
      </c>
      <c r="AF151">
        <f t="shared" si="86"/>
        <v>2.9080752717381461E-2</v>
      </c>
      <c r="AG151">
        <f t="shared" si="87"/>
        <v>0.12924778985502872</v>
      </c>
      <c r="AH151">
        <f t="shared" si="88"/>
        <v>3.8591048859696721E-3</v>
      </c>
      <c r="AI151">
        <f t="shared" si="89"/>
        <v>0.1</v>
      </c>
    </row>
    <row r="152" spans="5:35" x14ac:dyDescent="0.25">
      <c r="E152">
        <f t="shared" si="80"/>
        <v>37853.531012092411</v>
      </c>
      <c r="F152">
        <f t="shared" si="60"/>
        <v>0.44041875292411559</v>
      </c>
      <c r="G152">
        <f t="shared" si="61"/>
        <v>1.7444692711326279E-5</v>
      </c>
      <c r="H152">
        <f t="shared" si="62"/>
        <v>3.9485473090428005E-2</v>
      </c>
      <c r="I152">
        <f t="shared" si="63"/>
        <v>4.4421157226731504E-3</v>
      </c>
      <c r="J152">
        <f t="shared" si="64"/>
        <v>1.9742736545214003E-2</v>
      </c>
      <c r="K152">
        <f t="shared" si="65"/>
        <v>1.177516758014524E-4</v>
      </c>
      <c r="L152">
        <v>151</v>
      </c>
      <c r="M152">
        <f t="shared" si="81"/>
        <v>0.05</v>
      </c>
      <c r="N152">
        <f t="shared" si="66"/>
        <v>0.43410090062233858</v>
      </c>
      <c r="O152">
        <f t="shared" si="67"/>
        <v>1.5829147826784808E-3</v>
      </c>
      <c r="P152">
        <f t="shared" si="68"/>
        <v>0.30196894125211471</v>
      </c>
      <c r="Q152">
        <f t="shared" si="69"/>
        <v>3.3971505890862903E-2</v>
      </c>
      <c r="R152">
        <f t="shared" si="70"/>
        <v>0.15098447062605735</v>
      </c>
      <c r="S152">
        <f t="shared" si="71"/>
        <v>1.0684674783079743E-2</v>
      </c>
      <c r="T152">
        <f t="shared" si="72"/>
        <v>0.1</v>
      </c>
      <c r="U152">
        <f t="shared" si="82"/>
        <v>7570.7062024184843</v>
      </c>
      <c r="V152">
        <f t="shared" si="73"/>
        <v>0.71739179835157385</v>
      </c>
      <c r="W152">
        <f t="shared" si="74"/>
        <v>2.8415410090462786E-5</v>
      </c>
      <c r="X152">
        <f t="shared" si="75"/>
        <v>6.4317321551440612E-2</v>
      </c>
      <c r="Y152">
        <f t="shared" si="76"/>
        <v>7.2356986745370682E-3</v>
      </c>
      <c r="Z152">
        <f t="shared" si="77"/>
        <v>3.2158660775720306E-2</v>
      </c>
      <c r="AA152">
        <f t="shared" si="78"/>
        <v>1.9180401811062382E-4</v>
      </c>
      <c r="AB152">
        <f t="shared" si="79"/>
        <v>0.05</v>
      </c>
      <c r="AC152">
        <f t="shared" si="83"/>
        <v>0.74038898046098978</v>
      </c>
      <c r="AD152">
        <f t="shared" si="84"/>
        <v>5.1856567205429928E-4</v>
      </c>
      <c r="AE152">
        <f t="shared" si="85"/>
        <v>0.24614712036950601</v>
      </c>
      <c r="AF152">
        <f t="shared" si="86"/>
        <v>2.7691551041569423E-2</v>
      </c>
      <c r="AG152">
        <f t="shared" si="87"/>
        <v>0.123073560184753</v>
      </c>
      <c r="AH152">
        <f t="shared" si="88"/>
        <v>3.50031828636652E-3</v>
      </c>
      <c r="AI152">
        <f t="shared" si="89"/>
        <v>0.1</v>
      </c>
    </row>
    <row r="153" spans="5:35" x14ac:dyDescent="0.25">
      <c r="E153">
        <f t="shared" si="80"/>
        <v>39746.207562697033</v>
      </c>
      <c r="F153">
        <f t="shared" si="60"/>
        <v>0.43728344629974397</v>
      </c>
      <c r="G153">
        <f t="shared" si="61"/>
        <v>1.5822849884910314E-5</v>
      </c>
      <c r="H153">
        <f t="shared" si="62"/>
        <v>3.7604024215873125E-2</v>
      </c>
      <c r="I153">
        <f t="shared" si="63"/>
        <v>4.2304527242857269E-3</v>
      </c>
      <c r="J153">
        <f t="shared" si="64"/>
        <v>1.8802012107936562E-2</v>
      </c>
      <c r="K153">
        <f t="shared" si="65"/>
        <v>1.0680423672314463E-4</v>
      </c>
      <c r="L153">
        <v>152</v>
      </c>
      <c r="M153">
        <f t="shared" si="81"/>
        <v>0.05</v>
      </c>
      <c r="N153">
        <f t="shared" si="66"/>
        <v>0.42955349968201384</v>
      </c>
      <c r="O153">
        <f t="shared" si="67"/>
        <v>1.4357419852475768E-3</v>
      </c>
      <c r="P153">
        <f t="shared" si="68"/>
        <v>0.28748010773851579</v>
      </c>
      <c r="Q153">
        <f t="shared" si="69"/>
        <v>3.2341512120583026E-2</v>
      </c>
      <c r="R153">
        <f t="shared" si="70"/>
        <v>0.14374005386925789</v>
      </c>
      <c r="S153">
        <f t="shared" si="71"/>
        <v>9.6912584004211436E-3</v>
      </c>
      <c r="T153">
        <f t="shared" si="72"/>
        <v>0.1</v>
      </c>
      <c r="U153">
        <f t="shared" si="82"/>
        <v>7949.2415125394091</v>
      </c>
      <c r="V153">
        <f t="shared" si="73"/>
        <v>0.71228474229933281</v>
      </c>
      <c r="W153">
        <f t="shared" si="74"/>
        <v>2.5773613540789926E-5</v>
      </c>
      <c r="X153">
        <f t="shared" si="75"/>
        <v>6.1252656428391165E-2</v>
      </c>
      <c r="Y153">
        <f t="shared" si="76"/>
        <v>6.8909238481940057E-3</v>
      </c>
      <c r="Z153">
        <f t="shared" si="77"/>
        <v>3.0626328214195583E-2</v>
      </c>
      <c r="AA153">
        <f t="shared" si="78"/>
        <v>1.73971891400332E-4</v>
      </c>
      <c r="AB153">
        <f t="shared" si="79"/>
        <v>0.05</v>
      </c>
      <c r="AC153">
        <f t="shared" si="83"/>
        <v>0.73379873120374173</v>
      </c>
      <c r="AD153">
        <f t="shared" si="84"/>
        <v>4.7035391160486436E-4</v>
      </c>
      <c r="AE153">
        <f t="shared" si="85"/>
        <v>0.23439033334957476</v>
      </c>
      <c r="AF153">
        <f t="shared" si="86"/>
        <v>2.6368912501827161E-2</v>
      </c>
      <c r="AG153">
        <f t="shared" si="87"/>
        <v>0.11719516667478738</v>
      </c>
      <c r="AH153">
        <f t="shared" si="88"/>
        <v>3.1748889033328346E-3</v>
      </c>
      <c r="AI153">
        <f t="shared" si="89"/>
        <v>0.1</v>
      </c>
    </row>
    <row r="154" spans="5:35" x14ac:dyDescent="0.25">
      <c r="E154">
        <f t="shared" si="80"/>
        <v>41733.517940831887</v>
      </c>
      <c r="F154">
        <f t="shared" si="60"/>
        <v>0.43418946782652862</v>
      </c>
      <c r="G154">
        <f t="shared" si="61"/>
        <v>1.435179074661999E-5</v>
      </c>
      <c r="H154">
        <f t="shared" si="62"/>
        <v>3.5812278683690087E-2</v>
      </c>
      <c r="I154">
        <f t="shared" si="63"/>
        <v>4.0288813519151348E-3</v>
      </c>
      <c r="J154">
        <f t="shared" si="64"/>
        <v>1.7906139341845043E-2</v>
      </c>
      <c r="K154">
        <f t="shared" si="65"/>
        <v>9.6874587539684935E-5</v>
      </c>
      <c r="L154">
        <v>153</v>
      </c>
      <c r="M154">
        <f t="shared" si="81"/>
        <v>0.05</v>
      </c>
      <c r="N154">
        <f t="shared" si="66"/>
        <v>0.42509608081110373</v>
      </c>
      <c r="O154">
        <f t="shared" si="67"/>
        <v>1.3022534061836425E-3</v>
      </c>
      <c r="P154">
        <f t="shared" si="68"/>
        <v>0.27369145956164781</v>
      </c>
      <c r="Q154">
        <f t="shared" si="69"/>
        <v>3.0790289200685383E-2</v>
      </c>
      <c r="R154">
        <f t="shared" si="70"/>
        <v>0.1368457297808239</v>
      </c>
      <c r="S154">
        <f t="shared" si="71"/>
        <v>8.7902104917395862E-3</v>
      </c>
      <c r="T154">
        <f t="shared" si="72"/>
        <v>0.1</v>
      </c>
      <c r="U154">
        <f t="shared" si="82"/>
        <v>8346.7035881663796</v>
      </c>
      <c r="V154">
        <f t="shared" si="73"/>
        <v>0.70724500508055121</v>
      </c>
      <c r="W154">
        <f t="shared" si="74"/>
        <v>2.3377426380972406E-5</v>
      </c>
      <c r="X154">
        <f t="shared" si="75"/>
        <v>5.8334107794875883E-2</v>
      </c>
      <c r="Y154">
        <f t="shared" si="76"/>
        <v>6.5625871269235367E-3</v>
      </c>
      <c r="Z154">
        <f t="shared" si="77"/>
        <v>2.9167053897437942E-2</v>
      </c>
      <c r="AA154">
        <f t="shared" si="78"/>
        <v>1.5779762807156372E-4</v>
      </c>
      <c r="AB154">
        <f t="shared" si="79"/>
        <v>0.05</v>
      </c>
      <c r="AC154">
        <f t="shared" si="83"/>
        <v>0.72731850275327281</v>
      </c>
      <c r="AD154">
        <f t="shared" si="84"/>
        <v>4.266245015855337E-4</v>
      </c>
      <c r="AE154">
        <f t="shared" si="85"/>
        <v>0.22319670288885754</v>
      </c>
      <c r="AF154">
        <f t="shared" si="86"/>
        <v>2.5109629074996472E-2</v>
      </c>
      <c r="AG154">
        <f t="shared" si="87"/>
        <v>0.11159835144442877</v>
      </c>
      <c r="AH154">
        <f t="shared" si="88"/>
        <v>2.8797153857023526E-3</v>
      </c>
      <c r="AI154">
        <f t="shared" si="89"/>
        <v>0.1</v>
      </c>
    </row>
    <row r="155" spans="5:35" x14ac:dyDescent="0.25">
      <c r="E155">
        <f t="shared" si="80"/>
        <v>43820.193837873485</v>
      </c>
      <c r="F155">
        <f t="shared" si="60"/>
        <v>0.43113600714644085</v>
      </c>
      <c r="G155">
        <f t="shared" si="61"/>
        <v>1.3017496837995154E-5</v>
      </c>
      <c r="H155">
        <f t="shared" si="62"/>
        <v>3.4105954620236689E-2</v>
      </c>
      <c r="I155">
        <f t="shared" si="63"/>
        <v>3.8369198947766272E-3</v>
      </c>
      <c r="J155">
        <f t="shared" si="64"/>
        <v>1.7052977310118345E-2</v>
      </c>
      <c r="K155">
        <f t="shared" si="65"/>
        <v>8.78681036564673E-5</v>
      </c>
      <c r="L155">
        <v>154</v>
      </c>
      <c r="M155">
        <f t="shared" si="81"/>
        <v>0.05</v>
      </c>
      <c r="N155">
        <f t="shared" si="66"/>
        <v>0.42072600144380007</v>
      </c>
      <c r="O155">
        <f t="shared" si="67"/>
        <v>1.1811765529723523E-3</v>
      </c>
      <c r="P155">
        <f t="shared" si="68"/>
        <v>0.26056869236945712</v>
      </c>
      <c r="Q155">
        <f t="shared" si="69"/>
        <v>2.9313977891563928E-2</v>
      </c>
      <c r="R155">
        <f t="shared" si="70"/>
        <v>0.13028434618472856</v>
      </c>
      <c r="S155">
        <f t="shared" si="71"/>
        <v>7.9729417325633788E-3</v>
      </c>
      <c r="T155">
        <f t="shared" si="72"/>
        <v>0.1</v>
      </c>
      <c r="U155">
        <f t="shared" si="82"/>
        <v>8764.0387675746988</v>
      </c>
      <c r="V155">
        <f t="shared" si="73"/>
        <v>0.70227126671464335</v>
      </c>
      <c r="W155">
        <f t="shared" si="74"/>
        <v>2.1204014144816224E-5</v>
      </c>
      <c r="X155">
        <f t="shared" si="75"/>
        <v>5.5554700968249861E-2</v>
      </c>
      <c r="Y155">
        <f t="shared" si="76"/>
        <v>6.2499038589281103E-3</v>
      </c>
      <c r="Z155">
        <f t="shared" si="77"/>
        <v>2.777735048412493E-2</v>
      </c>
      <c r="AA155">
        <f t="shared" si="78"/>
        <v>1.431270954775095E-4</v>
      </c>
      <c r="AB155">
        <f t="shared" si="79"/>
        <v>0.05</v>
      </c>
      <c r="AC155">
        <f t="shared" si="83"/>
        <v>0.72094556581499714</v>
      </c>
      <c r="AD155">
        <f t="shared" si="84"/>
        <v>3.869607017244915E-4</v>
      </c>
      <c r="AE155">
        <f t="shared" si="85"/>
        <v>0.21253910301767132</v>
      </c>
      <c r="AF155">
        <f t="shared" si="86"/>
        <v>2.3910649089488027E-2</v>
      </c>
      <c r="AG155">
        <f t="shared" si="87"/>
        <v>0.10626955150883566</v>
      </c>
      <c r="AH155">
        <f t="shared" si="88"/>
        <v>2.6119847366403177E-3</v>
      </c>
      <c r="AI155">
        <f t="shared" si="89"/>
        <v>0.1</v>
      </c>
    </row>
    <row r="156" spans="5:35" x14ac:dyDescent="0.25">
      <c r="E156">
        <f t="shared" si="80"/>
        <v>46011.203529767161</v>
      </c>
      <c r="F156">
        <f t="shared" si="60"/>
        <v>0.42812227494969868</v>
      </c>
      <c r="G156">
        <f t="shared" si="61"/>
        <v>1.1807253007575276E-5</v>
      </c>
      <c r="H156">
        <f t="shared" si="62"/>
        <v>3.2480975008136334E-2</v>
      </c>
      <c r="I156">
        <f t="shared" si="63"/>
        <v>3.6541096884153382E-3</v>
      </c>
      <c r="J156">
        <f t="shared" si="64"/>
        <v>1.6240487504068167E-2</v>
      </c>
      <c r="K156">
        <f t="shared" si="65"/>
        <v>7.9698957801133119E-5</v>
      </c>
      <c r="L156">
        <v>155</v>
      </c>
      <c r="M156">
        <f t="shared" si="81"/>
        <v>0.05</v>
      </c>
      <c r="N156">
        <f t="shared" si="66"/>
        <v>0.41644072148586209</v>
      </c>
      <c r="O156">
        <f t="shared" si="67"/>
        <v>1.0713572841319378E-3</v>
      </c>
      <c r="P156">
        <f t="shared" si="68"/>
        <v>0.24807922619266379</v>
      </c>
      <c r="Q156">
        <f t="shared" si="69"/>
        <v>2.7908912946674681E-2</v>
      </c>
      <c r="R156">
        <f t="shared" si="70"/>
        <v>0.12403961309633189</v>
      </c>
      <c r="S156">
        <f t="shared" si="71"/>
        <v>7.23166166789058E-3</v>
      </c>
      <c r="T156">
        <f t="shared" si="72"/>
        <v>0.1</v>
      </c>
      <c r="U156">
        <f t="shared" si="82"/>
        <v>9202.2407059534344</v>
      </c>
      <c r="V156">
        <f t="shared" si="73"/>
        <v>0.69736224150621084</v>
      </c>
      <c r="W156">
        <f t="shared" si="74"/>
        <v>1.9232665304231298E-5</v>
      </c>
      <c r="X156">
        <f t="shared" si="75"/>
        <v>5.290779495330511E-2</v>
      </c>
      <c r="Y156">
        <f t="shared" si="76"/>
        <v>5.9521269322468243E-3</v>
      </c>
      <c r="Z156">
        <f t="shared" si="77"/>
        <v>2.6453897476652555E-2</v>
      </c>
      <c r="AA156">
        <f t="shared" si="78"/>
        <v>1.2982049080356126E-4</v>
      </c>
      <c r="AB156">
        <f t="shared" si="79"/>
        <v>0.05</v>
      </c>
      <c r="AC156">
        <f t="shared" si="83"/>
        <v>0.71467728062828439</v>
      </c>
      <c r="AD156">
        <f t="shared" si="84"/>
        <v>3.5098451875967501E-4</v>
      </c>
      <c r="AE156">
        <f t="shared" si="85"/>
        <v>0.20239172838374941</v>
      </c>
      <c r="AF156">
        <f t="shared" si="86"/>
        <v>2.2769069443171808E-2</v>
      </c>
      <c r="AG156">
        <f t="shared" si="87"/>
        <v>0.10119586419187471</v>
      </c>
      <c r="AH156">
        <f t="shared" si="88"/>
        <v>2.3691455016278062E-3</v>
      </c>
      <c r="AI156">
        <f t="shared" si="89"/>
        <v>0.1</v>
      </c>
    </row>
    <row r="157" spans="5:35" x14ac:dyDescent="0.25">
      <c r="E157">
        <f t="shared" si="80"/>
        <v>48311.763706255522</v>
      </c>
      <c r="F157">
        <f t="shared" si="60"/>
        <v>0.42514750229579096</v>
      </c>
      <c r="G157">
        <f t="shared" si="61"/>
        <v>1.0709526241128731E-5</v>
      </c>
      <c r="H157">
        <f t="shared" si="62"/>
        <v>3.0933457842028396E-2</v>
      </c>
      <c r="I157">
        <f t="shared" si="63"/>
        <v>3.4800140072281942E-3</v>
      </c>
      <c r="J157">
        <f t="shared" si="64"/>
        <v>1.5466728921014198E-2</v>
      </c>
      <c r="K157">
        <f t="shared" si="65"/>
        <v>7.2289302127618942E-5</v>
      </c>
      <c r="L157">
        <v>156</v>
      </c>
      <c r="M157">
        <f t="shared" si="81"/>
        <v>0.05</v>
      </c>
      <c r="N157">
        <f t="shared" si="66"/>
        <v>0.41223779839534114</v>
      </c>
      <c r="O157">
        <f t="shared" si="67"/>
        <v>9.7174879776784954E-4</v>
      </c>
      <c r="P157">
        <f t="shared" si="68"/>
        <v>0.23619211469464294</v>
      </c>
      <c r="Q157">
        <f t="shared" si="69"/>
        <v>2.6571612903147333E-2</v>
      </c>
      <c r="R157">
        <f t="shared" si="70"/>
        <v>0.11809605734732147</v>
      </c>
      <c r="S157">
        <f t="shared" si="71"/>
        <v>6.559304384932985E-3</v>
      </c>
      <c r="T157">
        <f t="shared" si="72"/>
        <v>0.1</v>
      </c>
      <c r="U157">
        <f t="shared" si="82"/>
        <v>9662.3527412511066</v>
      </c>
      <c r="V157">
        <f t="shared" si="73"/>
        <v>0.69251667693906882</v>
      </c>
      <c r="W157">
        <f t="shared" si="74"/>
        <v>1.7444593897527525E-5</v>
      </c>
      <c r="X157">
        <f t="shared" si="75"/>
        <v>5.0387066407113087E-2</v>
      </c>
      <c r="Y157">
        <f t="shared" si="76"/>
        <v>5.6685449708002216E-3</v>
      </c>
      <c r="Z157">
        <f t="shared" si="77"/>
        <v>2.5193533203556544E-2</v>
      </c>
      <c r="AA157">
        <f t="shared" si="78"/>
        <v>1.177510088083108E-4</v>
      </c>
      <c r="AB157">
        <f t="shared" si="79"/>
        <v>0.05</v>
      </c>
      <c r="AC157">
        <f t="shared" si="83"/>
        <v>0.70851109332489437</v>
      </c>
      <c r="AD157">
        <f t="shared" si="84"/>
        <v>3.1835310367479852E-4</v>
      </c>
      <c r="AE157">
        <f t="shared" si="85"/>
        <v>0.19273002865413641</v>
      </c>
      <c r="AF157">
        <f t="shared" si="86"/>
        <v>2.1682128223590346E-2</v>
      </c>
      <c r="AG157">
        <f t="shared" si="87"/>
        <v>9.6365014327068205E-2</v>
      </c>
      <c r="AH157">
        <f t="shared" si="88"/>
        <v>2.1488834498048903E-3</v>
      </c>
      <c r="AI157">
        <f t="shared" si="89"/>
        <v>0.1</v>
      </c>
    </row>
    <row r="158" spans="5:35" x14ac:dyDescent="0.25">
      <c r="E158">
        <f t="shared" si="80"/>
        <v>50727.351891568302</v>
      </c>
      <c r="F158">
        <f t="shared" si="60"/>
        <v>0.42221093996061698</v>
      </c>
      <c r="G158">
        <f t="shared" si="61"/>
        <v>9.7138557572122154E-6</v>
      </c>
      <c r="H158">
        <f t="shared" si="62"/>
        <v>2.9459706761407134E-2</v>
      </c>
      <c r="I158">
        <f t="shared" si="63"/>
        <v>3.3142170106583027E-3</v>
      </c>
      <c r="J158">
        <f t="shared" si="64"/>
        <v>1.4729853380703567E-2</v>
      </c>
      <c r="K158">
        <f t="shared" si="65"/>
        <v>6.5568526361182457E-5</v>
      </c>
      <c r="L158">
        <v>157</v>
      </c>
      <c r="M158">
        <f t="shared" si="81"/>
        <v>0.05</v>
      </c>
      <c r="N158">
        <f t="shared" si="66"/>
        <v>0.40811488254399408</v>
      </c>
      <c r="O158">
        <f t="shared" si="67"/>
        <v>8.8140164533701958E-4</v>
      </c>
      <c r="P158">
        <f t="shared" si="68"/>
        <v>0.22487795957209689</v>
      </c>
      <c r="Q158">
        <f t="shared" si="69"/>
        <v>2.5298770451860901E-2</v>
      </c>
      <c r="R158">
        <f t="shared" si="70"/>
        <v>0.11243897978604844</v>
      </c>
      <c r="S158">
        <f t="shared" si="71"/>
        <v>5.9494611060248821E-3</v>
      </c>
      <c r="T158">
        <f t="shared" si="72"/>
        <v>0.1</v>
      </c>
      <c r="U158">
        <f t="shared" si="82"/>
        <v>10145.470378313663</v>
      </c>
      <c r="V158">
        <f t="shared" si="73"/>
        <v>0.68773335261281121</v>
      </c>
      <c r="W158">
        <f t="shared" si="74"/>
        <v>1.5822760507645681E-5</v>
      </c>
      <c r="X158">
        <f t="shared" si="75"/>
        <v>4.7986494380990417E-2</v>
      </c>
      <c r="Y158">
        <f t="shared" si="76"/>
        <v>5.3984806178614224E-3</v>
      </c>
      <c r="Z158">
        <f t="shared" si="77"/>
        <v>2.3993247190495209E-2</v>
      </c>
      <c r="AA158">
        <f t="shared" si="78"/>
        <v>1.0680363342660835E-4</v>
      </c>
      <c r="AB158">
        <f t="shared" si="79"/>
        <v>0.05</v>
      </c>
      <c r="AC158">
        <f t="shared" si="83"/>
        <v>0.70244453246370953</v>
      </c>
      <c r="AD158">
        <f t="shared" si="84"/>
        <v>2.8875548396322027E-4</v>
      </c>
      <c r="AE158">
        <f t="shared" si="85"/>
        <v>0.18353064629622465</v>
      </c>
      <c r="AF158">
        <f t="shared" si="86"/>
        <v>2.0647197708325276E-2</v>
      </c>
      <c r="AG158">
        <f t="shared" si="87"/>
        <v>9.1765323148112324E-2</v>
      </c>
      <c r="AH158">
        <f t="shared" si="88"/>
        <v>1.9490995167517366E-3</v>
      </c>
      <c r="AI158">
        <f t="shared" si="89"/>
        <v>0.1</v>
      </c>
    </row>
    <row r="159" spans="5:35" x14ac:dyDescent="0.25">
      <c r="E159">
        <f t="shared" si="80"/>
        <v>53263.719486146721</v>
      </c>
      <c r="F159">
        <f t="shared" si="60"/>
        <v>0.41931185780857294</v>
      </c>
      <c r="G159">
        <f t="shared" si="61"/>
        <v>8.8107533206965436E-6</v>
      </c>
      <c r="H159">
        <f t="shared" si="62"/>
        <v>2.8056202137054842E-2</v>
      </c>
      <c r="I159">
        <f t="shared" si="63"/>
        <v>3.1563227404186696E-3</v>
      </c>
      <c r="J159">
        <f t="shared" si="64"/>
        <v>1.4028101068527421E-2</v>
      </c>
      <c r="K159">
        <f t="shared" si="65"/>
        <v>5.9472584914701671E-5</v>
      </c>
      <c r="L159">
        <v>158</v>
      </c>
      <c r="M159">
        <f t="shared" si="81"/>
        <v>0.05</v>
      </c>
      <c r="N159">
        <f t="shared" si="66"/>
        <v>0.40406971284088994</v>
      </c>
      <c r="O159">
        <f t="shared" si="67"/>
        <v>7.9945467504677771E-4</v>
      </c>
      <c r="P159">
        <f t="shared" si="68"/>
        <v>0.21410882978047094</v>
      </c>
      <c r="Q159">
        <f t="shared" si="69"/>
        <v>2.4087243350302979E-2</v>
      </c>
      <c r="R159">
        <f t="shared" si="70"/>
        <v>0.10705441489023547</v>
      </c>
      <c r="S159">
        <f t="shared" si="71"/>
        <v>5.3963190565657496E-3</v>
      </c>
      <c r="T159">
        <f t="shared" si="72"/>
        <v>0.1</v>
      </c>
      <c r="U159">
        <f t="shared" si="82"/>
        <v>10652.743897229346</v>
      </c>
      <c r="V159">
        <f t="shared" si="73"/>
        <v>0.68301107922001103</v>
      </c>
      <c r="W159">
        <f t="shared" si="74"/>
        <v>1.4351709884287474E-5</v>
      </c>
      <c r="X159">
        <f t="shared" si="75"/>
        <v>4.570034580131737E-2</v>
      </c>
      <c r="Y159">
        <f t="shared" si="76"/>
        <v>5.1412889026482035E-3</v>
      </c>
      <c r="Z159">
        <f t="shared" si="77"/>
        <v>2.2850172900658685E-2</v>
      </c>
      <c r="AA159">
        <f t="shared" si="78"/>
        <v>9.687404171894043E-5</v>
      </c>
      <c r="AB159">
        <f t="shared" si="79"/>
        <v>0.05</v>
      </c>
      <c r="AC159">
        <f t="shared" si="83"/>
        <v>0.69647520573189259</v>
      </c>
      <c r="AD159">
        <f t="shared" si="84"/>
        <v>2.6190959975828828E-4</v>
      </c>
      <c r="AE159">
        <f t="shared" si="85"/>
        <v>0.17477135755281781</v>
      </c>
      <c r="AF159">
        <f t="shared" si="86"/>
        <v>1.9661777724692003E-2</v>
      </c>
      <c r="AG159">
        <f t="shared" si="87"/>
        <v>8.7385678776408904E-2</v>
      </c>
      <c r="AH159">
        <f t="shared" si="88"/>
        <v>1.7678897983684459E-3</v>
      </c>
      <c r="AI159">
        <f t="shared" si="89"/>
        <v>0.1</v>
      </c>
    </row>
    <row r="160" spans="5:35" x14ac:dyDescent="0.25">
      <c r="E160">
        <f t="shared" si="80"/>
        <v>55926.905460454058</v>
      </c>
      <c r="F160">
        <f t="shared" si="60"/>
        <v>0.4164495441884899</v>
      </c>
      <c r="G160">
        <f t="shared" si="61"/>
        <v>7.991612824272658E-6</v>
      </c>
      <c r="H160">
        <f t="shared" si="62"/>
        <v>2.6719592588765564E-2</v>
      </c>
      <c r="I160">
        <f t="shared" si="63"/>
        <v>3.0059541662361259E-3</v>
      </c>
      <c r="J160">
        <f t="shared" si="64"/>
        <v>1.3359796294382782E-2</v>
      </c>
      <c r="K160">
        <f t="shared" si="65"/>
        <v>5.3943386563840449E-5</v>
      </c>
      <c r="L160">
        <v>159</v>
      </c>
      <c r="M160">
        <f t="shared" si="81"/>
        <v>0.05</v>
      </c>
      <c r="N160">
        <f t="shared" si="66"/>
        <v>0.40010011260105594</v>
      </c>
      <c r="O160">
        <f t="shared" si="67"/>
        <v>7.2512681824537508E-4</v>
      </c>
      <c r="P160">
        <f t="shared" si="68"/>
        <v>0.20385818528161279</v>
      </c>
      <c r="Q160">
        <f t="shared" si="69"/>
        <v>2.2934045844181437E-2</v>
      </c>
      <c r="R160">
        <f t="shared" si="70"/>
        <v>0.10192909264080639</v>
      </c>
      <c r="S160">
        <f t="shared" si="71"/>
        <v>4.8946060231562817E-3</v>
      </c>
      <c r="T160">
        <f t="shared" si="72"/>
        <v>0.1</v>
      </c>
      <c r="U160">
        <f t="shared" si="82"/>
        <v>11185.381092090813</v>
      </c>
      <c r="V160">
        <f t="shared" si="73"/>
        <v>0.67834869756227223</v>
      </c>
      <c r="W160">
        <f t="shared" si="74"/>
        <v>1.3017423662525745E-5</v>
      </c>
      <c r="X160">
        <f t="shared" si="75"/>
        <v>4.3523161652879575E-2</v>
      </c>
      <c r="Y160">
        <f t="shared" si="76"/>
        <v>4.896355685948952E-3</v>
      </c>
      <c r="Z160">
        <f t="shared" si="77"/>
        <v>2.1761580826439787E-2</v>
      </c>
      <c r="AA160">
        <f t="shared" si="78"/>
        <v>8.7867609722048787E-5</v>
      </c>
      <c r="AB160">
        <f t="shared" si="79"/>
        <v>0.05</v>
      </c>
      <c r="AC160">
        <f t="shared" si="83"/>
        <v>0.69060079680321851</v>
      </c>
      <c r="AD160">
        <f t="shared" si="84"/>
        <v>2.375596155683073E-4</v>
      </c>
      <c r="AE160">
        <f t="shared" si="85"/>
        <v>0.16643101643723412</v>
      </c>
      <c r="AF160">
        <f t="shared" si="86"/>
        <v>1.8723489349188837E-2</v>
      </c>
      <c r="AG160">
        <f t="shared" si="87"/>
        <v>8.3215508218617062E-2</v>
      </c>
      <c r="AH160">
        <f t="shared" si="88"/>
        <v>1.6035274050860743E-3</v>
      </c>
      <c r="AI160">
        <f t="shared" si="89"/>
        <v>0.1</v>
      </c>
    </row>
    <row r="161" spans="5:35" x14ac:dyDescent="0.25">
      <c r="E161">
        <f t="shared" si="80"/>
        <v>58723.250733476765</v>
      </c>
      <c r="F161">
        <f t="shared" si="60"/>
        <v>0.41362330535235664</v>
      </c>
      <c r="G161">
        <f t="shared" si="61"/>
        <v>7.2486282762752993E-6</v>
      </c>
      <c r="H161">
        <f t="shared" si="62"/>
        <v>2.5446686913184226E-2</v>
      </c>
      <c r="I161">
        <f t="shared" si="63"/>
        <v>2.8627522777332254E-3</v>
      </c>
      <c r="J161">
        <f t="shared" si="64"/>
        <v>1.2723343456592113E-2</v>
      </c>
      <c r="K161">
        <f t="shared" si="65"/>
        <v>4.8928240864858274E-5</v>
      </c>
      <c r="L161">
        <v>160</v>
      </c>
      <c r="M161">
        <f t="shared" si="81"/>
        <v>0.05</v>
      </c>
      <c r="N161">
        <f t="shared" si="66"/>
        <v>0.39620398564333276</v>
      </c>
      <c r="O161">
        <f t="shared" si="67"/>
        <v>6.577096402543397E-4</v>
      </c>
      <c r="P161">
        <f t="shared" si="68"/>
        <v>0.19410080503278349</v>
      </c>
      <c r="Q161">
        <f t="shared" si="69"/>
        <v>2.1836340566188144E-2</v>
      </c>
      <c r="R161">
        <f t="shared" si="70"/>
        <v>9.7050402516391743E-2</v>
      </c>
      <c r="S161">
        <f t="shared" si="71"/>
        <v>4.4395400717167927E-3</v>
      </c>
      <c r="T161">
        <f t="shared" si="72"/>
        <v>0.1</v>
      </c>
      <c r="U161">
        <f t="shared" si="82"/>
        <v>11744.650146695354</v>
      </c>
      <c r="V161">
        <f t="shared" si="73"/>
        <v>0.6737450776033963</v>
      </c>
      <c r="W161">
        <f t="shared" si="74"/>
        <v>1.180718677434516E-5</v>
      </c>
      <c r="X161">
        <f t="shared" si="75"/>
        <v>4.1449743830240762E-2</v>
      </c>
      <c r="Y161">
        <f t="shared" si="76"/>
        <v>4.6630961809020852E-3</v>
      </c>
      <c r="Z161">
        <f t="shared" si="77"/>
        <v>2.0724871915120381E-2</v>
      </c>
      <c r="AA161">
        <f t="shared" si="78"/>
        <v>7.9698510726829828E-5</v>
      </c>
      <c r="AB161">
        <f t="shared" si="79"/>
        <v>0.05</v>
      </c>
      <c r="AC161">
        <f t="shared" si="83"/>
        <v>0.68481906234489653</v>
      </c>
      <c r="AD161">
        <f t="shared" si="84"/>
        <v>2.1547348198378254E-4</v>
      </c>
      <c r="AE161">
        <f t="shared" si="85"/>
        <v>0.15848950158483757</v>
      </c>
      <c r="AF161">
        <f t="shared" si="86"/>
        <v>1.7830068928294227E-2</v>
      </c>
      <c r="AG161">
        <f t="shared" si="87"/>
        <v>7.9244750792418786E-2</v>
      </c>
      <c r="AH161">
        <f t="shared" si="88"/>
        <v>1.4544460033905323E-3</v>
      </c>
      <c r="AI161">
        <f t="shared" si="89"/>
        <v>0.1</v>
      </c>
    </row>
    <row r="162" spans="5:35" x14ac:dyDescent="0.25">
      <c r="E162">
        <f t="shared" si="80"/>
        <v>61659.41327015061</v>
      </c>
      <c r="F162">
        <f t="shared" si="60"/>
        <v>0.4108324648958509</v>
      </c>
      <c r="G162">
        <f t="shared" si="61"/>
        <v>6.574719413273384E-6</v>
      </c>
      <c r="H162">
        <f t="shared" si="62"/>
        <v>2.4234446401653485E-2</v>
      </c>
      <c r="I162">
        <f t="shared" si="63"/>
        <v>2.7263752201860166E-3</v>
      </c>
      <c r="J162">
        <f t="shared" si="64"/>
        <v>1.2117223200826742E-2</v>
      </c>
      <c r="K162">
        <f t="shared" si="65"/>
        <v>4.4379356039595345E-5</v>
      </c>
      <c r="L162">
        <v>161</v>
      </c>
      <c r="M162">
        <f t="shared" si="81"/>
        <v>0.05</v>
      </c>
      <c r="N162">
        <f t="shared" si="66"/>
        <v>0.39237931260271963</v>
      </c>
      <c r="O162">
        <f t="shared" si="67"/>
        <v>5.9656058442700581E-4</v>
      </c>
      <c r="P162">
        <f t="shared" si="68"/>
        <v>0.18481271895597715</v>
      </c>
      <c r="Q162">
        <f t="shared" si="69"/>
        <v>2.0791430882547431E-2</v>
      </c>
      <c r="R162">
        <f t="shared" si="70"/>
        <v>9.2406359477988573E-2</v>
      </c>
      <c r="S162">
        <f t="shared" si="71"/>
        <v>4.0267839448822895E-3</v>
      </c>
      <c r="T162">
        <f t="shared" si="72"/>
        <v>0.1</v>
      </c>
      <c r="U162">
        <f t="shared" si="82"/>
        <v>12331.882654030122</v>
      </c>
      <c r="V162">
        <f t="shared" si="73"/>
        <v>0.66919911755807115</v>
      </c>
      <c r="W162">
        <f t="shared" si="74"/>
        <v>1.0709466280056152E-5</v>
      </c>
      <c r="X162">
        <f t="shared" si="75"/>
        <v>3.9475142624393583E-2</v>
      </c>
      <c r="Y162">
        <f t="shared" si="76"/>
        <v>4.4409535452442778E-3</v>
      </c>
      <c r="Z162">
        <f t="shared" si="77"/>
        <v>1.9737571312196792E-2</v>
      </c>
      <c r="AA162">
        <f t="shared" si="78"/>
        <v>7.228889739037903E-5</v>
      </c>
      <c r="AB162">
        <f t="shared" si="79"/>
        <v>0.05</v>
      </c>
      <c r="AC162">
        <f t="shared" si="83"/>
        <v>0.67912782916478454</v>
      </c>
      <c r="AD162">
        <f t="shared" si="84"/>
        <v>1.9544072410928494E-4</v>
      </c>
      <c r="AE162">
        <f t="shared" si="85"/>
        <v>0.15092766580706254</v>
      </c>
      <c r="AF162">
        <f t="shared" si="86"/>
        <v>1.6979362403294535E-2</v>
      </c>
      <c r="AG162">
        <f t="shared" si="87"/>
        <v>7.5463832903531272E-2</v>
      </c>
      <c r="AH162">
        <f t="shared" si="88"/>
        <v>1.3192248877376734E-3</v>
      </c>
      <c r="AI162">
        <f t="shared" si="89"/>
        <v>0.1</v>
      </c>
    </row>
    <row r="163" spans="5:35" x14ac:dyDescent="0.25">
      <c r="E163">
        <f t="shared" si="80"/>
        <v>64742.383933658144</v>
      </c>
      <c r="F163">
        <f t="shared" si="60"/>
        <v>0.40807636321971258</v>
      </c>
      <c r="G163">
        <f t="shared" si="61"/>
        <v>5.9634642285393711E-6</v>
      </c>
      <c r="H163">
        <f t="shared" si="62"/>
        <v>2.3079977528972426E-2</v>
      </c>
      <c r="I163">
        <f t="shared" si="63"/>
        <v>2.5964974720093978E-3</v>
      </c>
      <c r="J163">
        <f t="shared" si="64"/>
        <v>1.1539988764486213E-2</v>
      </c>
      <c r="K163">
        <f t="shared" si="65"/>
        <v>4.0253383542640751E-5</v>
      </c>
      <c r="L163">
        <v>162</v>
      </c>
      <c r="M163">
        <f t="shared" si="81"/>
        <v>0.05</v>
      </c>
      <c r="N163">
        <f t="shared" si="66"/>
        <v>0.38862414744358081</v>
      </c>
      <c r="O163">
        <f t="shared" si="67"/>
        <v>5.4109684486423079E-4</v>
      </c>
      <c r="P163">
        <f t="shared" si="68"/>
        <v>0.17597114364475175</v>
      </c>
      <c r="Q163">
        <f t="shared" si="69"/>
        <v>1.9796753660034572E-2</v>
      </c>
      <c r="R163">
        <f t="shared" si="70"/>
        <v>8.7985571822375874E-2</v>
      </c>
      <c r="S163">
        <f t="shared" si="71"/>
        <v>3.6524037028335577E-3</v>
      </c>
      <c r="T163">
        <f t="shared" si="72"/>
        <v>0.1</v>
      </c>
      <c r="U163">
        <f t="shared" si="82"/>
        <v>12948.476786731628</v>
      </c>
      <c r="V163">
        <f t="shared" si="73"/>
        <v>0.66470974301450958</v>
      </c>
      <c r="W163">
        <f t="shared" si="74"/>
        <v>9.7138014648850947E-6</v>
      </c>
      <c r="X163">
        <f t="shared" si="75"/>
        <v>3.7594644813583336E-2</v>
      </c>
      <c r="Y163">
        <f t="shared" si="76"/>
        <v>4.2293975415281255E-3</v>
      </c>
      <c r="Z163">
        <f t="shared" si="77"/>
        <v>1.8797322406791668E-2</v>
      </c>
      <c r="AA163">
        <f t="shared" si="78"/>
        <v>6.5568159887974381E-5</v>
      </c>
      <c r="AB163">
        <f t="shared" si="79"/>
        <v>0.05</v>
      </c>
      <c r="AC163">
        <f t="shared" si="83"/>
        <v>0.67352499149135225</v>
      </c>
      <c r="AD163">
        <f t="shared" si="84"/>
        <v>1.7727043563497722E-4</v>
      </c>
      <c r="AE163">
        <f t="shared" si="85"/>
        <v>0.14372728820303407</v>
      </c>
      <c r="AF163">
        <f t="shared" si="86"/>
        <v>1.6169319922841329E-2</v>
      </c>
      <c r="AG163">
        <f t="shared" si="87"/>
        <v>7.1863644101517035E-2</v>
      </c>
      <c r="AH163">
        <f t="shared" si="88"/>
        <v>1.1965754405360962E-3</v>
      </c>
      <c r="AI163">
        <f t="shared" si="89"/>
        <v>0.1</v>
      </c>
    </row>
    <row r="164" spans="5:35" x14ac:dyDescent="0.25">
      <c r="E164">
        <f t="shared" si="80"/>
        <v>67979.503130341051</v>
      </c>
      <c r="F164">
        <f t="shared" si="60"/>
        <v>0.40535435701107003</v>
      </c>
      <c r="G164">
        <f t="shared" si="61"/>
        <v>5.4090377734171747E-6</v>
      </c>
      <c r="H164">
        <f t="shared" si="62"/>
        <v>2.1980524994929491E-2</v>
      </c>
      <c r="I164">
        <f t="shared" si="63"/>
        <v>2.4728090619295677E-3</v>
      </c>
      <c r="J164">
        <f t="shared" si="64"/>
        <v>1.0990262497464745E-2</v>
      </c>
      <c r="K164">
        <f t="shared" si="65"/>
        <v>3.6511004970565927E-5</v>
      </c>
      <c r="L164">
        <v>163</v>
      </c>
      <c r="M164">
        <f t="shared" si="81"/>
        <v>0.05</v>
      </c>
      <c r="N164">
        <f t="shared" si="66"/>
        <v>0.38493661416107328</v>
      </c>
      <c r="O164">
        <f t="shared" si="67"/>
        <v>4.9078980924251679E-4</v>
      </c>
      <c r="P164">
        <f t="shared" si="68"/>
        <v>0.16755442158256956</v>
      </c>
      <c r="Q164">
        <f t="shared" si="69"/>
        <v>1.8849872428039077E-2</v>
      </c>
      <c r="R164">
        <f t="shared" si="70"/>
        <v>8.3777210791284779E-2</v>
      </c>
      <c r="S164">
        <f t="shared" si="71"/>
        <v>3.3128312123869882E-3</v>
      </c>
      <c r="T164">
        <f t="shared" si="72"/>
        <v>0.1</v>
      </c>
      <c r="U164">
        <f t="shared" si="82"/>
        <v>13595.900626068209</v>
      </c>
      <c r="V164">
        <f t="shared" si="73"/>
        <v>0.66027590608958941</v>
      </c>
      <c r="W164">
        <f t="shared" si="74"/>
        <v>8.8107041533990604E-6</v>
      </c>
      <c r="X164">
        <f t="shared" si="75"/>
        <v>3.5803762328760633E-2</v>
      </c>
      <c r="Y164">
        <f t="shared" si="76"/>
        <v>4.0279232619855714E-3</v>
      </c>
      <c r="Z164">
        <f t="shared" si="77"/>
        <v>1.7901881164380316E-2</v>
      </c>
      <c r="AA164">
        <f t="shared" si="78"/>
        <v>5.9472253035443661E-5</v>
      </c>
      <c r="AB164">
        <f t="shared" si="79"/>
        <v>0.05</v>
      </c>
      <c r="AC164">
        <f t="shared" si="83"/>
        <v>0.6680085083792513</v>
      </c>
      <c r="AD164">
        <f t="shared" si="84"/>
        <v>1.6078945942423013E-4</v>
      </c>
      <c r="AE164">
        <f t="shared" si="85"/>
        <v>0.13687102869232753</v>
      </c>
      <c r="AF164">
        <f t="shared" si="86"/>
        <v>1.5397990727886847E-2</v>
      </c>
      <c r="AG164">
        <f t="shared" si="87"/>
        <v>6.8435514346163767E-2</v>
      </c>
      <c r="AH164">
        <f t="shared" si="88"/>
        <v>1.0853288511135533E-3</v>
      </c>
      <c r="AI164">
        <f t="shared" si="89"/>
        <v>0.1</v>
      </c>
    </row>
    <row r="165" spans="5:35" x14ac:dyDescent="0.25">
      <c r="E165">
        <f t="shared" si="80"/>
        <v>71378.47828685811</v>
      </c>
      <c r="F165">
        <f t="shared" si="60"/>
        <v>0.40266581874385793</v>
      </c>
      <c r="G165">
        <f t="shared" si="61"/>
        <v>4.9061566483877039E-6</v>
      </c>
      <c r="H165">
        <f t="shared" si="62"/>
        <v>2.0933465101379924E-2</v>
      </c>
      <c r="I165">
        <f t="shared" si="63"/>
        <v>2.3550148239052417E-3</v>
      </c>
      <c r="J165">
        <f t="shared" si="64"/>
        <v>1.0466732550689962E-2</v>
      </c>
      <c r="K165">
        <f t="shared" si="65"/>
        <v>3.3116557376617008E-5</v>
      </c>
      <c r="L165">
        <v>164</v>
      </c>
      <c r="M165">
        <f t="shared" si="81"/>
        <v>0.05</v>
      </c>
      <c r="N165">
        <f t="shared" si="66"/>
        <v>0.38131490365904003</v>
      </c>
      <c r="O165">
        <f t="shared" si="67"/>
        <v>4.4516001867009878E-4</v>
      </c>
      <c r="P165">
        <f t="shared" si="68"/>
        <v>0.15954196366211013</v>
      </c>
      <c r="Q165">
        <f t="shared" si="69"/>
        <v>1.7948470911987389E-2</v>
      </c>
      <c r="R165">
        <f t="shared" si="70"/>
        <v>7.9770981831055063E-2</v>
      </c>
      <c r="S165">
        <f t="shared" si="71"/>
        <v>3.0048301260231667E-3</v>
      </c>
      <c r="T165">
        <f t="shared" si="72"/>
        <v>0.1</v>
      </c>
      <c r="U165">
        <f t="shared" si="82"/>
        <v>14275.69565737162</v>
      </c>
      <c r="V165">
        <f t="shared" si="73"/>
        <v>0.65589658461509115</v>
      </c>
      <c r="W165">
        <f t="shared" si="74"/>
        <v>7.9915682917975604E-6</v>
      </c>
      <c r="X165">
        <f t="shared" si="75"/>
        <v>3.4098221465597718E-2</v>
      </c>
      <c r="Y165">
        <f t="shared" si="76"/>
        <v>3.8360499148797438E-3</v>
      </c>
      <c r="Z165">
        <f t="shared" si="77"/>
        <v>1.7049110732798859E-2</v>
      </c>
      <c r="AA165">
        <f t="shared" si="78"/>
        <v>5.3943085969633534E-5</v>
      </c>
      <c r="AB165">
        <f t="shared" si="79"/>
        <v>0.05</v>
      </c>
      <c r="AC165">
        <f t="shared" si="83"/>
        <v>0.6625764012337757</v>
      </c>
      <c r="AD165">
        <f t="shared" si="84"/>
        <v>1.4584073727259768E-4</v>
      </c>
      <c r="AE165">
        <f t="shared" si="85"/>
        <v>0.13034238484030253</v>
      </c>
      <c r="AF165">
        <f t="shared" si="86"/>
        <v>1.4663518294534035E-2</v>
      </c>
      <c r="AG165">
        <f t="shared" si="87"/>
        <v>6.5171192420151264E-2</v>
      </c>
      <c r="AH165">
        <f t="shared" si="88"/>
        <v>9.8442497659003434E-4</v>
      </c>
      <c r="AI165">
        <f t="shared" si="89"/>
        <v>0.1</v>
      </c>
    </row>
    <row r="166" spans="5:35" x14ac:dyDescent="0.25">
      <c r="E166">
        <f t="shared" si="80"/>
        <v>74947.402201201025</v>
      </c>
      <c r="F166">
        <f t="shared" si="60"/>
        <v>0.40001013619751163</v>
      </c>
      <c r="G166">
        <f t="shared" si="61"/>
        <v>4.4500286548528052E-6</v>
      </c>
      <c r="H166">
        <f t="shared" si="62"/>
        <v>1.9936299448499034E-2</v>
      </c>
      <c r="I166">
        <f t="shared" si="63"/>
        <v>2.2428336879561418E-3</v>
      </c>
      <c r="J166">
        <f t="shared" si="64"/>
        <v>9.9681497242495171E-3</v>
      </c>
      <c r="K166">
        <f t="shared" si="65"/>
        <v>3.003769342025644E-5</v>
      </c>
      <c r="L166">
        <v>165</v>
      </c>
      <c r="M166">
        <f t="shared" si="81"/>
        <v>0.05</v>
      </c>
      <c r="N166">
        <f t="shared" si="66"/>
        <v>0.37775727079345539</v>
      </c>
      <c r="O166">
        <f t="shared" si="67"/>
        <v>4.0377259643617638E-4</v>
      </c>
      <c r="P166">
        <f t="shared" si="68"/>
        <v>0.15191419480928095</v>
      </c>
      <c r="Q166">
        <f t="shared" si="69"/>
        <v>1.7090346916044104E-2</v>
      </c>
      <c r="R166">
        <f t="shared" si="70"/>
        <v>7.5957097404640475E-2</v>
      </c>
      <c r="S166">
        <f t="shared" si="71"/>
        <v>2.7254650259441902E-3</v>
      </c>
      <c r="T166">
        <f t="shared" si="72"/>
        <v>0.1</v>
      </c>
      <c r="U166">
        <f t="shared" si="82"/>
        <v>14989.480440240201</v>
      </c>
      <c r="V166">
        <f t="shared" si="73"/>
        <v>0.65157078135370616</v>
      </c>
      <c r="W166">
        <f t="shared" si="74"/>
        <v>7.2485879364245564E-6</v>
      </c>
      <c r="X166">
        <f t="shared" si="75"/>
        <v>3.2473952616405698E-2</v>
      </c>
      <c r="Y166">
        <f t="shared" si="76"/>
        <v>3.6533196693456409E-3</v>
      </c>
      <c r="Z166">
        <f t="shared" si="77"/>
        <v>1.6236976308202849E-2</v>
      </c>
      <c r="AA166">
        <f t="shared" si="78"/>
        <v>4.8927968570865751E-5</v>
      </c>
      <c r="AB166">
        <f t="shared" si="79"/>
        <v>0.05</v>
      </c>
      <c r="AC166">
        <f t="shared" si="83"/>
        <v>0.65722675144789588</v>
      </c>
      <c r="AD166">
        <f t="shared" si="84"/>
        <v>1.3228181310671893E-4</v>
      </c>
      <c r="AE166">
        <f t="shared" si="85"/>
        <v>0.12412565085482717</v>
      </c>
      <c r="AF166">
        <f t="shared" si="86"/>
        <v>1.3964135721168057E-2</v>
      </c>
      <c r="AG166">
        <f t="shared" si="87"/>
        <v>6.2062825427413586E-2</v>
      </c>
      <c r="AH166">
        <f t="shared" si="88"/>
        <v>8.9290223847035273E-4</v>
      </c>
      <c r="AI166">
        <f t="shared" si="89"/>
        <v>0.1</v>
      </c>
    </row>
    <row r="167" spans="5:35" x14ac:dyDescent="0.25">
      <c r="E167">
        <f t="shared" si="80"/>
        <v>78694.772311261084</v>
      </c>
      <c r="F167">
        <f t="shared" si="60"/>
        <v>0.39738671199316322</v>
      </c>
      <c r="G167">
        <f t="shared" si="61"/>
        <v>4.0363071278386523E-6</v>
      </c>
      <c r="H167">
        <f t="shared" si="62"/>
        <v>1.8986648934658134E-2</v>
      </c>
      <c r="I167">
        <f t="shared" si="63"/>
        <v>2.1359980051490401E-3</v>
      </c>
      <c r="J167">
        <f t="shared" si="64"/>
        <v>9.493324467329067E-3</v>
      </c>
      <c r="K167">
        <f t="shared" si="65"/>
        <v>2.7245073112910905E-5</v>
      </c>
      <c r="L167">
        <v>166</v>
      </c>
      <c r="M167">
        <f t="shared" si="81"/>
        <v>0.05</v>
      </c>
      <c r="N167">
        <f t="shared" si="66"/>
        <v>0.37426203157127103</v>
      </c>
      <c r="O167">
        <f t="shared" si="67"/>
        <v>3.6623310200537625E-4</v>
      </c>
      <c r="P167">
        <f t="shared" si="68"/>
        <v>0.14465250252880774</v>
      </c>
      <c r="Q167">
        <f t="shared" si="69"/>
        <v>1.6273406534490869E-2</v>
      </c>
      <c r="R167">
        <f t="shared" si="70"/>
        <v>7.2326251264403868E-2</v>
      </c>
      <c r="S167">
        <f t="shared" si="71"/>
        <v>2.4720734385362897E-3</v>
      </c>
      <c r="T167">
        <f t="shared" si="72"/>
        <v>0.1</v>
      </c>
      <c r="U167">
        <f t="shared" si="82"/>
        <v>15738.954462252212</v>
      </c>
      <c r="V167">
        <f t="shared" si="73"/>
        <v>0.64729752324355294</v>
      </c>
      <c r="W167">
        <f t="shared" si="74"/>
        <v>6.5746828669631258E-6</v>
      </c>
      <c r="X167">
        <f t="shared" si="75"/>
        <v>3.0927080496618367E-2</v>
      </c>
      <c r="Y167">
        <f t="shared" si="76"/>
        <v>3.4792965558695663E-3</v>
      </c>
      <c r="Z167">
        <f t="shared" si="77"/>
        <v>1.5463540248309184E-2</v>
      </c>
      <c r="AA167">
        <f t="shared" si="78"/>
        <v>4.4379109352001104E-5</v>
      </c>
      <c r="AB167">
        <f t="shared" si="79"/>
        <v>0.05</v>
      </c>
      <c r="AC167">
        <f t="shared" si="83"/>
        <v>0.65195769814596105</v>
      </c>
      <c r="AD167">
        <f t="shared" si="84"/>
        <v>1.1998347535489197E-4</v>
      </c>
      <c r="AE167">
        <f t="shared" si="85"/>
        <v>0.11820587864012018</v>
      </c>
      <c r="AF167">
        <f t="shared" si="86"/>
        <v>1.3298161347013521E-2</v>
      </c>
      <c r="AG167">
        <f t="shared" si="87"/>
        <v>5.910293932006009E-2</v>
      </c>
      <c r="AH167">
        <f t="shared" si="88"/>
        <v>8.098884586455208E-4</v>
      </c>
      <c r="AI167">
        <f t="shared" si="89"/>
        <v>0.1</v>
      </c>
    </row>
    <row r="168" spans="5:35" x14ac:dyDescent="0.25">
      <c r="E168">
        <f t="shared" si="80"/>
        <v>82629.510926824136</v>
      </c>
      <c r="F168">
        <f t="shared" si="60"/>
        <v>0.394794963146605</v>
      </c>
      <c r="G168">
        <f t="shared" si="61"/>
        <v>3.6610495144276318E-6</v>
      </c>
      <c r="H168">
        <f t="shared" si="62"/>
        <v>1.8082248045143984E-2</v>
      </c>
      <c r="I168">
        <f t="shared" si="63"/>
        <v>2.034252905078698E-3</v>
      </c>
      <c r="J168">
        <f t="shared" si="64"/>
        <v>9.0411240225719922E-3</v>
      </c>
      <c r="K168">
        <f t="shared" si="65"/>
        <v>2.4712084222386518E-5</v>
      </c>
      <c r="L168">
        <v>167</v>
      </c>
      <c r="M168">
        <f t="shared" si="81"/>
        <v>0.05</v>
      </c>
      <c r="N168">
        <f t="shared" si="66"/>
        <v>0.37082756049520871</v>
      </c>
      <c r="O168">
        <f t="shared" si="67"/>
        <v>3.3218377067719378E-4</v>
      </c>
      <c r="P168">
        <f t="shared" si="68"/>
        <v>0.13773918820043987</v>
      </c>
      <c r="Q168">
        <f t="shared" si="69"/>
        <v>1.5495658672549487E-2</v>
      </c>
      <c r="R168">
        <f t="shared" si="70"/>
        <v>6.8869594100219936E-2</v>
      </c>
      <c r="S168">
        <f t="shared" si="71"/>
        <v>2.2422404520710576E-3</v>
      </c>
      <c r="T168">
        <f t="shared" si="72"/>
        <v>0.1</v>
      </c>
      <c r="U168">
        <f t="shared" si="82"/>
        <v>16525.902185364823</v>
      </c>
      <c r="V168">
        <f t="shared" si="73"/>
        <v>0.64307586067000588</v>
      </c>
      <c r="W168">
        <f t="shared" si="74"/>
        <v>5.9634311154364674E-6</v>
      </c>
      <c r="X168">
        <f t="shared" si="75"/>
        <v>2.9453914841769166E-2</v>
      </c>
      <c r="Y168">
        <f t="shared" si="76"/>
        <v>3.3135654196990313E-3</v>
      </c>
      <c r="Z168">
        <f t="shared" si="77"/>
        <v>1.4726957420884583E-2</v>
      </c>
      <c r="AA168">
        <f t="shared" si="78"/>
        <v>4.0253160029196155E-5</v>
      </c>
      <c r="AB168">
        <f t="shared" si="79"/>
        <v>0.05</v>
      </c>
      <c r="AC168">
        <f t="shared" si="83"/>
        <v>0.64676743602846509</v>
      </c>
      <c r="AD168">
        <f t="shared" si="84"/>
        <v>1.0882852554810057E-4</v>
      </c>
      <c r="AE168">
        <f t="shared" si="85"/>
        <v>0.11256884079990881</v>
      </c>
      <c r="AF168">
        <f t="shared" si="86"/>
        <v>1.2663994589989741E-2</v>
      </c>
      <c r="AG168">
        <f t="shared" si="87"/>
        <v>5.6284420399954405E-2</v>
      </c>
      <c r="AH168">
        <f t="shared" si="88"/>
        <v>7.3459254744967875E-4</v>
      </c>
      <c r="AI168">
        <f t="shared" si="89"/>
        <v>0.1</v>
      </c>
    </row>
    <row r="169" spans="5:35" x14ac:dyDescent="0.25">
      <c r="E169">
        <f t="shared" si="80"/>
        <v>86760.986473165351</v>
      </c>
      <c r="F169">
        <f t="shared" si="60"/>
        <v>0.39223432063730901</v>
      </c>
      <c r="G169">
        <f t="shared" si="61"/>
        <v>3.3206798031882538E-6</v>
      </c>
      <c r="H169">
        <f t="shared" si="62"/>
        <v>1.7220939415676154E-2</v>
      </c>
      <c r="I169">
        <f t="shared" si="63"/>
        <v>1.9373556842635668E-3</v>
      </c>
      <c r="J169">
        <f t="shared" si="64"/>
        <v>8.6104697078380771E-3</v>
      </c>
      <c r="K169">
        <f t="shared" si="65"/>
        <v>2.2414588671520712E-5</v>
      </c>
      <c r="L169">
        <v>168</v>
      </c>
      <c r="M169">
        <f t="shared" si="81"/>
        <v>0.05</v>
      </c>
      <c r="N169">
        <f t="shared" si="66"/>
        <v>0.36745228804571917</v>
      </c>
      <c r="O169">
        <f t="shared" si="67"/>
        <v>3.0130010301793663E-4</v>
      </c>
      <c r="P169">
        <f t="shared" si="68"/>
        <v>0.13115742096603955</v>
      </c>
      <c r="Q169">
        <f t="shared" si="69"/>
        <v>1.475520985867945E-2</v>
      </c>
      <c r="R169">
        <f t="shared" si="70"/>
        <v>6.5578710483019775E-2</v>
      </c>
      <c r="S169">
        <f t="shared" si="71"/>
        <v>2.0337756953710722E-3</v>
      </c>
      <c r="T169">
        <f t="shared" si="72"/>
        <v>0.1</v>
      </c>
      <c r="U169">
        <f t="shared" si="82"/>
        <v>17352.197294633064</v>
      </c>
      <c r="V169">
        <f t="shared" si="73"/>
        <v>0.63890486676367719</v>
      </c>
      <c r="W169">
        <f t="shared" si="74"/>
        <v>5.4090077680444112E-6</v>
      </c>
      <c r="X169">
        <f t="shared" si="75"/>
        <v>2.805094155208248E-2</v>
      </c>
      <c r="Y169">
        <f t="shared" si="76"/>
        <v>3.1557309246092787E-3</v>
      </c>
      <c r="Z169">
        <f t="shared" si="77"/>
        <v>1.402547077604124E-2</v>
      </c>
      <c r="AA169">
        <f t="shared" si="78"/>
        <v>3.6510802434299774E-5</v>
      </c>
      <c r="AB169">
        <f t="shared" si="79"/>
        <v>0.05</v>
      </c>
      <c r="AC169">
        <f t="shared" si="83"/>
        <v>0.64165421331265449</v>
      </c>
      <c r="AD169">
        <f t="shared" si="84"/>
        <v>9.8710661413842338E-5</v>
      </c>
      <c r="AE169">
        <f t="shared" si="85"/>
        <v>0.10720099548816546</v>
      </c>
      <c r="AF169">
        <f t="shared" si="86"/>
        <v>1.2060111992418616E-2</v>
      </c>
      <c r="AG169">
        <f t="shared" si="87"/>
        <v>5.360049774408273E-2</v>
      </c>
      <c r="AH169">
        <f t="shared" si="88"/>
        <v>6.6629696454343582E-4</v>
      </c>
      <c r="AI169">
        <f t="shared" si="89"/>
        <v>0.1</v>
      </c>
    </row>
    <row r="170" spans="5:35" x14ac:dyDescent="0.25">
      <c r="E170">
        <f t="shared" si="80"/>
        <v>91099.03579682362</v>
      </c>
      <c r="F170">
        <f t="shared" si="60"/>
        <v>0.38970422899284279</v>
      </c>
      <c r="G170">
        <f t="shared" si="61"/>
        <v>3.0119544465714709E-6</v>
      </c>
      <c r="H170">
        <f t="shared" si="62"/>
        <v>1.6400668657372795E-2</v>
      </c>
      <c r="I170">
        <f t="shared" si="63"/>
        <v>1.8450752239544397E-3</v>
      </c>
      <c r="J170">
        <f t="shared" si="64"/>
        <v>8.2003343286863976E-3</v>
      </c>
      <c r="K170">
        <f t="shared" si="65"/>
        <v>2.033069251435743E-5</v>
      </c>
      <c r="L170">
        <v>169</v>
      </c>
      <c r="M170">
        <f t="shared" si="81"/>
        <v>0.05</v>
      </c>
      <c r="N170">
        <f t="shared" si="66"/>
        <v>0.36413469829189643</v>
      </c>
      <c r="O170">
        <f t="shared" si="67"/>
        <v>2.7328777151619873E-4</v>
      </c>
      <c r="P170">
        <f t="shared" si="68"/>
        <v>0.124891194058216</v>
      </c>
      <c r="Q170">
        <f t="shared" si="69"/>
        <v>1.4050259331549301E-2</v>
      </c>
      <c r="R170">
        <f t="shared" si="70"/>
        <v>6.2445597029107999E-2</v>
      </c>
      <c r="S170">
        <f t="shared" si="71"/>
        <v>1.8446924577343413E-3</v>
      </c>
      <c r="T170">
        <f t="shared" si="72"/>
        <v>0.1</v>
      </c>
      <c r="U170">
        <f t="shared" si="82"/>
        <v>18219.807159364718</v>
      </c>
      <c r="V170">
        <f t="shared" si="73"/>
        <v>0.63478363672347815</v>
      </c>
      <c r="W170">
        <f t="shared" si="74"/>
        <v>4.9061294566428858E-6</v>
      </c>
      <c r="X170">
        <f t="shared" si="75"/>
        <v>2.6714814262934452E-2</v>
      </c>
      <c r="Y170">
        <f t="shared" si="76"/>
        <v>3.0054166045801254E-3</v>
      </c>
      <c r="Z170">
        <f t="shared" si="77"/>
        <v>1.3357407131467226E-2</v>
      </c>
      <c r="AA170">
        <f t="shared" si="78"/>
        <v>3.311637383233948E-5</v>
      </c>
      <c r="AB170">
        <f t="shared" si="79"/>
        <v>0.05</v>
      </c>
      <c r="AC170">
        <f t="shared" si="83"/>
        <v>0.6366163297640397</v>
      </c>
      <c r="AD170">
        <f t="shared" si="84"/>
        <v>8.9533463816708874E-5</v>
      </c>
      <c r="AE170">
        <f t="shared" si="85"/>
        <v>0.1020894530113747</v>
      </c>
      <c r="AF170">
        <f t="shared" si="86"/>
        <v>1.1485063463779656E-2</v>
      </c>
      <c r="AG170">
        <f t="shared" si="87"/>
        <v>5.1044726505687352E-2</v>
      </c>
      <c r="AH170">
        <f t="shared" si="88"/>
        <v>6.0435088076278489E-4</v>
      </c>
      <c r="AI170">
        <f t="shared" si="89"/>
        <v>0.1</v>
      </c>
    </row>
    <row r="171" spans="5:35" x14ac:dyDescent="0.25">
      <c r="E171">
        <f t="shared" si="80"/>
        <v>95653.987586664807</v>
      </c>
      <c r="F171">
        <f t="shared" si="60"/>
        <v>0.38720414588803809</v>
      </c>
      <c r="G171">
        <f t="shared" si="61"/>
        <v>2.7319314515285269E-6</v>
      </c>
      <c r="H171">
        <f t="shared" si="62"/>
        <v>1.5619479430475525E-2</v>
      </c>
      <c r="I171">
        <f t="shared" si="63"/>
        <v>1.7571914359284966E-3</v>
      </c>
      <c r="J171">
        <f t="shared" si="64"/>
        <v>7.8097397152377627E-3</v>
      </c>
      <c r="K171">
        <f t="shared" si="65"/>
        <v>1.8440537297817555E-5</v>
      </c>
      <c r="L171">
        <v>170</v>
      </c>
      <c r="M171">
        <f t="shared" si="81"/>
        <v>0.05</v>
      </c>
      <c r="N171">
        <f t="shared" si="66"/>
        <v>0.36087332662371546</v>
      </c>
      <c r="O171">
        <f t="shared" si="67"/>
        <v>2.478798149443788E-4</v>
      </c>
      <c r="P171">
        <f t="shared" si="68"/>
        <v>0.11892528343078849</v>
      </c>
      <c r="Q171">
        <f t="shared" si="69"/>
        <v>1.3379094385963705E-2</v>
      </c>
      <c r="R171">
        <f t="shared" si="70"/>
        <v>5.9462641715394247E-2</v>
      </c>
      <c r="S171">
        <f t="shared" si="71"/>
        <v>1.6731887508745571E-3</v>
      </c>
      <c r="T171">
        <f t="shared" si="72"/>
        <v>0.1</v>
      </c>
      <c r="U171">
        <f t="shared" si="82"/>
        <v>19130.797517332954</v>
      </c>
      <c r="V171">
        <f t="shared" si="73"/>
        <v>0.63071128716370972</v>
      </c>
      <c r="W171">
        <f t="shared" si="74"/>
        <v>4.4500040108940658E-6</v>
      </c>
      <c r="X171">
        <f t="shared" si="75"/>
        <v>2.5442346320514043E-2</v>
      </c>
      <c r="Y171">
        <f t="shared" si="76"/>
        <v>2.8622639610578304E-3</v>
      </c>
      <c r="Z171">
        <f t="shared" si="77"/>
        <v>1.2721173160257022E-2</v>
      </c>
      <c r="AA171">
        <f t="shared" si="78"/>
        <v>3.0037527073534944E-5</v>
      </c>
      <c r="AB171">
        <f t="shared" si="79"/>
        <v>0.05</v>
      </c>
      <c r="AC171">
        <f t="shared" si="83"/>
        <v>0.63165213481415416</v>
      </c>
      <c r="AD171">
        <f t="shared" si="84"/>
        <v>8.120947788971821E-5</v>
      </c>
      <c r="AE171">
        <f t="shared" si="85"/>
        <v>9.7221944091617482E-2</v>
      </c>
      <c r="AF171">
        <f t="shared" si="86"/>
        <v>1.0937468710306965E-2</v>
      </c>
      <c r="AG171">
        <f t="shared" si="87"/>
        <v>4.8610972045808741E-2</v>
      </c>
      <c r="AH171">
        <f t="shared" si="88"/>
        <v>5.4816397575559791E-4</v>
      </c>
      <c r="AI171">
        <f t="shared" si="89"/>
        <v>0.1</v>
      </c>
    </row>
    <row r="172" spans="5:35" x14ac:dyDescent="0.25">
      <c r="E172">
        <f t="shared" si="80"/>
        <v>100436.68696599806</v>
      </c>
      <c r="F172">
        <f t="shared" si="60"/>
        <v>0.38473354175830549</v>
      </c>
      <c r="G172">
        <f t="shared" si="61"/>
        <v>2.4779423437975751E-6</v>
      </c>
      <c r="H172">
        <f t="shared" si="62"/>
        <v>1.4875508754770787E-2</v>
      </c>
      <c r="I172">
        <f t="shared" si="63"/>
        <v>1.6734947349117133E-3</v>
      </c>
      <c r="J172">
        <f t="shared" si="64"/>
        <v>7.4377543773853933E-3</v>
      </c>
      <c r="K172">
        <f t="shared" si="65"/>
        <v>1.672611082063363E-5</v>
      </c>
      <c r="L172">
        <v>171</v>
      </c>
      <c r="M172">
        <f t="shared" si="81"/>
        <v>0.05</v>
      </c>
      <c r="N172">
        <f t="shared" si="66"/>
        <v>0.35766675759846234</v>
      </c>
      <c r="O172">
        <f t="shared" si="67"/>
        <v>2.2483409365746713E-4</v>
      </c>
      <c r="P172">
        <f t="shared" si="68"/>
        <v>0.11324520856028078</v>
      </c>
      <c r="Q172">
        <f t="shared" si="69"/>
        <v>1.2740085963031588E-2</v>
      </c>
      <c r="R172">
        <f t="shared" si="70"/>
        <v>5.662260428014039E-2</v>
      </c>
      <c r="S172">
        <f t="shared" si="71"/>
        <v>1.5176301321879033E-3</v>
      </c>
      <c r="T172">
        <f t="shared" si="72"/>
        <v>0.1</v>
      </c>
      <c r="U172">
        <f t="shared" si="82"/>
        <v>20087.337393199603</v>
      </c>
      <c r="V172">
        <f t="shared" si="73"/>
        <v>0.62668695548419773</v>
      </c>
      <c r="W172">
        <f t="shared" si="74"/>
        <v>4.0362847912944085E-6</v>
      </c>
      <c r="X172">
        <f t="shared" si="75"/>
        <v>2.4230503143035594E-2</v>
      </c>
      <c r="Y172">
        <f t="shared" si="76"/>
        <v>2.7259316035915045E-3</v>
      </c>
      <c r="Z172">
        <f t="shared" si="77"/>
        <v>1.2115251571517797E-2</v>
      </c>
      <c r="AA172">
        <f t="shared" si="78"/>
        <v>2.7244922341237266E-5</v>
      </c>
      <c r="AB172">
        <f t="shared" si="79"/>
        <v>0.05</v>
      </c>
      <c r="AC172">
        <f t="shared" si="83"/>
        <v>0.62676002576018996</v>
      </c>
      <c r="AD172">
        <f t="shared" si="84"/>
        <v>7.365937959835616E-5</v>
      </c>
      <c r="AE172">
        <f t="shared" si="85"/>
        <v>9.2586789704768996E-2</v>
      </c>
      <c r="AF172">
        <f t="shared" si="86"/>
        <v>1.0416013841786512E-2</v>
      </c>
      <c r="AG172">
        <f t="shared" si="87"/>
        <v>4.6293394852384498E-2</v>
      </c>
      <c r="AH172">
        <f t="shared" si="88"/>
        <v>4.9720081228890405E-4</v>
      </c>
      <c r="AI172">
        <f t="shared" si="89"/>
        <v>0.1</v>
      </c>
    </row>
    <row r="173" spans="5:35" x14ac:dyDescent="0.25">
      <c r="E173">
        <f t="shared" si="80"/>
        <v>105458.52131429796</v>
      </c>
      <c r="F173">
        <f t="shared" si="60"/>
        <v>0.38229189942651998</v>
      </c>
      <c r="G173">
        <f t="shared" si="61"/>
        <v>2.2475667386912569E-6</v>
      </c>
      <c r="H173">
        <f t="shared" si="62"/>
        <v>1.4166982545239726E-2</v>
      </c>
      <c r="I173">
        <f t="shared" si="63"/>
        <v>1.5937855363394691E-3</v>
      </c>
      <c r="J173">
        <f t="shared" si="64"/>
        <v>7.0834912726198632E-3</v>
      </c>
      <c r="K173">
        <f t="shared" si="65"/>
        <v>1.5171075486165988E-5</v>
      </c>
      <c r="L173">
        <v>172</v>
      </c>
      <c r="M173">
        <f t="shared" si="81"/>
        <v>0.05</v>
      </c>
      <c r="N173">
        <f t="shared" si="66"/>
        <v>0.35451362289470961</v>
      </c>
      <c r="O173">
        <f t="shared" si="67"/>
        <v>2.0393098155267023E-4</v>
      </c>
      <c r="P173">
        <f t="shared" si="68"/>
        <v>0.10783719529591891</v>
      </c>
      <c r="Q173">
        <f t="shared" si="69"/>
        <v>1.2131684470790877E-2</v>
      </c>
      <c r="R173">
        <f t="shared" si="70"/>
        <v>5.3918597647959456E-2</v>
      </c>
      <c r="S173">
        <f t="shared" si="71"/>
        <v>1.376534125480524E-3</v>
      </c>
      <c r="T173">
        <f t="shared" si="72"/>
        <v>0.1</v>
      </c>
      <c r="U173">
        <f t="shared" si="82"/>
        <v>21091.704262859585</v>
      </c>
      <c r="V173">
        <f t="shared" si="73"/>
        <v>0.62270979926253078</v>
      </c>
      <c r="W173">
        <f t="shared" si="74"/>
        <v>3.6610292678947736E-6</v>
      </c>
      <c r="X173">
        <f t="shared" si="75"/>
        <v>2.3076394948822777E-2</v>
      </c>
      <c r="Y173">
        <f t="shared" si="76"/>
        <v>2.5960944317425629E-3</v>
      </c>
      <c r="Z173">
        <f t="shared" si="77"/>
        <v>1.1538197474411389E-2</v>
      </c>
      <c r="AA173">
        <f t="shared" si="78"/>
        <v>2.471194755828972E-5</v>
      </c>
      <c r="AB173">
        <f t="shared" si="79"/>
        <v>0.05</v>
      </c>
      <c r="AC173">
        <f t="shared" si="83"/>
        <v>0.62193844604238668</v>
      </c>
      <c r="AD173">
        <f t="shared" si="84"/>
        <v>6.6811219793715747E-5</v>
      </c>
      <c r="AE173">
        <f t="shared" si="85"/>
        <v>8.8172872412813255E-2</v>
      </c>
      <c r="AF173">
        <f t="shared" si="86"/>
        <v>9.9194481464414917E-3</v>
      </c>
      <c r="AG173">
        <f t="shared" si="87"/>
        <v>4.4086436206406628E-2</v>
      </c>
      <c r="AH173">
        <f t="shared" si="88"/>
        <v>4.5097573360758126E-4</v>
      </c>
      <c r="AI173">
        <f t="shared" si="89"/>
        <v>0.1</v>
      </c>
    </row>
    <row r="174" spans="5:35" x14ac:dyDescent="0.25">
      <c r="E174">
        <f t="shared" si="80"/>
        <v>110731.44738001286</v>
      </c>
      <c r="F174">
        <f t="shared" si="60"/>
        <v>0.37987871374291848</v>
      </c>
      <c r="G174">
        <f t="shared" si="61"/>
        <v>2.0386092760564044E-6</v>
      </c>
      <c r="H174">
        <f t="shared" si="62"/>
        <v>1.349221136203293E-2</v>
      </c>
      <c r="I174">
        <f t="shared" si="63"/>
        <v>1.5178737782287044E-3</v>
      </c>
      <c r="J174">
        <f t="shared" si="64"/>
        <v>6.7461056810164651E-3</v>
      </c>
      <c r="K174">
        <f t="shared" si="65"/>
        <v>1.3760612613380729E-5</v>
      </c>
      <c r="L174">
        <v>173</v>
      </c>
      <c r="M174">
        <f t="shared" si="81"/>
        <v>0.05</v>
      </c>
      <c r="N174">
        <f t="shared" si="66"/>
        <v>0.35141259936761543</v>
      </c>
      <c r="O174">
        <f t="shared" si="67"/>
        <v>1.8497127267345275E-4</v>
      </c>
      <c r="P174">
        <f t="shared" si="68"/>
        <v>0.1026881406432824</v>
      </c>
      <c r="Q174">
        <f t="shared" si="69"/>
        <v>1.155241582236927E-2</v>
      </c>
      <c r="R174">
        <f t="shared" si="70"/>
        <v>5.1344070321641198E-2</v>
      </c>
      <c r="S174">
        <f t="shared" si="71"/>
        <v>1.2485560905458059E-3</v>
      </c>
      <c r="T174">
        <f t="shared" si="72"/>
        <v>0.1</v>
      </c>
      <c r="U174">
        <f t="shared" si="82"/>
        <v>22146.289476002567</v>
      </c>
      <c r="V174">
        <f t="shared" si="73"/>
        <v>0.61877899566749528</v>
      </c>
      <c r="W174">
        <f t="shared" si="74"/>
        <v>3.3206614499866486E-6</v>
      </c>
      <c r="X174">
        <f t="shared" si="75"/>
        <v>2.1977269833503382E-2</v>
      </c>
      <c r="Y174">
        <f t="shared" si="76"/>
        <v>2.4724428562691303E-3</v>
      </c>
      <c r="Z174">
        <f t="shared" si="77"/>
        <v>1.0988634916751691E-2</v>
      </c>
      <c r="AA174">
        <f t="shared" si="78"/>
        <v>2.241446478740988E-5</v>
      </c>
      <c r="AB174">
        <f t="shared" si="79"/>
        <v>0.05</v>
      </c>
      <c r="AC174">
        <f t="shared" si="83"/>
        <v>0.61718588359528104</v>
      </c>
      <c r="AD174">
        <f t="shared" si="84"/>
        <v>6.0599738549801015E-5</v>
      </c>
      <c r="AE174">
        <f t="shared" si="85"/>
        <v>8.3969609113697524E-2</v>
      </c>
      <c r="AF174">
        <f t="shared" si="86"/>
        <v>9.4465810252909715E-3</v>
      </c>
      <c r="AG174">
        <f t="shared" si="87"/>
        <v>4.1984804556848762E-2</v>
      </c>
      <c r="AH174">
        <f t="shared" si="88"/>
        <v>4.0904823521115688E-4</v>
      </c>
      <c r="AI174">
        <f t="shared" si="89"/>
        <v>0.1</v>
      </c>
    </row>
    <row r="175" spans="5:35" x14ac:dyDescent="0.25">
      <c r="E175">
        <f t="shared" si="80"/>
        <v>116268.0197490135</v>
      </c>
      <c r="F175">
        <f t="shared" si="60"/>
        <v>0.37749349123748899</v>
      </c>
      <c r="G175">
        <f t="shared" si="61"/>
        <v>1.8490786996066875E-6</v>
      </c>
      <c r="H175">
        <f t="shared" si="62"/>
        <v>1.2849586364402362E-2</v>
      </c>
      <c r="I175">
        <f t="shared" si="63"/>
        <v>1.4455784659952659E-3</v>
      </c>
      <c r="J175">
        <f t="shared" si="64"/>
        <v>6.424793182201181E-3</v>
      </c>
      <c r="K175">
        <f t="shared" si="65"/>
        <v>1.2481281222345139E-5</v>
      </c>
      <c r="L175">
        <v>174</v>
      </c>
      <c r="M175">
        <f t="shared" si="81"/>
        <v>0.05</v>
      </c>
      <c r="N175">
        <f t="shared" si="66"/>
        <v>0.34836240719974432</v>
      </c>
      <c r="O175">
        <f t="shared" si="67"/>
        <v>1.677742824909188E-4</v>
      </c>
      <c r="P175">
        <f t="shared" si="68"/>
        <v>9.7785579373889972E-2</v>
      </c>
      <c r="Q175">
        <f t="shared" si="69"/>
        <v>1.1000877679562622E-2</v>
      </c>
      <c r="R175">
        <f t="shared" si="70"/>
        <v>4.8892789686944986E-2</v>
      </c>
      <c r="S175">
        <f t="shared" si="71"/>
        <v>1.132476406813702E-3</v>
      </c>
      <c r="T175">
        <f t="shared" si="72"/>
        <v>0.1</v>
      </c>
      <c r="U175">
        <f t="shared" si="82"/>
        <v>23253.603949802695</v>
      </c>
      <c r="V175">
        <f t="shared" si="73"/>
        <v>0.61489374089285698</v>
      </c>
      <c r="W175">
        <f t="shared" si="74"/>
        <v>3.0119378087267567E-6</v>
      </c>
      <c r="X175">
        <f t="shared" si="75"/>
        <v>2.0930507179426971E-2</v>
      </c>
      <c r="Y175">
        <f t="shared" si="76"/>
        <v>2.3546820576855342E-3</v>
      </c>
      <c r="Z175">
        <f t="shared" si="77"/>
        <v>1.0465253589713485E-2</v>
      </c>
      <c r="AA175">
        <f t="shared" si="78"/>
        <v>2.0330580208905606E-5</v>
      </c>
      <c r="AB175">
        <f t="shared" si="79"/>
        <v>0.05</v>
      </c>
      <c r="AC175">
        <f t="shared" si="83"/>
        <v>0.61250086926914971</v>
      </c>
      <c r="AD175">
        <f t="shared" si="84"/>
        <v>5.4965743250039402E-5</v>
      </c>
      <c r="AE175">
        <f t="shared" si="85"/>
        <v>7.996692513630986E-2</v>
      </c>
      <c r="AF175">
        <f t="shared" si="86"/>
        <v>8.9962790778348595E-3</v>
      </c>
      <c r="AG175">
        <f t="shared" si="87"/>
        <v>3.998346256815493E-2</v>
      </c>
      <c r="AH175">
        <f t="shared" si="88"/>
        <v>3.7101876693776588E-4</v>
      </c>
      <c r="AI175">
        <f t="shared" si="89"/>
        <v>0.1</v>
      </c>
    </row>
    <row r="176" spans="5:35" x14ac:dyDescent="0.25">
      <c r="E176">
        <f t="shared" si="80"/>
        <v>122081.42073646418</v>
      </c>
      <c r="F176">
        <f t="shared" si="60"/>
        <v>0.375135749784345</v>
      </c>
      <c r="G176">
        <f t="shared" si="61"/>
        <v>1.6771688812639802E-6</v>
      </c>
      <c r="H176">
        <f t="shared" si="62"/>
        <v>1.2237575458731548E-2</v>
      </c>
      <c r="I176">
        <f t="shared" si="63"/>
        <v>1.376727239107299E-3</v>
      </c>
      <c r="J176">
        <f t="shared" si="64"/>
        <v>6.118787729365774E-3</v>
      </c>
      <c r="K176">
        <f t="shared" si="65"/>
        <v>1.1320889948531865E-5</v>
      </c>
      <c r="L176">
        <v>175</v>
      </c>
      <c r="M176">
        <f t="shared" si="81"/>
        <v>0.05</v>
      </c>
      <c r="N176">
        <f t="shared" si="66"/>
        <v>0.34536180814198142</v>
      </c>
      <c r="O176">
        <f t="shared" si="67"/>
        <v>1.5217612575384312E-4</v>
      </c>
      <c r="P176">
        <f t="shared" si="68"/>
        <v>9.3117652359630765E-2</v>
      </c>
      <c r="Q176">
        <f t="shared" si="69"/>
        <v>1.047573589045846E-2</v>
      </c>
      <c r="R176">
        <f t="shared" si="70"/>
        <v>4.6558826179815382E-2</v>
      </c>
      <c r="S176">
        <f t="shared" si="71"/>
        <v>1.027188848838441E-3</v>
      </c>
      <c r="T176">
        <f t="shared" si="72"/>
        <v>0.1</v>
      </c>
      <c r="U176">
        <f t="shared" si="82"/>
        <v>24416.28414729283</v>
      </c>
      <c r="V176">
        <f t="shared" si="73"/>
        <v>0.61105324961066476</v>
      </c>
      <c r="W176">
        <f t="shared" si="74"/>
        <v>2.7319163679585061E-6</v>
      </c>
      <c r="X176">
        <f t="shared" si="75"/>
        <v>1.9933611381246438E-2</v>
      </c>
      <c r="Y176">
        <f t="shared" si="76"/>
        <v>2.2425312803902239E-3</v>
      </c>
      <c r="Z176">
        <f t="shared" si="77"/>
        <v>9.9668056906232188E-3</v>
      </c>
      <c r="AA176">
        <f t="shared" si="78"/>
        <v>1.8440435483719916E-5</v>
      </c>
      <c r="AB176">
        <f t="shared" si="79"/>
        <v>0.05</v>
      </c>
      <c r="AC176">
        <f t="shared" si="83"/>
        <v>0.60788197531817756</v>
      </c>
      <c r="AD176">
        <f t="shared" si="84"/>
        <v>4.9855544495710221E-5</v>
      </c>
      <c r="AE176">
        <f t="shared" si="85"/>
        <v>7.6155229612072439E-2</v>
      </c>
      <c r="AF176">
        <f t="shared" si="86"/>
        <v>8.5674633313581484E-3</v>
      </c>
      <c r="AG176">
        <f t="shared" si="87"/>
        <v>3.807761480603622E-2</v>
      </c>
      <c r="AH176">
        <f t="shared" si="88"/>
        <v>3.3652492534604403E-4</v>
      </c>
      <c r="AI176">
        <f t="shared" si="89"/>
        <v>0.1</v>
      </c>
    </row>
    <row r="177" spans="5:35" x14ac:dyDescent="0.25">
      <c r="E177">
        <f t="shared" si="80"/>
        <v>128185.49177328739</v>
      </c>
      <c r="F177">
        <f t="shared" si="60"/>
        <v>0.37280501827760948</v>
      </c>
      <c r="G177">
        <f t="shared" si="61"/>
        <v>1.5212416096794043E-6</v>
      </c>
      <c r="H177">
        <f t="shared" si="62"/>
        <v>1.1654719631288215E-2</v>
      </c>
      <c r="I177">
        <f t="shared" si="63"/>
        <v>1.3111559585199241E-3</v>
      </c>
      <c r="J177">
        <f t="shared" si="64"/>
        <v>5.8273598156441076E-3</v>
      </c>
      <c r="K177">
        <f t="shared" si="65"/>
        <v>1.0268380865335979E-5</v>
      </c>
      <c r="L177">
        <v>176</v>
      </c>
      <c r="M177">
        <f t="shared" si="81"/>
        <v>0.05</v>
      </c>
      <c r="N177">
        <f t="shared" si="66"/>
        <v>0.34240960383945623</v>
      </c>
      <c r="O177">
        <f t="shared" si="67"/>
        <v>1.3802815448390714E-4</v>
      </c>
      <c r="P177">
        <f t="shared" si="68"/>
        <v>8.8673076537120463E-2</v>
      </c>
      <c r="Q177">
        <f t="shared" si="69"/>
        <v>9.9757211104260501E-3</v>
      </c>
      <c r="R177">
        <f t="shared" si="70"/>
        <v>4.4336538268560231E-2</v>
      </c>
      <c r="S177">
        <f t="shared" si="71"/>
        <v>9.3169004276637312E-4</v>
      </c>
      <c r="T177">
        <f t="shared" si="72"/>
        <v>0.1</v>
      </c>
      <c r="U177">
        <f t="shared" si="82"/>
        <v>25637.098354657472</v>
      </c>
      <c r="V177">
        <f t="shared" si="73"/>
        <v>0.60725675444330351</v>
      </c>
      <c r="W177">
        <f t="shared" si="74"/>
        <v>2.4779286686804354E-6</v>
      </c>
      <c r="X177">
        <f t="shared" si="75"/>
        <v>1.8984205872391295E-2</v>
      </c>
      <c r="Y177">
        <f t="shared" si="76"/>
        <v>2.1357231606440202E-3</v>
      </c>
      <c r="Z177">
        <f t="shared" si="77"/>
        <v>9.4921029361956476E-3</v>
      </c>
      <c r="AA177">
        <f t="shared" si="78"/>
        <v>1.672601851359294E-5</v>
      </c>
      <c r="AB177">
        <f t="shared" si="79"/>
        <v>0.05</v>
      </c>
      <c r="AC177">
        <f t="shared" si="83"/>
        <v>0.60332781395209989</v>
      </c>
      <c r="AD177">
        <f t="shared" si="84"/>
        <v>4.5220444460149319E-5</v>
      </c>
      <c r="AE177">
        <f t="shared" si="85"/>
        <v>7.2525392058326088E-2</v>
      </c>
      <c r="AF177">
        <f t="shared" si="86"/>
        <v>8.1591066065616856E-3</v>
      </c>
      <c r="AG177">
        <f t="shared" si="87"/>
        <v>3.6262696029163044E-2</v>
      </c>
      <c r="AH177">
        <f t="shared" si="88"/>
        <v>3.0523800010600792E-4</v>
      </c>
      <c r="AI177">
        <f t="shared" si="89"/>
        <v>0.1</v>
      </c>
    </row>
    <row r="178" spans="5:35" x14ac:dyDescent="0.25">
      <c r="E178">
        <f t="shared" si="80"/>
        <v>134594.76636195177</v>
      </c>
      <c r="F178">
        <f t="shared" si="60"/>
        <v>0.37050083631834418</v>
      </c>
      <c r="G178">
        <f t="shared" si="61"/>
        <v>1.3798109789168159E-6</v>
      </c>
      <c r="H178">
        <f t="shared" si="62"/>
        <v>1.1099629456782452E-2</v>
      </c>
      <c r="I178">
        <f t="shared" si="63"/>
        <v>1.2487083138880259E-3</v>
      </c>
      <c r="J178">
        <f t="shared" si="64"/>
        <v>5.5498147283912259E-3</v>
      </c>
      <c r="K178">
        <f t="shared" si="65"/>
        <v>9.3137241076885071E-6</v>
      </c>
      <c r="L178">
        <v>177</v>
      </c>
      <c r="M178">
        <f t="shared" si="81"/>
        <v>0.05</v>
      </c>
      <c r="N178">
        <f t="shared" si="66"/>
        <v>0.33950463423772814</v>
      </c>
      <c r="O178">
        <f t="shared" si="67"/>
        <v>1.2519554122097091E-4</v>
      </c>
      <c r="P178">
        <f t="shared" si="68"/>
        <v>8.4441116412804856E-2</v>
      </c>
      <c r="Q178">
        <f t="shared" si="69"/>
        <v>9.4996255964405474E-3</v>
      </c>
      <c r="R178">
        <f t="shared" si="70"/>
        <v>4.2220558206402428E-2</v>
      </c>
      <c r="S178">
        <f t="shared" si="71"/>
        <v>8.4506990324155376E-4</v>
      </c>
      <c r="T178">
        <f t="shared" si="72"/>
        <v>0.1</v>
      </c>
      <c r="U178">
        <f t="shared" si="82"/>
        <v>26918.953272390347</v>
      </c>
      <c r="V178">
        <f t="shared" si="73"/>
        <v>0.60350350545353715</v>
      </c>
      <c r="W178">
        <f t="shared" si="74"/>
        <v>2.2475543399963606E-6</v>
      </c>
      <c r="X178">
        <f t="shared" si="75"/>
        <v>1.808002743790808E-2</v>
      </c>
      <c r="Y178">
        <f t="shared" si="76"/>
        <v>2.0340030867646588E-3</v>
      </c>
      <c r="Z178">
        <f t="shared" si="77"/>
        <v>9.0400137189540399E-3</v>
      </c>
      <c r="AA178">
        <f t="shared" si="78"/>
        <v>1.5170991794975434E-5</v>
      </c>
      <c r="AB178">
        <f t="shared" si="79"/>
        <v>0.05</v>
      </c>
      <c r="AC178">
        <f t="shared" si="83"/>
        <v>0.59883703594820992</v>
      </c>
      <c r="AD178">
        <f t="shared" si="84"/>
        <v>4.1016272812483272E-5</v>
      </c>
      <c r="AE178">
        <f t="shared" si="85"/>
        <v>6.9068720112146972E-2</v>
      </c>
      <c r="AF178">
        <f t="shared" si="86"/>
        <v>7.7702310126165327E-3</v>
      </c>
      <c r="AG178">
        <f t="shared" si="87"/>
        <v>3.4534360056073486E-2</v>
      </c>
      <c r="AH178">
        <f t="shared" si="88"/>
        <v>2.7685984148426206E-4</v>
      </c>
      <c r="AI178">
        <f t="shared" si="89"/>
        <v>0.1</v>
      </c>
    </row>
    <row r="179" spans="5:35" x14ac:dyDescent="0.25">
      <c r="E179">
        <f t="shared" si="80"/>
        <v>141324.50468004937</v>
      </c>
      <c r="F179">
        <f t="shared" si="60"/>
        <v>0.36822275391209375</v>
      </c>
      <c r="G179">
        <f t="shared" si="61"/>
        <v>1.2515292285304259E-6</v>
      </c>
      <c r="H179">
        <f t="shared" si="62"/>
        <v>1.0570981774249349E-2</v>
      </c>
      <c r="I179">
        <f t="shared" si="63"/>
        <v>1.1892354496030517E-3</v>
      </c>
      <c r="J179">
        <f t="shared" si="64"/>
        <v>5.2854908871246744E-3</v>
      </c>
      <c r="K179">
        <f t="shared" si="65"/>
        <v>8.4478222925803749E-6</v>
      </c>
      <c r="L179">
        <v>178</v>
      </c>
      <c r="M179">
        <f t="shared" si="81"/>
        <v>0.05</v>
      </c>
      <c r="N179">
        <f t="shared" si="66"/>
        <v>0.3366457760647702</v>
      </c>
      <c r="O179">
        <f t="shared" si="67"/>
        <v>1.1355599400915281E-4</v>
      </c>
      <c r="P179">
        <f t="shared" si="68"/>
        <v>8.0411557024984606E-2</v>
      </c>
      <c r="Q179">
        <f t="shared" si="69"/>
        <v>9.0463001653107687E-3</v>
      </c>
      <c r="R179">
        <f t="shared" si="70"/>
        <v>4.0205778512492303E-2</v>
      </c>
      <c r="S179">
        <f t="shared" si="71"/>
        <v>7.6650295956178156E-4</v>
      </c>
      <c r="T179">
        <f t="shared" si="72"/>
        <v>0.1</v>
      </c>
      <c r="U179">
        <f t="shared" si="82"/>
        <v>28264.900936009864</v>
      </c>
      <c r="V179">
        <f t="shared" si="73"/>
        <v>0.59979276965184292</v>
      </c>
      <c r="W179">
        <f t="shared" si="74"/>
        <v>2.0385980342206243E-6</v>
      </c>
      <c r="X179">
        <f t="shared" si="75"/>
        <v>1.7218920799853186E-2</v>
      </c>
      <c r="Y179">
        <f t="shared" si="76"/>
        <v>1.9371285899834835E-3</v>
      </c>
      <c r="Z179">
        <f t="shared" si="77"/>
        <v>8.6094603999265929E-3</v>
      </c>
      <c r="AA179">
        <f t="shared" si="78"/>
        <v>1.3760536730989215E-5</v>
      </c>
      <c r="AB179">
        <f t="shared" si="79"/>
        <v>0.05</v>
      </c>
      <c r="AC179">
        <f t="shared" si="83"/>
        <v>0.59440832932083498</v>
      </c>
      <c r="AD179">
        <f t="shared" si="84"/>
        <v>3.7202965788054281E-5</v>
      </c>
      <c r="AE179">
        <f t="shared" si="85"/>
        <v>6.5776938356501974E-2</v>
      </c>
      <c r="AF179">
        <f t="shared" si="86"/>
        <v>7.3999055651064729E-3</v>
      </c>
      <c r="AG179">
        <f t="shared" si="87"/>
        <v>3.2888469178250987E-2</v>
      </c>
      <c r="AH179">
        <f t="shared" si="88"/>
        <v>2.5112001906936639E-4</v>
      </c>
      <c r="AI179">
        <f t="shared" si="89"/>
        <v>0.1</v>
      </c>
    </row>
    <row r="180" spans="5:35" x14ac:dyDescent="0.25">
      <c r="E180">
        <f t="shared" si="80"/>
        <v>148390.72991405186</v>
      </c>
      <c r="F180">
        <f t="shared" si="60"/>
        <v>0.36597033117662775</v>
      </c>
      <c r="G180">
        <f t="shared" si="61"/>
        <v>1.1351739000993289E-6</v>
      </c>
      <c r="H180">
        <f t="shared" si="62"/>
        <v>1.0067516522189049E-2</v>
      </c>
      <c r="I180">
        <f t="shared" si="63"/>
        <v>1.1325956087462681E-3</v>
      </c>
      <c r="J180">
        <f t="shared" si="64"/>
        <v>5.0337582610945246E-3</v>
      </c>
      <c r="K180">
        <f t="shared" si="65"/>
        <v>7.6624238256704707E-6</v>
      </c>
      <c r="L180">
        <v>179</v>
      </c>
      <c r="M180">
        <f t="shared" si="81"/>
        <v>0.05</v>
      </c>
      <c r="N180">
        <f t="shared" si="66"/>
        <v>0.33383194138458644</v>
      </c>
      <c r="O180">
        <f t="shared" si="67"/>
        <v>1.0299859087138342E-4</v>
      </c>
      <c r="P180">
        <f t="shared" si="68"/>
        <v>7.6574678283923989E-2</v>
      </c>
      <c r="Q180">
        <f t="shared" si="69"/>
        <v>8.6146513069414489E-3</v>
      </c>
      <c r="R180">
        <f t="shared" si="70"/>
        <v>3.8287339141961994E-2</v>
      </c>
      <c r="S180">
        <f t="shared" si="71"/>
        <v>6.9524048838183808E-4</v>
      </c>
      <c r="T180">
        <f t="shared" si="72"/>
        <v>0.1</v>
      </c>
      <c r="U180">
        <f t="shared" si="82"/>
        <v>29678.145982810358</v>
      </c>
      <c r="V180">
        <f t="shared" si="73"/>
        <v>0.59612383052035667</v>
      </c>
      <c r="W180">
        <f t="shared" si="74"/>
        <v>1.8490685063411536E-6</v>
      </c>
      <c r="X180">
        <f t="shared" si="75"/>
        <v>1.6398833462097841E-2</v>
      </c>
      <c r="Y180">
        <f t="shared" si="76"/>
        <v>1.844868764486007E-3</v>
      </c>
      <c r="Z180">
        <f t="shared" si="77"/>
        <v>8.1994167310489204E-3</v>
      </c>
      <c r="AA180">
        <f t="shared" si="78"/>
        <v>1.2481212417802789E-5</v>
      </c>
      <c r="AB180">
        <f t="shared" si="79"/>
        <v>0.05</v>
      </c>
      <c r="AC180">
        <f t="shared" si="83"/>
        <v>0.59004041804550966</v>
      </c>
      <c r="AD180">
        <f t="shared" si="84"/>
        <v>3.3744184393938507E-5</v>
      </c>
      <c r="AE180">
        <f t="shared" si="85"/>
        <v>6.2642168183727032E-2</v>
      </c>
      <c r="AF180">
        <f t="shared" si="86"/>
        <v>7.0472439206692916E-3</v>
      </c>
      <c r="AG180">
        <f t="shared" si="87"/>
        <v>3.1321084091863516E-2</v>
      </c>
      <c r="AH180">
        <f t="shared" si="88"/>
        <v>2.2777324465908489E-4</v>
      </c>
      <c r="AI180">
        <f t="shared" si="89"/>
        <v>0.1</v>
      </c>
    </row>
    <row r="181" spans="5:35" x14ac:dyDescent="0.25">
      <c r="E181">
        <f t="shared" si="80"/>
        <v>155810.26640975446</v>
      </c>
      <c r="F181">
        <f t="shared" si="60"/>
        <v>0.36374313805947306</v>
      </c>
      <c r="G181">
        <f t="shared" si="61"/>
        <v>1.0296361878269906E-6</v>
      </c>
      <c r="H181">
        <f t="shared" si="62"/>
        <v>9.5880337252906202E-3</v>
      </c>
      <c r="I181">
        <f t="shared" si="63"/>
        <v>1.0786537940951949E-3</v>
      </c>
      <c r="J181">
        <f t="shared" si="64"/>
        <v>4.7940168626453101E-3</v>
      </c>
      <c r="K181">
        <f t="shared" si="65"/>
        <v>6.9500442678321871E-6</v>
      </c>
      <c r="L181">
        <v>180</v>
      </c>
      <c r="M181">
        <f t="shared" si="81"/>
        <v>0.05</v>
      </c>
      <c r="N181">
        <f t="shared" si="66"/>
        <v>0.33106207621854983</v>
      </c>
      <c r="O181">
        <f t="shared" si="67"/>
        <v>9.3422722659970508E-5</v>
      </c>
      <c r="P181">
        <f t="shared" si="68"/>
        <v>7.2921230615863003E-2</v>
      </c>
      <c r="Q181">
        <f t="shared" si="69"/>
        <v>8.2036384442845875E-3</v>
      </c>
      <c r="R181">
        <f t="shared" si="70"/>
        <v>3.6460615307931502E-2</v>
      </c>
      <c r="S181">
        <f t="shared" si="71"/>
        <v>6.3060337795480079E-4</v>
      </c>
      <c r="T181">
        <f t="shared" si="72"/>
        <v>0.1</v>
      </c>
      <c r="U181">
        <f t="shared" si="82"/>
        <v>31162.053281950877</v>
      </c>
      <c r="V181">
        <f t="shared" si="73"/>
        <v>0.592495987552763</v>
      </c>
      <c r="W181">
        <f t="shared" si="74"/>
        <v>1.6771596384778254E-6</v>
      </c>
      <c r="X181">
        <f t="shared" si="75"/>
        <v>1.5617810802045775E-2</v>
      </c>
      <c r="Y181">
        <f t="shared" si="76"/>
        <v>1.7570037152301497E-3</v>
      </c>
      <c r="Z181">
        <f t="shared" si="77"/>
        <v>7.8089054010228873E-3</v>
      </c>
      <c r="AA181">
        <f t="shared" si="78"/>
        <v>1.1320827559725322E-5</v>
      </c>
      <c r="AB181">
        <f t="shared" si="79"/>
        <v>0.05</v>
      </c>
      <c r="AC181">
        <f t="shared" si="83"/>
        <v>0.58573206083525198</v>
      </c>
      <c r="AD181">
        <f t="shared" si="84"/>
        <v>3.0606968110961553E-5</v>
      </c>
      <c r="AE181">
        <f t="shared" si="85"/>
        <v>5.9656908644213635E-2</v>
      </c>
      <c r="AF181">
        <f t="shared" si="86"/>
        <v>6.711402222474034E-3</v>
      </c>
      <c r="AG181">
        <f t="shared" si="87"/>
        <v>2.9828454322106818E-2</v>
      </c>
      <c r="AH181">
        <f t="shared" si="88"/>
        <v>2.0659703474899046E-4</v>
      </c>
      <c r="AI181">
        <f t="shared" si="89"/>
        <v>0.1</v>
      </c>
    </row>
    <row r="182" spans="5:35" x14ac:dyDescent="0.25">
      <c r="E182">
        <f t="shared" si="80"/>
        <v>163600.77973024218</v>
      </c>
      <c r="F182">
        <f t="shared" si="60"/>
        <v>0.36154075406486669</v>
      </c>
      <c r="G182">
        <f t="shared" si="61"/>
        <v>9.3391037219262641E-7</v>
      </c>
      <c r="H182">
        <f t="shared" si="62"/>
        <v>9.1313906254398853E-3</v>
      </c>
      <c r="I182">
        <f t="shared" si="63"/>
        <v>1.027281445361987E-3</v>
      </c>
      <c r="J182">
        <f t="shared" si="64"/>
        <v>4.5656953127199426E-3</v>
      </c>
      <c r="K182">
        <f t="shared" si="65"/>
        <v>6.3038950123002283E-6</v>
      </c>
      <c r="L182">
        <v>181</v>
      </c>
      <c r="M182">
        <f t="shared" si="81"/>
        <v>0.05</v>
      </c>
      <c r="N182">
        <f t="shared" si="66"/>
        <v>0.32833515923078388</v>
      </c>
      <c r="O182">
        <f t="shared" si="67"/>
        <v>8.4737134204475521E-5</v>
      </c>
      <c r="P182">
        <f t="shared" si="68"/>
        <v>6.9442411841098575E-2</v>
      </c>
      <c r="Q182">
        <f t="shared" si="69"/>
        <v>7.812271332123589E-3</v>
      </c>
      <c r="R182">
        <f t="shared" si="70"/>
        <v>3.4721205920549288E-2</v>
      </c>
      <c r="S182">
        <f t="shared" si="71"/>
        <v>5.719756558802098E-4</v>
      </c>
      <c r="T182">
        <f t="shared" si="72"/>
        <v>0.1</v>
      </c>
      <c r="U182">
        <f t="shared" si="82"/>
        <v>32720.155946048424</v>
      </c>
      <c r="V182">
        <f t="shared" si="73"/>
        <v>0.58890855580953838</v>
      </c>
      <c r="W182">
        <f t="shared" si="74"/>
        <v>1.5212332285085382E-6</v>
      </c>
      <c r="X182">
        <f t="shared" si="75"/>
        <v>1.4873991397372964E-2</v>
      </c>
      <c r="Y182">
        <f t="shared" si="76"/>
        <v>1.6733240322044582E-3</v>
      </c>
      <c r="Z182">
        <f t="shared" si="77"/>
        <v>7.436995698686482E-3</v>
      </c>
      <c r="AA182">
        <f t="shared" si="78"/>
        <v>1.0268324292432631E-5</v>
      </c>
      <c r="AB182">
        <f t="shared" si="79"/>
        <v>0.05</v>
      </c>
      <c r="AC182">
        <f t="shared" si="83"/>
        <v>0.5814820499664729</v>
      </c>
      <c r="AD182">
        <f t="shared" si="84"/>
        <v>2.776142079192974E-5</v>
      </c>
      <c r="AE182">
        <f t="shared" si="85"/>
        <v>5.6814018230926161E-2</v>
      </c>
      <c r="AF182">
        <f t="shared" si="86"/>
        <v>6.3915770509791929E-3</v>
      </c>
      <c r="AG182">
        <f t="shared" si="87"/>
        <v>2.840700911546308E-2</v>
      </c>
      <c r="AH182">
        <f t="shared" si="88"/>
        <v>1.8738959034552574E-4</v>
      </c>
      <c r="AI182">
        <f t="shared" si="89"/>
        <v>0.1</v>
      </c>
    </row>
    <row r="183" spans="5:35" x14ac:dyDescent="0.25">
      <c r="E183">
        <f t="shared" si="80"/>
        <v>171780.81871675429</v>
      </c>
      <c r="F183">
        <f t="shared" si="60"/>
        <v>0.35936276798975758</v>
      </c>
      <c r="G183">
        <f t="shared" si="61"/>
        <v>8.4708423596237924E-7</v>
      </c>
      <c r="H183">
        <f t="shared" si="62"/>
        <v>8.6964989500665744E-3</v>
      </c>
      <c r="I183">
        <f t="shared" si="63"/>
        <v>9.7835613188248963E-4</v>
      </c>
      <c r="J183">
        <f t="shared" si="64"/>
        <v>4.3482494750332872E-3</v>
      </c>
      <c r="K183">
        <f t="shared" si="65"/>
        <v>5.7178185927460601E-6</v>
      </c>
      <c r="L183">
        <v>182</v>
      </c>
      <c r="M183">
        <f t="shared" si="81"/>
        <v>0.05</v>
      </c>
      <c r="N183">
        <f t="shared" si="66"/>
        <v>0.325650200474148</v>
      </c>
      <c r="O183">
        <f t="shared" si="67"/>
        <v>7.6859054615741336E-5</v>
      </c>
      <c r="P183">
        <f t="shared" si="68"/>
        <v>6.6129845220362499E-2</v>
      </c>
      <c r="Q183">
        <f t="shared" si="69"/>
        <v>7.4396075872907802E-3</v>
      </c>
      <c r="R183">
        <f t="shared" si="70"/>
        <v>3.3064922610181249E-2</v>
      </c>
      <c r="S183">
        <f t="shared" si="71"/>
        <v>5.1879861865625394E-4</v>
      </c>
      <c r="T183">
        <f t="shared" si="72"/>
        <v>0.1</v>
      </c>
      <c r="U183">
        <f t="shared" si="82"/>
        <v>34356.163743350844</v>
      </c>
      <c r="V183">
        <f t="shared" si="73"/>
        <v>0.5853608654879221</v>
      </c>
      <c r="W183">
        <f t="shared" si="74"/>
        <v>1.3798033788470999E-6</v>
      </c>
      <c r="X183">
        <f t="shared" si="75"/>
        <v>1.416560257647745E-2</v>
      </c>
      <c r="Y183">
        <f t="shared" si="76"/>
        <v>1.593630289853713E-3</v>
      </c>
      <c r="Z183">
        <f t="shared" si="77"/>
        <v>7.0828012882387251E-3</v>
      </c>
      <c r="AA183">
        <f t="shared" si="78"/>
        <v>9.3136728072179251E-6</v>
      </c>
      <c r="AB183">
        <f t="shared" si="79"/>
        <v>0.05</v>
      </c>
      <c r="AC183">
        <f t="shared" si="83"/>
        <v>0.57728921015218193</v>
      </c>
      <c r="AD183">
        <f t="shared" si="84"/>
        <v>2.5180425762652256E-5</v>
      </c>
      <c r="AE183">
        <f t="shared" si="85"/>
        <v>5.4106697552954663E-2</v>
      </c>
      <c r="AF183">
        <f t="shared" si="86"/>
        <v>6.0870034747073998E-3</v>
      </c>
      <c r="AG183">
        <f t="shared" si="87"/>
        <v>2.7053348776477332E-2</v>
      </c>
      <c r="AH183">
        <f t="shared" si="88"/>
        <v>1.6996787389790273E-4</v>
      </c>
      <c r="AI183">
        <f t="shared" si="89"/>
        <v>0.1</v>
      </c>
    </row>
    <row r="184" spans="5:35" x14ac:dyDescent="0.25">
      <c r="E184">
        <f t="shared" si="80"/>
        <v>180369.85965259201</v>
      </c>
      <c r="F184">
        <f t="shared" si="60"/>
        <v>0.35720877766851333</v>
      </c>
      <c r="G184">
        <f t="shared" si="61"/>
        <v>7.6833037122965125E-7</v>
      </c>
      <c r="H184">
        <f t="shared" si="62"/>
        <v>8.2823223112237741E-3</v>
      </c>
      <c r="I184">
        <f t="shared" si="63"/>
        <v>9.3176126001267472E-4</v>
      </c>
      <c r="J184">
        <f t="shared" si="64"/>
        <v>4.1411611556118871E-3</v>
      </c>
      <c r="K184">
        <f t="shared" si="65"/>
        <v>5.1862300058001453E-6</v>
      </c>
      <c r="L184">
        <v>183</v>
      </c>
      <c r="M184">
        <f t="shared" si="81"/>
        <v>0.05</v>
      </c>
      <c r="N184">
        <f t="shared" si="66"/>
        <v>0.32300624019359547</v>
      </c>
      <c r="O184">
        <f t="shared" si="67"/>
        <v>6.9713408455197319E-5</v>
      </c>
      <c r="P184">
        <f t="shared" si="68"/>
        <v>6.2975558607521617E-2</v>
      </c>
      <c r="Q184">
        <f t="shared" si="69"/>
        <v>7.0847503433461812E-3</v>
      </c>
      <c r="R184">
        <f t="shared" si="70"/>
        <v>3.1487779303760809E-2</v>
      </c>
      <c r="S184">
        <f t="shared" si="71"/>
        <v>4.7056550707258189E-4</v>
      </c>
      <c r="T184">
        <f t="shared" si="72"/>
        <v>0.1</v>
      </c>
      <c r="U184">
        <f t="shared" si="82"/>
        <v>36073.97193051839</v>
      </c>
      <c r="V184">
        <f t="shared" si="73"/>
        <v>0.58185226150607583</v>
      </c>
      <c r="W184">
        <f t="shared" si="74"/>
        <v>1.2515223366057335E-6</v>
      </c>
      <c r="X184">
        <f t="shared" si="75"/>
        <v>1.3490956181877078E-2</v>
      </c>
      <c r="Y184">
        <f t="shared" si="76"/>
        <v>1.5177325704611713E-3</v>
      </c>
      <c r="Z184">
        <f t="shared" si="77"/>
        <v>6.7454780909385389E-3</v>
      </c>
      <c r="AA184">
        <f t="shared" si="78"/>
        <v>8.4477757720887009E-6</v>
      </c>
      <c r="AB184">
        <f t="shared" si="79"/>
        <v>0.05</v>
      </c>
      <c r="AC184">
        <f t="shared" si="83"/>
        <v>0.57315239746028879</v>
      </c>
      <c r="AD184">
        <f t="shared" si="84"/>
        <v>2.2839387410651308E-5</v>
      </c>
      <c r="AE184">
        <f t="shared" si="85"/>
        <v>5.1528472853745386E-2</v>
      </c>
      <c r="AF184">
        <f t="shared" si="86"/>
        <v>5.796953196046355E-3</v>
      </c>
      <c r="AG184">
        <f t="shared" si="87"/>
        <v>2.5764236426872693E-2</v>
      </c>
      <c r="AH184">
        <f t="shared" si="88"/>
        <v>1.5416586502189631E-4</v>
      </c>
      <c r="AI184">
        <f t="shared" si="89"/>
        <v>0.1</v>
      </c>
    </row>
    <row r="185" spans="5:35" x14ac:dyDescent="0.25">
      <c r="E185">
        <f t="shared" si="80"/>
        <v>189388.35263522161</v>
      </c>
      <c r="F185">
        <f t="shared" si="60"/>
        <v>0.35507838972599504</v>
      </c>
      <c r="G185">
        <f t="shared" si="61"/>
        <v>6.968982946450084E-7</v>
      </c>
      <c r="H185">
        <f t="shared" si="62"/>
        <v>7.8878737291134555E-3</v>
      </c>
      <c r="I185">
        <f t="shared" si="63"/>
        <v>8.873857945252637E-4</v>
      </c>
      <c r="J185">
        <f t="shared" si="64"/>
        <v>3.9439368645567277E-3</v>
      </c>
      <c r="K185">
        <f t="shared" si="65"/>
        <v>4.7040634888538068E-6</v>
      </c>
      <c r="L185">
        <v>184</v>
      </c>
      <c r="M185">
        <f t="shared" si="81"/>
        <v>0.05</v>
      </c>
      <c r="N185">
        <f t="shared" si="66"/>
        <v>0.32040234768385834</v>
      </c>
      <c r="O185">
        <f t="shared" si="67"/>
        <v>6.3232100249725968E-5</v>
      </c>
      <c r="P185">
        <f t="shared" si="68"/>
        <v>5.9971964650178518E-2</v>
      </c>
      <c r="Q185">
        <f t="shared" si="69"/>
        <v>6.746846023145083E-3</v>
      </c>
      <c r="R185">
        <f t="shared" si="70"/>
        <v>2.9985982325089259E-2</v>
      </c>
      <c r="S185">
        <f t="shared" si="71"/>
        <v>4.2681667668565022E-4</v>
      </c>
      <c r="T185">
        <f t="shared" si="72"/>
        <v>0.1</v>
      </c>
      <c r="U185">
        <f t="shared" si="82"/>
        <v>37877.670527044313</v>
      </c>
      <c r="V185">
        <f t="shared" si="73"/>
        <v>0.57838210310087035</v>
      </c>
      <c r="W185">
        <f t="shared" si="74"/>
        <v>1.1351676502060064E-6</v>
      </c>
      <c r="X185">
        <f t="shared" si="75"/>
        <v>1.2848444536315727E-2</v>
      </c>
      <c r="Y185">
        <f t="shared" si="76"/>
        <v>1.4454500103355191E-3</v>
      </c>
      <c r="Z185">
        <f t="shared" si="77"/>
        <v>6.4242222681578634E-3</v>
      </c>
      <c r="AA185">
        <f t="shared" si="78"/>
        <v>7.6623816388905427E-6</v>
      </c>
      <c r="AB185">
        <f t="shared" si="79"/>
        <v>0.05</v>
      </c>
      <c r="AC185">
        <f t="shared" si="83"/>
        <v>0.5690704982748982</v>
      </c>
      <c r="AD185">
        <f t="shared" si="84"/>
        <v>2.0715996798901163E-5</v>
      </c>
      <c r="AE185">
        <f t="shared" si="85"/>
        <v>4.9073180331953528E-2</v>
      </c>
      <c r="AF185">
        <f t="shared" si="86"/>
        <v>5.5207327873447723E-3</v>
      </c>
      <c r="AG185">
        <f t="shared" si="87"/>
        <v>2.4536590165976764E-2</v>
      </c>
      <c r="AH185">
        <f t="shared" si="88"/>
        <v>1.3983297839258288E-4</v>
      </c>
      <c r="AI185">
        <f t="shared" si="89"/>
        <v>0.1</v>
      </c>
    </row>
    <row r="186" spans="5:35" x14ac:dyDescent="0.25">
      <c r="E186">
        <f t="shared" si="80"/>
        <v>198857.7702669827</v>
      </c>
      <c r="F186">
        <f t="shared" si="60"/>
        <v>0.35297121933868641</v>
      </c>
      <c r="G186">
        <f t="shared" si="61"/>
        <v>6.321072956977553E-7</v>
      </c>
      <c r="H186">
        <f t="shared" si="62"/>
        <v>7.5122132740769306E-3</v>
      </c>
      <c r="I186">
        <f t="shared" si="63"/>
        <v>8.4512399333365462E-4</v>
      </c>
      <c r="J186">
        <f t="shared" si="64"/>
        <v>3.7561066370384653E-3</v>
      </c>
      <c r="K186">
        <f t="shared" si="65"/>
        <v>4.2667242459598483E-6</v>
      </c>
      <c r="L186">
        <v>185</v>
      </c>
      <c r="M186">
        <f t="shared" si="81"/>
        <v>0.05</v>
      </c>
      <c r="N186">
        <f t="shared" si="66"/>
        <v>0.31783762019860362</v>
      </c>
      <c r="O186">
        <f t="shared" si="67"/>
        <v>5.7353365531774253E-5</v>
      </c>
      <c r="P186">
        <f t="shared" si="68"/>
        <v>5.7111841983076894E-2</v>
      </c>
      <c r="Q186">
        <f t="shared" si="69"/>
        <v>6.4250822230961504E-3</v>
      </c>
      <c r="R186">
        <f t="shared" si="70"/>
        <v>2.8555920991538447E-2</v>
      </c>
      <c r="S186">
        <f t="shared" si="71"/>
        <v>3.8713521733947621E-4</v>
      </c>
      <c r="T186">
        <f t="shared" si="72"/>
        <v>0.1</v>
      </c>
      <c r="U186">
        <f t="shared" si="82"/>
        <v>39771.554053396532</v>
      </c>
      <c r="V186">
        <f t="shared" si="73"/>
        <v>0.57494976343879212</v>
      </c>
      <c r="W186">
        <f t="shared" si="74"/>
        <v>1.0296305200471241E-6</v>
      </c>
      <c r="X186">
        <f t="shared" si="75"/>
        <v>1.2236536601835338E-2</v>
      </c>
      <c r="Y186">
        <f t="shared" si="76"/>
        <v>1.3766103677064756E-3</v>
      </c>
      <c r="Z186">
        <f t="shared" si="77"/>
        <v>6.1182683009176689E-3</v>
      </c>
      <c r="AA186">
        <f t="shared" si="78"/>
        <v>6.9500060103180879E-6</v>
      </c>
      <c r="AB186">
        <f t="shared" si="79"/>
        <v>0.05</v>
      </c>
      <c r="AC186">
        <f t="shared" si="83"/>
        <v>0.5650424282986366</v>
      </c>
      <c r="AD186">
        <f t="shared" si="84"/>
        <v>1.8790019070905928E-5</v>
      </c>
      <c r="AE186">
        <f t="shared" si="85"/>
        <v>4.6734951225036785E-2</v>
      </c>
      <c r="AF186">
        <f t="shared" si="86"/>
        <v>5.257682012816638E-3</v>
      </c>
      <c r="AG186">
        <f t="shared" si="87"/>
        <v>2.3367475612518392E-2</v>
      </c>
      <c r="AH186">
        <f t="shared" si="88"/>
        <v>1.2683262872861502E-4</v>
      </c>
      <c r="AI186">
        <f t="shared" si="89"/>
        <v>0.1</v>
      </c>
    </row>
    <row r="187" spans="5:35" x14ac:dyDescent="0.25">
      <c r="E187">
        <f t="shared" si="80"/>
        <v>208800.65878033184</v>
      </c>
      <c r="F187">
        <f t="shared" si="60"/>
        <v>0.35088689000356704</v>
      </c>
      <c r="G187">
        <f t="shared" si="61"/>
        <v>5.7333994989689645E-7</v>
      </c>
      <c r="H187">
        <f t="shared" si="62"/>
        <v>7.1544458213590525E-3</v>
      </c>
      <c r="I187">
        <f t="shared" si="63"/>
        <v>8.048751549028935E-4</v>
      </c>
      <c r="J187">
        <f t="shared" si="64"/>
        <v>3.5772229106795263E-3</v>
      </c>
      <c r="K187">
        <f t="shared" si="65"/>
        <v>3.8700446618040506E-6</v>
      </c>
      <c r="L187">
        <v>186</v>
      </c>
      <c r="M187">
        <f t="shared" si="81"/>
        <v>0.05</v>
      </c>
      <c r="N187">
        <f t="shared" si="66"/>
        <v>0.3153111819083832</v>
      </c>
      <c r="O187">
        <f t="shared" si="67"/>
        <v>5.2021182218721823E-5</v>
      </c>
      <c r="P187">
        <f t="shared" si="68"/>
        <v>5.4388317362332086E-2</v>
      </c>
      <c r="Q187">
        <f t="shared" si="69"/>
        <v>6.1186857032623594E-3</v>
      </c>
      <c r="R187">
        <f t="shared" si="70"/>
        <v>2.7194158681166043E-2</v>
      </c>
      <c r="S187">
        <f t="shared" si="71"/>
        <v>3.5114297997637233E-4</v>
      </c>
      <c r="T187">
        <f t="shared" si="72"/>
        <v>0.1</v>
      </c>
      <c r="U187">
        <f t="shared" si="82"/>
        <v>41760.131756066359</v>
      </c>
      <c r="V187">
        <f t="shared" si="73"/>
        <v>0.57155462923946365</v>
      </c>
      <c r="W187">
        <f t="shared" si="74"/>
        <v>9.3390523221931186E-7</v>
      </c>
      <c r="X187">
        <f t="shared" si="75"/>
        <v>1.165377432254347E-2</v>
      </c>
      <c r="Y187">
        <f t="shared" si="76"/>
        <v>1.3110496112861403E-3</v>
      </c>
      <c r="Z187">
        <f t="shared" si="77"/>
        <v>5.8268871612717349E-3</v>
      </c>
      <c r="AA187">
        <f t="shared" si="78"/>
        <v>6.3038603174803556E-6</v>
      </c>
      <c r="AB187">
        <f t="shared" si="79"/>
        <v>0.05</v>
      </c>
      <c r="AC187">
        <f t="shared" si="83"/>
        <v>0.56106713159410748</v>
      </c>
      <c r="AD187">
        <f t="shared" si="84"/>
        <v>1.7043100621106485E-5</v>
      </c>
      <c r="AE187">
        <f t="shared" si="85"/>
        <v>4.4508197617763104E-2</v>
      </c>
      <c r="AF187">
        <f t="shared" si="86"/>
        <v>5.0071722319983492E-3</v>
      </c>
      <c r="AG187">
        <f t="shared" si="87"/>
        <v>2.2254098808881552E-2</v>
      </c>
      <c r="AH187">
        <f t="shared" si="88"/>
        <v>1.1504092919246876E-4</v>
      </c>
      <c r="AI187">
        <f t="shared" si="89"/>
        <v>0.1</v>
      </c>
    </row>
    <row r="188" spans="5:35" x14ac:dyDescent="0.25">
      <c r="E188">
        <f t="shared" si="80"/>
        <v>219240.69171934846</v>
      </c>
      <c r="F188">
        <f t="shared" si="60"/>
        <v>0.34882503331444492</v>
      </c>
      <c r="G188">
        <f t="shared" si="61"/>
        <v>5.2003623503536981E-7</v>
      </c>
      <c r="H188">
        <f t="shared" si="62"/>
        <v>6.8137189132305362E-3</v>
      </c>
      <c r="I188">
        <f t="shared" si="63"/>
        <v>7.6654337773843532E-4</v>
      </c>
      <c r="J188">
        <f t="shared" si="64"/>
        <v>3.4068594566152681E-3</v>
      </c>
      <c r="K188">
        <f t="shared" si="65"/>
        <v>3.5102445864887461E-6</v>
      </c>
      <c r="L188">
        <v>187</v>
      </c>
      <c r="M188">
        <f t="shared" si="81"/>
        <v>0.05</v>
      </c>
      <c r="N188">
        <f t="shared" si="66"/>
        <v>0.31282218290484126</v>
      </c>
      <c r="O188">
        <f t="shared" si="67"/>
        <v>4.7184736720825561E-5</v>
      </c>
      <c r="P188">
        <f t="shared" si="68"/>
        <v>5.1794848691426927E-2</v>
      </c>
      <c r="Q188">
        <f t="shared" si="69"/>
        <v>5.8269204777855292E-3</v>
      </c>
      <c r="R188">
        <f t="shared" si="70"/>
        <v>2.5897424345713464E-2</v>
      </c>
      <c r="S188">
        <f t="shared" si="71"/>
        <v>3.1849697286557259E-4</v>
      </c>
      <c r="T188">
        <f t="shared" si="72"/>
        <v>0.1</v>
      </c>
      <c r="U188">
        <f t="shared" si="82"/>
        <v>43848.138343869679</v>
      </c>
      <c r="V188">
        <f t="shared" si="73"/>
        <v>0.56819610041131596</v>
      </c>
      <c r="W188">
        <f t="shared" si="74"/>
        <v>8.4707957457089918E-7</v>
      </c>
      <c r="X188">
        <f t="shared" si="75"/>
        <v>1.1098769142254963E-2</v>
      </c>
      <c r="Y188">
        <f t="shared" si="76"/>
        <v>1.2486115285036833E-3</v>
      </c>
      <c r="Z188">
        <f t="shared" si="77"/>
        <v>5.5493845711274813E-3</v>
      </c>
      <c r="AA188">
        <f t="shared" si="78"/>
        <v>5.7177871283535706E-6</v>
      </c>
      <c r="AB188">
        <f t="shared" si="79"/>
        <v>0.05</v>
      </c>
      <c r="AC188">
        <f t="shared" si="83"/>
        <v>0.55714357966271422</v>
      </c>
      <c r="AD188">
        <f t="shared" si="84"/>
        <v>1.5458594192975815E-5</v>
      </c>
      <c r="AE188">
        <f t="shared" si="85"/>
        <v>4.2387598939748458E-2</v>
      </c>
      <c r="AF188">
        <f t="shared" si="86"/>
        <v>4.7686048807217014E-3</v>
      </c>
      <c r="AG188">
        <f t="shared" si="87"/>
        <v>2.1193799469874229E-2</v>
      </c>
      <c r="AH188">
        <f t="shared" si="88"/>
        <v>1.0434551080258674E-4</v>
      </c>
      <c r="AI188">
        <f t="shared" si="89"/>
        <v>0.1</v>
      </c>
    </row>
    <row r="189" spans="5:35" x14ac:dyDescent="0.25">
      <c r="E189">
        <f t="shared" si="80"/>
        <v>230202.72630531588</v>
      </c>
      <c r="F189">
        <f t="shared" si="60"/>
        <v>0.34678528874546322</v>
      </c>
      <c r="G189">
        <f t="shared" si="61"/>
        <v>4.7168819446853429E-7</v>
      </c>
      <c r="H189">
        <f t="shared" si="62"/>
        <v>6.4892207233150324E-3</v>
      </c>
      <c r="I189">
        <f t="shared" si="63"/>
        <v>7.3003733137294113E-4</v>
      </c>
      <c r="J189">
        <f t="shared" si="64"/>
        <v>3.2446103616575162E-3</v>
      </c>
      <c r="K189">
        <f t="shared" si="65"/>
        <v>3.1838953126626064E-6</v>
      </c>
      <c r="L189">
        <v>188</v>
      </c>
      <c r="M189">
        <f t="shared" si="81"/>
        <v>0.05</v>
      </c>
      <c r="N189">
        <f t="shared" si="66"/>
        <v>0.31036979824880195</v>
      </c>
      <c r="O189">
        <f t="shared" si="67"/>
        <v>4.2797939688850323E-5</v>
      </c>
      <c r="P189">
        <f t="shared" si="68"/>
        <v>4.9325208892652413E-2</v>
      </c>
      <c r="Q189">
        <f t="shared" si="69"/>
        <v>5.5490860004233956E-3</v>
      </c>
      <c r="R189">
        <f t="shared" si="70"/>
        <v>2.4662604446326206E-2</v>
      </c>
      <c r="S189">
        <f t="shared" si="71"/>
        <v>2.8888609289973968E-4</v>
      </c>
      <c r="T189">
        <f t="shared" si="72"/>
        <v>0.1</v>
      </c>
      <c r="U189">
        <f t="shared" si="82"/>
        <v>46040.545261063162</v>
      </c>
      <c r="V189">
        <f t="shared" si="73"/>
        <v>0.56487358969894441</v>
      </c>
      <c r="W189">
        <f t="shared" si="74"/>
        <v>7.6832614379908769E-7</v>
      </c>
      <c r="X189">
        <f t="shared" si="75"/>
        <v>1.0570198688613487E-2</v>
      </c>
      <c r="Y189">
        <f t="shared" si="76"/>
        <v>1.1891473524690171E-3</v>
      </c>
      <c r="Z189">
        <f t="shared" si="77"/>
        <v>5.2850993443067434E-3</v>
      </c>
      <c r="AA189">
        <f t="shared" si="78"/>
        <v>5.1862014706438425E-6</v>
      </c>
      <c r="AB189">
        <f t="shared" si="79"/>
        <v>0.05</v>
      </c>
      <c r="AC189">
        <f t="shared" si="83"/>
        <v>0.55327077055916063</v>
      </c>
      <c r="AD189">
        <f t="shared" si="84"/>
        <v>1.4021400238017199E-5</v>
      </c>
      <c r="AE189">
        <f t="shared" si="85"/>
        <v>4.0368089117976569E-2</v>
      </c>
      <c r="AF189">
        <f t="shared" si="86"/>
        <v>4.5414100257723643E-3</v>
      </c>
      <c r="AG189">
        <f t="shared" si="87"/>
        <v>2.0184044558988284E-2</v>
      </c>
      <c r="AH189">
        <f t="shared" si="88"/>
        <v>9.46444516066161E-5</v>
      </c>
      <c r="AI189">
        <f t="shared" si="89"/>
        <v>0.1</v>
      </c>
    </row>
    <row r="190" spans="5:35" x14ac:dyDescent="0.25">
      <c r="E190">
        <f t="shared" si="80"/>
        <v>241712.8626205817</v>
      </c>
      <c r="F190">
        <f t="shared" si="60"/>
        <v>0.34476730344151613</v>
      </c>
      <c r="G190">
        <f t="shared" si="61"/>
        <v>4.2783509655065432E-7</v>
      </c>
      <c r="H190">
        <f t="shared" si="62"/>
        <v>6.1801781182166957E-3</v>
      </c>
      <c r="I190">
        <f t="shared" si="63"/>
        <v>6.9527003829937832E-4</v>
      </c>
      <c r="J190">
        <f t="shared" si="64"/>
        <v>3.0900890591083478E-3</v>
      </c>
      <c r="K190">
        <f t="shared" si="65"/>
        <v>2.887886901716917E-6</v>
      </c>
      <c r="L190">
        <v>189</v>
      </c>
      <c r="M190">
        <f t="shared" si="81"/>
        <v>0.05</v>
      </c>
      <c r="N190">
        <f t="shared" si="66"/>
        <v>0.30795322706000655</v>
      </c>
      <c r="O190">
        <f t="shared" si="67"/>
        <v>3.8818986785744188E-5</v>
      </c>
      <c r="P190">
        <f t="shared" si="68"/>
        <v>4.6973470580242427E-2</v>
      </c>
      <c r="Q190">
        <f t="shared" si="69"/>
        <v>5.284515440277273E-3</v>
      </c>
      <c r="R190">
        <f t="shared" si="70"/>
        <v>2.3486735290121213E-2</v>
      </c>
      <c r="S190">
        <f t="shared" si="71"/>
        <v>2.6202816080377327E-4</v>
      </c>
      <c r="T190">
        <f t="shared" si="72"/>
        <v>0.1</v>
      </c>
      <c r="U190">
        <f t="shared" si="82"/>
        <v>48342.572524116324</v>
      </c>
      <c r="V190">
        <f t="shared" si="73"/>
        <v>0.56158652234172157</v>
      </c>
      <c r="W190">
        <f t="shared" si="74"/>
        <v>6.968944607253741E-7</v>
      </c>
      <c r="X190">
        <f t="shared" si="75"/>
        <v>1.0066803615704431E-2</v>
      </c>
      <c r="Y190">
        <f t="shared" si="76"/>
        <v>1.1325154067667483E-3</v>
      </c>
      <c r="Z190">
        <f t="shared" si="77"/>
        <v>5.0334018078522155E-3</v>
      </c>
      <c r="AA190">
        <f t="shared" si="78"/>
        <v>4.7040376098962758E-6</v>
      </c>
      <c r="AB190">
        <f t="shared" si="79"/>
        <v>0.05</v>
      </c>
      <c r="AC190">
        <f t="shared" si="83"/>
        <v>0.5494477280400184</v>
      </c>
      <c r="AD190">
        <f t="shared" si="84"/>
        <v>1.2717823023848452E-5</v>
      </c>
      <c r="AE190">
        <f t="shared" si="85"/>
        <v>3.8444844351990151E-2</v>
      </c>
      <c r="AF190">
        <f t="shared" si="86"/>
        <v>4.3250449895988917E-3</v>
      </c>
      <c r="AG190">
        <f t="shared" si="87"/>
        <v>1.9222422175995076E-2</v>
      </c>
      <c r="AH190">
        <f t="shared" si="88"/>
        <v>8.5845305410977042E-5</v>
      </c>
      <c r="AI190">
        <f t="shared" si="89"/>
        <v>0.1</v>
      </c>
    </row>
    <row r="191" spans="5:35" x14ac:dyDescent="0.25">
      <c r="E191">
        <f t="shared" si="80"/>
        <v>253798.50575161079</v>
      </c>
      <c r="F191">
        <f t="shared" si="60"/>
        <v>0.34277073201531993</v>
      </c>
      <c r="G191">
        <f t="shared" si="61"/>
        <v>3.8805904410128457E-7</v>
      </c>
      <c r="H191">
        <f t="shared" si="62"/>
        <v>5.8858548117810853E-3</v>
      </c>
      <c r="I191">
        <f t="shared" si="63"/>
        <v>6.621586663253722E-4</v>
      </c>
      <c r="J191">
        <f t="shared" si="64"/>
        <v>2.9429274058905427E-3</v>
      </c>
      <c r="K191">
        <f t="shared" si="65"/>
        <v>2.619398547683671E-6</v>
      </c>
      <c r="L191">
        <v>190</v>
      </c>
      <c r="M191">
        <f t="shared" si="81"/>
        <v>0.05</v>
      </c>
      <c r="N191">
        <f t="shared" si="66"/>
        <v>0.30557169164637699</v>
      </c>
      <c r="O191">
        <f t="shared" si="67"/>
        <v>3.5209960295944198E-5</v>
      </c>
      <c r="P191">
        <f t="shared" si="68"/>
        <v>4.4733991493864825E-2</v>
      </c>
      <c r="Q191">
        <f t="shared" si="69"/>
        <v>5.0325740430597924E-3</v>
      </c>
      <c r="R191">
        <f t="shared" si="70"/>
        <v>2.2366995746932412E-2</v>
      </c>
      <c r="S191">
        <f t="shared" si="71"/>
        <v>2.3766723199762331E-4</v>
      </c>
      <c r="T191">
        <f t="shared" si="72"/>
        <v>0.1</v>
      </c>
      <c r="U191">
        <f t="shared" si="82"/>
        <v>50759.701150322144</v>
      </c>
      <c r="V191">
        <f t="shared" si="73"/>
        <v>0.55833433574324809</v>
      </c>
      <c r="W191">
        <f t="shared" si="74"/>
        <v>6.3210381861823287E-7</v>
      </c>
      <c r="X191">
        <f t="shared" si="75"/>
        <v>9.5873845975569354E-3</v>
      </c>
      <c r="Y191">
        <f t="shared" si="76"/>
        <v>1.0785807672251551E-3</v>
      </c>
      <c r="Z191">
        <f t="shared" si="77"/>
        <v>4.7936922987784677E-3</v>
      </c>
      <c r="AA191">
        <f t="shared" si="78"/>
        <v>4.2667007756730711E-6</v>
      </c>
      <c r="AB191">
        <f t="shared" si="79"/>
        <v>0.05</v>
      </c>
      <c r="AC191">
        <f t="shared" si="83"/>
        <v>0.54567350074484533</v>
      </c>
      <c r="AD191">
        <f t="shared" si="84"/>
        <v>1.1535440120115437E-5</v>
      </c>
      <c r="AE191">
        <f t="shared" si="85"/>
        <v>3.661327148108616E-2</v>
      </c>
      <c r="AF191">
        <f t="shared" si="86"/>
        <v>4.1189930416221932E-3</v>
      </c>
      <c r="AG191">
        <f t="shared" si="87"/>
        <v>1.830663574054308E-2</v>
      </c>
      <c r="AH191">
        <f t="shared" si="88"/>
        <v>7.7864220810779206E-5</v>
      </c>
      <c r="AI191">
        <f t="shared" si="89"/>
        <v>0.1</v>
      </c>
    </row>
    <row r="192" spans="5:35" x14ac:dyDescent="0.25">
      <c r="E192">
        <f t="shared" si="80"/>
        <v>266488.43103919132</v>
      </c>
      <c r="F192">
        <f t="shared" si="60"/>
        <v>0.34079523635089121</v>
      </c>
      <c r="G192">
        <f t="shared" si="61"/>
        <v>3.5198099206200006E-7</v>
      </c>
      <c r="H192">
        <f t="shared" si="62"/>
        <v>5.6055496075475527E-3</v>
      </c>
      <c r="I192">
        <f t="shared" si="63"/>
        <v>6.3062433084909973E-4</v>
      </c>
      <c r="J192">
        <f t="shared" si="64"/>
        <v>2.8027748037737763E-3</v>
      </c>
      <c r="K192">
        <f t="shared" si="65"/>
        <v>2.3758716964185001E-6</v>
      </c>
      <c r="L192">
        <v>191</v>
      </c>
      <c r="M192">
        <f t="shared" si="81"/>
        <v>0.05</v>
      </c>
      <c r="N192">
        <f t="shared" si="66"/>
        <v>0.30322443667082866</v>
      </c>
      <c r="O192">
        <f t="shared" si="67"/>
        <v>3.1936467775201136E-5</v>
      </c>
      <c r="P192">
        <f t="shared" si="68"/>
        <v>4.2601400653398028E-2</v>
      </c>
      <c r="Q192">
        <f t="shared" si="69"/>
        <v>4.7926575735072778E-3</v>
      </c>
      <c r="R192">
        <f t="shared" si="70"/>
        <v>2.1300700326699014E-2</v>
      </c>
      <c r="S192">
        <f t="shared" si="71"/>
        <v>2.1557115748260767E-4</v>
      </c>
      <c r="T192">
        <f t="shared" si="72"/>
        <v>0.1</v>
      </c>
      <c r="U192">
        <f t="shared" si="82"/>
        <v>53297.686207838255</v>
      </c>
      <c r="V192">
        <f t="shared" si="73"/>
        <v>0.55511647915124129</v>
      </c>
      <c r="W192">
        <f t="shared" si="74"/>
        <v>5.7333679641120246E-7</v>
      </c>
      <c r="X192">
        <f t="shared" si="75"/>
        <v>9.1307994652997521E-3</v>
      </c>
      <c r="Y192">
        <f t="shared" si="76"/>
        <v>1.0272149398462222E-3</v>
      </c>
      <c r="Z192">
        <f t="shared" si="77"/>
        <v>4.565399732649876E-3</v>
      </c>
      <c r="AA192">
        <f t="shared" si="78"/>
        <v>3.870023375775617E-6</v>
      </c>
      <c r="AB192">
        <f t="shared" si="79"/>
        <v>0.05</v>
      </c>
      <c r="AC192">
        <f t="shared" si="83"/>
        <v>0.54194716140842147</v>
      </c>
      <c r="AD192">
        <f t="shared" si="84"/>
        <v>1.0462984018469409E-5</v>
      </c>
      <c r="AE192">
        <f t="shared" si="85"/>
        <v>3.4868996914403268E-2</v>
      </c>
      <c r="AF192">
        <f t="shared" si="86"/>
        <v>3.9227621528703681E-3</v>
      </c>
      <c r="AG192">
        <f t="shared" si="87"/>
        <v>1.7434498457201634E-2</v>
      </c>
      <c r="AH192">
        <f t="shared" si="88"/>
        <v>7.0625142124668502E-5</v>
      </c>
      <c r="AI192">
        <f t="shared" si="89"/>
        <v>0.1</v>
      </c>
    </row>
    <row r="193" spans="5:35" x14ac:dyDescent="0.25">
      <c r="E193">
        <f t="shared" si="80"/>
        <v>279812.85259115091</v>
      </c>
      <c r="F193">
        <f t="shared" si="60"/>
        <v>0.33884048541319756</v>
      </c>
      <c r="G193">
        <f t="shared" si="61"/>
        <v>3.1925713539378138E-7</v>
      </c>
      <c r="H193">
        <f t="shared" si="62"/>
        <v>5.3385947251657255E-3</v>
      </c>
      <c r="I193">
        <f t="shared" si="63"/>
        <v>6.0059190658114407E-4</v>
      </c>
      <c r="J193">
        <f t="shared" si="64"/>
        <v>2.6692973625828628E-3</v>
      </c>
      <c r="K193">
        <f t="shared" si="65"/>
        <v>2.1549856639080239E-6</v>
      </c>
      <c r="L193">
        <v>192</v>
      </c>
      <c r="M193">
        <f t="shared" si="81"/>
        <v>0.05</v>
      </c>
      <c r="N193">
        <f t="shared" si="66"/>
        <v>0.30091072835374794</v>
      </c>
      <c r="O193">
        <f t="shared" si="67"/>
        <v>2.89673142969051E-5</v>
      </c>
      <c r="P193">
        <f t="shared" si="68"/>
        <v>4.0570585198052574E-2</v>
      </c>
      <c r="Q193">
        <f t="shared" si="69"/>
        <v>4.5641908347809146E-3</v>
      </c>
      <c r="R193">
        <f t="shared" si="70"/>
        <v>2.0285292599026287E-2</v>
      </c>
      <c r="S193">
        <f t="shared" si="71"/>
        <v>1.9552937150410941E-4</v>
      </c>
      <c r="T193">
        <f t="shared" si="72"/>
        <v>0.1</v>
      </c>
      <c r="U193">
        <f t="shared" si="82"/>
        <v>55962.570518230168</v>
      </c>
      <c r="V193">
        <f t="shared" si="73"/>
        <v>0.55193241334747856</v>
      </c>
      <c r="W193">
        <f t="shared" si="74"/>
        <v>5.200333750006764E-7</v>
      </c>
      <c r="X193">
        <f t="shared" si="75"/>
        <v>8.6959604810850442E-3</v>
      </c>
      <c r="Y193">
        <f t="shared" si="76"/>
        <v>9.7829555412206736E-4</v>
      </c>
      <c r="Z193">
        <f t="shared" si="77"/>
        <v>4.3479802405425221E-3</v>
      </c>
      <c r="AA193">
        <f t="shared" si="78"/>
        <v>3.510225281254566E-6</v>
      </c>
      <c r="AB193">
        <f t="shared" si="79"/>
        <v>0.05</v>
      </c>
      <c r="AC193">
        <f t="shared" si="83"/>
        <v>0.53826780610271796</v>
      </c>
      <c r="AD193">
        <f t="shared" si="84"/>
        <v>9.4902347584799071E-6</v>
      </c>
      <c r="AE193">
        <f t="shared" si="85"/>
        <v>3.3207856096262152E-2</v>
      </c>
      <c r="AF193">
        <f t="shared" si="86"/>
        <v>3.7358838108294918E-3</v>
      </c>
      <c r="AG193">
        <f t="shared" si="87"/>
        <v>1.6603928048131076E-2</v>
      </c>
      <c r="AH193">
        <f t="shared" si="88"/>
        <v>6.4059084619739388E-5</v>
      </c>
      <c r="AI193">
        <f t="shared" si="89"/>
        <v>0.1</v>
      </c>
    </row>
    <row r="194" spans="5:35" x14ac:dyDescent="0.25">
      <c r="E194">
        <f t="shared" si="80"/>
        <v>293803.49522070849</v>
      </c>
      <c r="F194">
        <f t="shared" si="60"/>
        <v>0.33690615506375959</v>
      </c>
      <c r="G194">
        <f t="shared" si="61"/>
        <v>2.8957563279356432E-7</v>
      </c>
      <c r="H194">
        <f t="shared" si="62"/>
        <v>5.084354206752538E-3</v>
      </c>
      <c r="I194">
        <f t="shared" si="63"/>
        <v>5.719898482596605E-4</v>
      </c>
      <c r="J194">
        <f t="shared" si="64"/>
        <v>2.542177103376269E-3</v>
      </c>
      <c r="K194">
        <f t="shared" si="65"/>
        <v>1.9546355213565597E-6</v>
      </c>
      <c r="L194">
        <v>193</v>
      </c>
      <c r="M194">
        <f t="shared" si="81"/>
        <v>0.05</v>
      </c>
      <c r="N194">
        <f t="shared" si="66"/>
        <v>0.29862985370937317</v>
      </c>
      <c r="O194">
        <f t="shared" si="67"/>
        <v>2.6274205171146368E-5</v>
      </c>
      <c r="P194">
        <f t="shared" si="68"/>
        <v>3.8636677874900799E-2</v>
      </c>
      <c r="Q194">
        <f t="shared" si="69"/>
        <v>4.3466262609263397E-3</v>
      </c>
      <c r="R194">
        <f t="shared" si="70"/>
        <v>1.9318338937450399E-2</v>
      </c>
      <c r="S194">
        <f t="shared" si="71"/>
        <v>1.7735088490523795E-4</v>
      </c>
      <c r="T194">
        <f t="shared" si="72"/>
        <v>0.1</v>
      </c>
      <c r="U194">
        <f t="shared" si="82"/>
        <v>58760.699044141678</v>
      </c>
      <c r="V194">
        <f t="shared" si="73"/>
        <v>0.54878161034743367</v>
      </c>
      <c r="W194">
        <f t="shared" si="74"/>
        <v>4.716856005547154E-7</v>
      </c>
      <c r="X194">
        <f t="shared" si="75"/>
        <v>8.2818317422261468E-3</v>
      </c>
      <c r="Y194">
        <f t="shared" si="76"/>
        <v>9.3170607100044145E-4</v>
      </c>
      <c r="Z194">
        <f t="shared" si="77"/>
        <v>4.1409158711130734E-3</v>
      </c>
      <c r="AA194">
        <f t="shared" si="78"/>
        <v>3.1838778037443291E-6</v>
      </c>
      <c r="AB194">
        <f t="shared" si="79"/>
        <v>0.05</v>
      </c>
      <c r="AC194">
        <f t="shared" si="83"/>
        <v>0.53463455350730427</v>
      </c>
      <c r="AD194">
        <f t="shared" si="84"/>
        <v>8.6079225362410069E-6</v>
      </c>
      <c r="AE194">
        <f t="shared" si="85"/>
        <v>3.1625883480513269E-2</v>
      </c>
      <c r="AF194">
        <f t="shared" si="86"/>
        <v>3.557911891557743E-3</v>
      </c>
      <c r="AG194">
        <f t="shared" si="87"/>
        <v>1.5812941740256634E-2</v>
      </c>
      <c r="AH194">
        <f t="shared" si="88"/>
        <v>5.8103477119626796E-5</v>
      </c>
      <c r="AI194">
        <f t="shared" si="89"/>
        <v>0.1</v>
      </c>
    </row>
    <row r="195" spans="5:35" x14ac:dyDescent="0.25">
      <c r="E195">
        <f t="shared" si="80"/>
        <v>308493.66998174391</v>
      </c>
      <c r="F195">
        <f t="shared" ref="F195:F242" si="90">((0.14)/(($E195/$B$5)^0.02-1))*$B$4</f>
        <v>0.33499192788198207</v>
      </c>
      <c r="G195">
        <f t="shared" ref="G195:G242" si="91">((80)/(($E195/$B$5)^2-1))*$B$4</f>
        <v>2.6265363500865301E-7</v>
      </c>
      <c r="H195">
        <f t="shared" ref="H195:H242" si="92">((120)/(($E195/$B$5)-1))*$B$4</f>
        <v>4.8422223993602057E-3</v>
      </c>
      <c r="I195">
        <f t="shared" ref="I195:I242" si="93">((13.5)/(($E195/$B$5)-1))*$B$4</f>
        <v>5.4475001992802319E-4</v>
      </c>
      <c r="J195">
        <f t="shared" ref="J195:J242" si="94">((60)/(($E195/$B$5)-1))*$B$4</f>
        <v>2.4211111996801028E-3</v>
      </c>
      <c r="K195">
        <f t="shared" ref="K195:K242" si="95">((540)/(($E195/$B$5)^2-1))*$B$4</f>
        <v>1.7729120363084081E-6</v>
      </c>
      <c r="L195">
        <v>194</v>
      </c>
      <c r="M195">
        <f t="shared" si="81"/>
        <v>0.05</v>
      </c>
      <c r="N195">
        <f t="shared" ref="N195:N242" si="96">((0.14)/(($E195/$B$28)^0.02-1))*$B$27</f>
        <v>0.29638111981440518</v>
      </c>
      <c r="O195">
        <f t="shared" ref="O195:O242" si="97">((80)/(($E195/$B$28)^2-1))*$B$27</f>
        <v>2.3831476303214046E-5</v>
      </c>
      <c r="P195">
        <f t="shared" ref="P195:P242" si="98">((120)/(($E195/$B$28)-1))*$B$27</f>
        <v>3.6795045143762146E-2</v>
      </c>
      <c r="Q195">
        <f t="shared" ref="Q195:Q242" si="99">((13.5)/(($E195/$B$28)-1))*$B$27</f>
        <v>4.1394425786732414E-3</v>
      </c>
      <c r="R195">
        <f t="shared" ref="R195:R242" si="100">((60)/(($E195/$B$28)-1))*$B$27</f>
        <v>1.8397522571881073E-2</v>
      </c>
      <c r="S195">
        <f t="shared" ref="S195:S242" si="101">((540)/(($E195/$B$28)^2-1))*$B$27</f>
        <v>1.6086246504669479E-4</v>
      </c>
      <c r="T195">
        <f t="shared" ref="T195:T242" si="102">IF($E195&lt;$B$31,HLOOKUP($B$29,$N$2:$S$242,$L195,FALSE),$B$30)</f>
        <v>0.1</v>
      </c>
      <c r="U195">
        <f t="shared" si="82"/>
        <v>61698.733996348768</v>
      </c>
      <c r="V195">
        <f t="shared" ref="V195:V242" si="103">((0.14)/(($U195/$B$18)^0.02-1))*$B$17</f>
        <v>0.54566355310924552</v>
      </c>
      <c r="W195">
        <f t="shared" ref="W195:W242" si="104">((80)/(($U195/$B$18)^2-1))*$B$17</f>
        <v>4.2783274397696101E-7</v>
      </c>
      <c r="X195">
        <f t="shared" ref="X195:X242" si="105">((120)/(($U195/$B$18)-1))*$B$17</f>
        <v>7.8874267093114094E-3</v>
      </c>
      <c r="Y195">
        <f t="shared" ref="Y195:Y242" si="106">((13.5)/(($U195/$B$18)-1))*$B$17</f>
        <v>8.8733550479753358E-4</v>
      </c>
      <c r="Z195">
        <f t="shared" ref="Z195:Z242" si="107">((60)/(($U195/$B$18)-1))*$B$17</f>
        <v>3.9437133546557047E-3</v>
      </c>
      <c r="AA195">
        <f t="shared" ref="AA195:AA242" si="108">((540)/(($U195/$B$18)^2-1))*$B$17</f>
        <v>2.8878710218444873E-6</v>
      </c>
      <c r="AB195">
        <f t="shared" ref="AB195:AB242" si="109">IF($U195&lt;$B$21,HLOOKUP($B$19,$V$2:$AA$242,$L195,FALSE),$B$20)</f>
        <v>0.05</v>
      </c>
      <c r="AC195">
        <f t="shared" si="83"/>
        <v>0.53104654420696196</v>
      </c>
      <c r="AD195">
        <f t="shared" si="84"/>
        <v>7.8076393675624711E-6</v>
      </c>
      <c r="AE195">
        <f t="shared" si="85"/>
        <v>3.0119302988967454E-2</v>
      </c>
      <c r="AF195">
        <f t="shared" si="86"/>
        <v>3.3884215862588383E-3</v>
      </c>
      <c r="AG195">
        <f t="shared" si="87"/>
        <v>1.5059651494483727E-2</v>
      </c>
      <c r="AH195">
        <f t="shared" si="88"/>
        <v>5.2701565731046687E-5</v>
      </c>
      <c r="AI195">
        <f t="shared" si="89"/>
        <v>0.1</v>
      </c>
    </row>
    <row r="196" spans="5:35" x14ac:dyDescent="0.25">
      <c r="E196">
        <f t="shared" ref="E196:E242" si="110">E195*(1+$B$15)</f>
        <v>323918.35348083114</v>
      </c>
      <c r="F196">
        <f t="shared" si="90"/>
        <v>0.33309749299201391</v>
      </c>
      <c r="G196">
        <f t="shared" si="91"/>
        <v>2.3823458943035998E-7</v>
      </c>
      <c r="H196">
        <f t="shared" si="92"/>
        <v>4.6116225099100691E-3</v>
      </c>
      <c r="I196">
        <f t="shared" si="93"/>
        <v>5.1880753236488268E-4</v>
      </c>
      <c r="J196">
        <f t="shared" si="94"/>
        <v>2.3058112549550346E-3</v>
      </c>
      <c r="K196">
        <f t="shared" si="95"/>
        <v>1.6080834786549298E-6</v>
      </c>
      <c r="L196">
        <v>195</v>
      </c>
      <c r="M196">
        <f t="shared" ref="M196:M242" si="111">IF($E196&lt;$B$8,HLOOKUP($B$6,$F$2:$K$242,L196,FALSE),$B$7)</f>
        <v>0.05</v>
      </c>
      <c r="N196">
        <f t="shared" si="96"/>
        <v>0.29416385310727439</v>
      </c>
      <c r="O196">
        <f t="shared" si="97"/>
        <v>2.161584962168913E-5</v>
      </c>
      <c r="P196">
        <f t="shared" si="98"/>
        <v>3.5041275867166481E-2</v>
      </c>
      <c r="Q196">
        <f t="shared" si="99"/>
        <v>3.9421435350562297E-3</v>
      </c>
      <c r="R196">
        <f t="shared" si="100"/>
        <v>1.7520637933583241E-2</v>
      </c>
      <c r="S196">
        <f t="shared" si="101"/>
        <v>1.459069849464016E-4</v>
      </c>
      <c r="T196">
        <f t="shared" si="102"/>
        <v>0.1</v>
      </c>
      <c r="U196">
        <f t="shared" ref="U196:U242" si="112">U195*(1+$B$23)</f>
        <v>64783.670696166213</v>
      </c>
      <c r="V196">
        <f t="shared" si="103"/>
        <v>0.54257773525169306</v>
      </c>
      <c r="W196">
        <f t="shared" si="104"/>
        <v>3.8805691039782402E-7</v>
      </c>
      <c r="X196">
        <f t="shared" si="105"/>
        <v>7.5118058523566374E-3</v>
      </c>
      <c r="Y196">
        <f t="shared" si="106"/>
        <v>8.4507815839012185E-4</v>
      </c>
      <c r="Z196">
        <f t="shared" si="107"/>
        <v>3.7559029261783187E-3</v>
      </c>
      <c r="AA196">
        <f t="shared" si="108"/>
        <v>2.619384145185312E-6</v>
      </c>
      <c r="AB196">
        <f t="shared" si="109"/>
        <v>0.05</v>
      </c>
      <c r="AC196">
        <f t="shared" ref="AC196:AC242" si="113">((0.14)/(($U196/$B$34)^0.02-1))*$B$33</f>
        <v>0.52750294001531539</v>
      </c>
      <c r="AD196">
        <f t="shared" ref="AD196:AD242" si="114">((80)/(($U196/$B$34)^2-1))*$B$33</f>
        <v>7.0817589639264516E-6</v>
      </c>
      <c r="AE196">
        <f t="shared" ref="AE196:AE242" si="115">((120)/(($U196/$B$34)-1))*$B$33</f>
        <v>2.8684518930235547E-2</v>
      </c>
      <c r="AF196">
        <f t="shared" ref="AF196:AF242" si="116">((13.5)/(($U196/$B$34)-1))*$B$33</f>
        <v>3.2270083796514986E-3</v>
      </c>
      <c r="AG196">
        <f t="shared" ref="AG196:AG242" si="117">((60)/(($U196/$B$34)-1))*$B$33</f>
        <v>1.4342259465117774E-2</v>
      </c>
      <c r="AH196">
        <f t="shared" ref="AH196:AH242" si="118">((540)/(($U196/$B$34)^2-1))*$B$33</f>
        <v>4.7801873006503546E-5</v>
      </c>
      <c r="AI196">
        <f t="shared" ref="AI196:AI242" si="119">IF($U196&lt;$B$37,HLOOKUP($B$35,$AC$2:$AH$242,$L196,FALSE),$B$36)</f>
        <v>0.1</v>
      </c>
    </row>
    <row r="197" spans="5:35" x14ac:dyDescent="0.25">
      <c r="E197">
        <f t="shared" si="110"/>
        <v>340114.27115487272</v>
      </c>
      <c r="F197">
        <f t="shared" si="90"/>
        <v>0.33122254589493388</v>
      </c>
      <c r="G197">
        <f t="shared" si="91"/>
        <v>2.1608579528103808E-7</v>
      </c>
      <c r="H197">
        <f t="shared" si="92"/>
        <v>4.3920052291227104E-3</v>
      </c>
      <c r="I197">
        <f t="shared" si="93"/>
        <v>4.9410058827630487E-4</v>
      </c>
      <c r="J197">
        <f t="shared" si="94"/>
        <v>2.1960026145613552E-3</v>
      </c>
      <c r="K197">
        <f t="shared" si="95"/>
        <v>1.458579118147007E-6</v>
      </c>
      <c r="L197">
        <v>196</v>
      </c>
      <c r="M197">
        <f t="shared" si="111"/>
        <v>0.05</v>
      </c>
      <c r="N197">
        <f t="shared" si="96"/>
        <v>0.29197739871656936</v>
      </c>
      <c r="O197">
        <f t="shared" si="97"/>
        <v>1.9606211245242139E-5</v>
      </c>
      <c r="P197">
        <f t="shared" si="98"/>
        <v>3.3371170555787859E-2</v>
      </c>
      <c r="Q197">
        <f t="shared" si="99"/>
        <v>3.7542566875261342E-3</v>
      </c>
      <c r="R197">
        <f t="shared" si="100"/>
        <v>1.6685585277893929E-2</v>
      </c>
      <c r="S197">
        <f t="shared" si="101"/>
        <v>1.3234192590538444E-4</v>
      </c>
      <c r="T197">
        <f t="shared" si="102"/>
        <v>0.1</v>
      </c>
      <c r="U197">
        <f t="shared" si="112"/>
        <v>68022.854230974524</v>
      </c>
      <c r="V197">
        <f t="shared" si="103"/>
        <v>0.53952366078084502</v>
      </c>
      <c r="W197">
        <f t="shared" si="104"/>
        <v>3.5197905685365714E-7</v>
      </c>
      <c r="X197">
        <f t="shared" si="105"/>
        <v>7.1540744093445564E-3</v>
      </c>
      <c r="Y197">
        <f t="shared" si="106"/>
        <v>8.0483337105126255E-4</v>
      </c>
      <c r="Z197">
        <f t="shared" si="107"/>
        <v>3.5770372046722782E-3</v>
      </c>
      <c r="AA197">
        <f t="shared" si="108"/>
        <v>2.3758586337621858E-6</v>
      </c>
      <c r="AB197">
        <f t="shared" si="109"/>
        <v>0.05</v>
      </c>
      <c r="AC197">
        <f t="shared" si="113"/>
        <v>0.52400292332337806</v>
      </c>
      <c r="AD197">
        <f t="shared" si="114"/>
        <v>6.4233640576563393E-6</v>
      </c>
      <c r="AE197">
        <f t="shared" si="115"/>
        <v>2.7318107356488878E-2</v>
      </c>
      <c r="AF197">
        <f t="shared" si="116"/>
        <v>3.0732870776049984E-3</v>
      </c>
      <c r="AG197">
        <f t="shared" si="117"/>
        <v>1.3659053678244439E-2</v>
      </c>
      <c r="AH197">
        <f t="shared" si="118"/>
        <v>4.3357707389180291E-5</v>
      </c>
      <c r="AI197">
        <f t="shared" si="119"/>
        <v>0.1</v>
      </c>
    </row>
    <row r="198" spans="5:35" x14ac:dyDescent="0.25">
      <c r="E198">
        <f t="shared" si="110"/>
        <v>357119.98471261637</v>
      </c>
      <c r="F198">
        <f t="shared" si="90"/>
        <v>0.32936678830607263</v>
      </c>
      <c r="G198">
        <f t="shared" si="91"/>
        <v>1.9599618609669478E-7</v>
      </c>
      <c r="H198">
        <f t="shared" si="92"/>
        <v>4.1828474211417291E-3</v>
      </c>
      <c r="I198">
        <f t="shared" si="93"/>
        <v>4.7057033487844454E-4</v>
      </c>
      <c r="J198">
        <f t="shared" si="94"/>
        <v>2.0914237105708645E-3</v>
      </c>
      <c r="K198">
        <f t="shared" si="95"/>
        <v>1.3229742561526896E-6</v>
      </c>
      <c r="L198">
        <v>197</v>
      </c>
      <c r="M198">
        <f t="shared" si="111"/>
        <v>0.05</v>
      </c>
      <c r="N198">
        <f t="shared" si="96"/>
        <v>0.28982111981723213</v>
      </c>
      <c r="O198">
        <f t="shared" si="97"/>
        <v>1.7783410273977209E-5</v>
      </c>
      <c r="P198">
        <f t="shared" si="98"/>
        <v>3.1780731141315591E-2</v>
      </c>
      <c r="Q198">
        <f t="shared" si="99"/>
        <v>3.575332253398004E-3</v>
      </c>
      <c r="R198">
        <f t="shared" si="100"/>
        <v>1.5890365570657795E-2</v>
      </c>
      <c r="S198">
        <f t="shared" si="101"/>
        <v>1.2003801934934616E-4</v>
      </c>
      <c r="T198">
        <f t="shared" si="102"/>
        <v>0.1</v>
      </c>
      <c r="U198">
        <f t="shared" si="112"/>
        <v>71423.996942523256</v>
      </c>
      <c r="V198">
        <f t="shared" si="103"/>
        <v>0.53650084382507579</v>
      </c>
      <c r="W198">
        <f t="shared" si="104"/>
        <v>3.1925538020444864E-7</v>
      </c>
      <c r="X198">
        <f t="shared" si="105"/>
        <v>6.8133802517717466E-3</v>
      </c>
      <c r="Y198">
        <f t="shared" si="106"/>
        <v>7.6650527832432139E-4</v>
      </c>
      <c r="Z198">
        <f t="shared" si="107"/>
        <v>3.4066901258858733E-3</v>
      </c>
      <c r="AA198">
        <f t="shared" si="108"/>
        <v>2.1549738163800285E-6</v>
      </c>
      <c r="AB198">
        <f t="shared" si="109"/>
        <v>0.05</v>
      </c>
      <c r="AC198">
        <f t="shared" si="113"/>
        <v>0.52054569647193538</v>
      </c>
      <c r="AD198">
        <f t="shared" si="114"/>
        <v>5.8261804837339386E-6</v>
      </c>
      <c r="AE198">
        <f t="shared" si="115"/>
        <v>2.60168078367757E-2</v>
      </c>
      <c r="AF198">
        <f t="shared" si="116"/>
        <v>2.9268908816372664E-3</v>
      </c>
      <c r="AG198">
        <f t="shared" si="117"/>
        <v>1.300840391838785E-2</v>
      </c>
      <c r="AH198">
        <f t="shared" si="118"/>
        <v>3.9326718265204091E-5</v>
      </c>
      <c r="AI198">
        <f t="shared" si="119"/>
        <v>0.1</v>
      </c>
    </row>
    <row r="199" spans="5:35" x14ac:dyDescent="0.25">
      <c r="E199">
        <f t="shared" si="110"/>
        <v>374975.98394824722</v>
      </c>
      <c r="F199">
        <f t="shared" si="90"/>
        <v>0.32752992799729269</v>
      </c>
      <c r="G199">
        <f t="shared" si="91"/>
        <v>1.7777431837339195E-7</v>
      </c>
      <c r="H199">
        <f t="shared" si="92"/>
        <v>3.983650875707412E-3</v>
      </c>
      <c r="I199">
        <f t="shared" si="93"/>
        <v>4.4816072351708383E-4</v>
      </c>
      <c r="J199">
        <f t="shared" si="94"/>
        <v>1.991825437853706E-3</v>
      </c>
      <c r="K199">
        <f t="shared" si="95"/>
        <v>1.1999766490203955E-6</v>
      </c>
      <c r="L199">
        <v>198</v>
      </c>
      <c r="M199">
        <f t="shared" si="111"/>
        <v>0.05</v>
      </c>
      <c r="N199">
        <f t="shared" si="96"/>
        <v>0.28769439701317712</v>
      </c>
      <c r="O199">
        <f t="shared" si="97"/>
        <v>1.6130076287741776E-5</v>
      </c>
      <c r="P199">
        <f t="shared" si="98"/>
        <v>3.0266151250212925E-2</v>
      </c>
      <c r="Q199">
        <f t="shared" si="99"/>
        <v>3.4049420156489537E-3</v>
      </c>
      <c r="R199">
        <f t="shared" si="100"/>
        <v>1.5133075625106462E-2</v>
      </c>
      <c r="S199">
        <f t="shared" si="101"/>
        <v>1.0887801494225698E-4</v>
      </c>
      <c r="T199">
        <f t="shared" si="102"/>
        <v>0.1</v>
      </c>
      <c r="U199">
        <f t="shared" si="112"/>
        <v>74995.196789649417</v>
      </c>
      <c r="V199">
        <f t="shared" si="103"/>
        <v>0.53350880837815862</v>
      </c>
      <c r="W199">
        <f t="shared" si="104"/>
        <v>2.8957404086875279E-7</v>
      </c>
      <c r="X199">
        <f t="shared" si="105"/>
        <v>6.4889118520822164E-3</v>
      </c>
      <c r="Y199">
        <f t="shared" si="106"/>
        <v>7.3000258335924936E-4</v>
      </c>
      <c r="Z199">
        <f t="shared" si="107"/>
        <v>3.2444559260411082E-3</v>
      </c>
      <c r="AA199">
        <f t="shared" si="108"/>
        <v>1.9546247758640813E-6</v>
      </c>
      <c r="AB199">
        <f t="shared" si="109"/>
        <v>0.05</v>
      </c>
      <c r="AC199">
        <f t="shared" si="113"/>
        <v>0.51713048114676097</v>
      </c>
      <c r="AD199">
        <f t="shared" si="114"/>
        <v>5.2845173900902587E-6</v>
      </c>
      <c r="AE199">
        <f t="shared" si="115"/>
        <v>2.4777515626594103E-2</v>
      </c>
      <c r="AF199">
        <f t="shared" si="116"/>
        <v>2.7874705079918363E-3</v>
      </c>
      <c r="AG199">
        <f t="shared" si="117"/>
        <v>1.2388757813297051E-2</v>
      </c>
      <c r="AH199">
        <f t="shared" si="118"/>
        <v>3.5670492383109243E-5</v>
      </c>
      <c r="AI199">
        <f t="shared" si="119"/>
        <v>0.1</v>
      </c>
    </row>
    <row r="200" spans="5:35" x14ac:dyDescent="0.25">
      <c r="E200">
        <f t="shared" si="110"/>
        <v>393724.7831456596</v>
      </c>
      <c r="F200">
        <f t="shared" si="90"/>
        <v>0.3257116786440441</v>
      </c>
      <c r="G200">
        <f t="shared" si="91"/>
        <v>1.6124654721027115E-7</v>
      </c>
      <c r="H200">
        <f t="shared" si="92"/>
        <v>3.7939411198876843E-3</v>
      </c>
      <c r="I200">
        <f t="shared" si="93"/>
        <v>4.2681837598736443E-4</v>
      </c>
      <c r="J200">
        <f t="shared" si="94"/>
        <v>1.8969705599438422E-3</v>
      </c>
      <c r="K200">
        <f t="shared" si="95"/>
        <v>1.0884141936693303E-6</v>
      </c>
      <c r="L200">
        <v>199</v>
      </c>
      <c r="M200">
        <f t="shared" si="111"/>
        <v>0.05</v>
      </c>
      <c r="N200">
        <f t="shared" si="96"/>
        <v>0.28559662774508737</v>
      </c>
      <c r="O200">
        <f t="shared" si="97"/>
        <v>1.4630453812118317E-5</v>
      </c>
      <c r="P200">
        <f t="shared" si="98"/>
        <v>2.8823806953212541E-2</v>
      </c>
      <c r="Q200">
        <f t="shared" si="99"/>
        <v>3.242678282236411E-3</v>
      </c>
      <c r="R200">
        <f t="shared" si="100"/>
        <v>1.441190347660627E-2</v>
      </c>
      <c r="S200">
        <f t="shared" si="101"/>
        <v>9.8755563231798642E-5</v>
      </c>
      <c r="T200">
        <f t="shared" si="102"/>
        <v>0.1</v>
      </c>
      <c r="U200">
        <f t="shared" si="112"/>
        <v>78744.956629131892</v>
      </c>
      <c r="V200">
        <f t="shared" si="103"/>
        <v>0.5305470880501334</v>
      </c>
      <c r="W200">
        <f t="shared" si="104"/>
        <v>2.6265219115474333E-7</v>
      </c>
      <c r="X200">
        <f t="shared" si="105"/>
        <v>6.1798963481129714E-3</v>
      </c>
      <c r="Y200">
        <f t="shared" si="106"/>
        <v>6.9523833916270935E-4</v>
      </c>
      <c r="Z200">
        <f t="shared" si="107"/>
        <v>3.0899481740564857E-3</v>
      </c>
      <c r="AA200">
        <f t="shared" si="108"/>
        <v>1.7729022902945176E-6</v>
      </c>
      <c r="AB200">
        <f t="shared" si="109"/>
        <v>0.05</v>
      </c>
      <c r="AC200">
        <f t="shared" si="113"/>
        <v>0.51375651779570652</v>
      </c>
      <c r="AD200">
        <f t="shared" si="114"/>
        <v>4.7932130065979545E-6</v>
      </c>
      <c r="AE200">
        <f t="shared" si="115"/>
        <v>2.3597274214431575E-2</v>
      </c>
      <c r="AF200">
        <f t="shared" si="116"/>
        <v>2.6546933491235522E-3</v>
      </c>
      <c r="AG200">
        <f t="shared" si="117"/>
        <v>1.1798637107215787E-2</v>
      </c>
      <c r="AH200">
        <f t="shared" si="118"/>
        <v>3.2354187794536197E-5</v>
      </c>
      <c r="AI200">
        <f t="shared" si="119"/>
        <v>0.1</v>
      </c>
    </row>
    <row r="201" spans="5:35" x14ac:dyDescent="0.25">
      <c r="E201">
        <f t="shared" si="110"/>
        <v>413411.02230294258</v>
      </c>
      <c r="F201">
        <f t="shared" si="90"/>
        <v>0.32391175967703362</v>
      </c>
      <c r="G201">
        <f t="shared" si="91"/>
        <v>1.4625537156402291E-7</v>
      </c>
      <c r="H201">
        <f t="shared" si="92"/>
        <v>3.6132662865175462E-3</v>
      </c>
      <c r="I201">
        <f t="shared" si="93"/>
        <v>4.0649245723322399E-4</v>
      </c>
      <c r="J201">
        <f t="shared" si="94"/>
        <v>1.8066331432587731E-3</v>
      </c>
      <c r="K201">
        <f t="shared" si="95"/>
        <v>9.8722375805715466E-7</v>
      </c>
      <c r="L201">
        <v>200</v>
      </c>
      <c r="M201">
        <f t="shared" si="111"/>
        <v>0.05</v>
      </c>
      <c r="N201">
        <f t="shared" si="96"/>
        <v>0.28352722572219285</v>
      </c>
      <c r="O201">
        <f t="shared" si="97"/>
        <v>1.3270252174532122E-5</v>
      </c>
      <c r="P201">
        <f t="shared" si="98"/>
        <v>2.7450247966717654E-2</v>
      </c>
      <c r="Q201">
        <f t="shared" si="99"/>
        <v>3.0881528962557361E-3</v>
      </c>
      <c r="R201">
        <f t="shared" si="100"/>
        <v>1.3725123983358827E-2</v>
      </c>
      <c r="S201">
        <f t="shared" si="101"/>
        <v>8.957420217809182E-5</v>
      </c>
      <c r="T201">
        <f t="shared" si="102"/>
        <v>0.1</v>
      </c>
      <c r="U201">
        <f t="shared" si="112"/>
        <v>82682.204460588488</v>
      </c>
      <c r="V201">
        <f t="shared" si="103"/>
        <v>0.52761522582569886</v>
      </c>
      <c r="W201">
        <f t="shared" si="104"/>
        <v>2.3823327986892136E-7</v>
      </c>
      <c r="X201">
        <f t="shared" si="105"/>
        <v>5.8855976999112073E-3</v>
      </c>
      <c r="Y201">
        <f t="shared" si="106"/>
        <v>6.6212974124001079E-4</v>
      </c>
      <c r="Z201">
        <f t="shared" si="107"/>
        <v>2.9427988499556037E-3</v>
      </c>
      <c r="AA201">
        <f t="shared" si="108"/>
        <v>1.6080746391152193E-6</v>
      </c>
      <c r="AB201">
        <f t="shared" si="109"/>
        <v>0.05</v>
      </c>
      <c r="AC201">
        <f t="shared" si="113"/>
        <v>0.51042306506673341</v>
      </c>
      <c r="AD201">
        <f t="shared" si="114"/>
        <v>4.3475854559663011E-6</v>
      </c>
      <c r="AE201">
        <f t="shared" si="115"/>
        <v>2.2473268226939357E-2</v>
      </c>
      <c r="AF201">
        <f t="shared" si="116"/>
        <v>2.5282426755306774E-3</v>
      </c>
      <c r="AG201">
        <f t="shared" si="117"/>
        <v>1.1236634113469679E-2</v>
      </c>
      <c r="AH201">
        <f t="shared" si="118"/>
        <v>2.9346201827772529E-5</v>
      </c>
      <c r="AI201">
        <f t="shared" si="119"/>
        <v>0.1</v>
      </c>
    </row>
    <row r="202" spans="5:35" x14ac:dyDescent="0.25">
      <c r="E202">
        <f t="shared" si="110"/>
        <v>434081.57341808971</v>
      </c>
      <c r="F202">
        <f t="shared" si="90"/>
        <v>0.32212989613834264</v>
      </c>
      <c r="G202">
        <f t="shared" si="91"/>
        <v>1.3265793334593272E-7</v>
      </c>
      <c r="H202">
        <f t="shared" si="92"/>
        <v>3.4411960366350211E-3</v>
      </c>
      <c r="I202">
        <f t="shared" si="93"/>
        <v>3.8713455412143989E-4</v>
      </c>
      <c r="J202">
        <f t="shared" si="94"/>
        <v>1.7205980183175105E-3</v>
      </c>
      <c r="K202">
        <f t="shared" si="95"/>
        <v>8.9544105008504568E-7</v>
      </c>
      <c r="L202">
        <v>201</v>
      </c>
      <c r="M202">
        <f t="shared" si="111"/>
        <v>0.05</v>
      </c>
      <c r="N202">
        <f t="shared" si="96"/>
        <v>0.28148562037690406</v>
      </c>
      <c r="O202">
        <f t="shared" si="97"/>
        <v>1.2036509319588931E-5</v>
      </c>
      <c r="P202">
        <f t="shared" si="98"/>
        <v>2.6142189283522698E-2</v>
      </c>
      <c r="Q202">
        <f t="shared" si="99"/>
        <v>2.9409962943963038E-3</v>
      </c>
      <c r="R202">
        <f t="shared" si="100"/>
        <v>1.3071094641761349E-2</v>
      </c>
      <c r="S202">
        <f t="shared" si="101"/>
        <v>8.124643790722528E-5</v>
      </c>
      <c r="T202">
        <f t="shared" si="102"/>
        <v>0.1</v>
      </c>
      <c r="U202">
        <f t="shared" si="112"/>
        <v>86816.314683617922</v>
      </c>
      <c r="V202">
        <f t="shared" si="103"/>
        <v>0.52471277382983927</v>
      </c>
      <c r="W202">
        <f t="shared" si="104"/>
        <v>2.1608460751679068E-7</v>
      </c>
      <c r="X202">
        <f t="shared" si="105"/>
        <v>5.6053149345056674E-3</v>
      </c>
      <c r="Y202">
        <f t="shared" si="106"/>
        <v>6.3059793013188752E-4</v>
      </c>
      <c r="Z202">
        <f t="shared" si="107"/>
        <v>2.8026574672528337E-3</v>
      </c>
      <c r="AA202">
        <f t="shared" si="108"/>
        <v>1.4585711007383369E-6</v>
      </c>
      <c r="AB202">
        <f t="shared" si="109"/>
        <v>0.05</v>
      </c>
      <c r="AC202">
        <f t="shared" si="113"/>
        <v>0.50712939926603184</v>
      </c>
      <c r="AD202">
        <f t="shared" si="114"/>
        <v>3.9433881377872492E-6</v>
      </c>
      <c r="AE202">
        <f t="shared" si="115"/>
        <v>2.1402816675318174E-2</v>
      </c>
      <c r="AF202">
        <f t="shared" si="116"/>
        <v>2.4078168759732945E-3</v>
      </c>
      <c r="AG202">
        <f t="shared" si="117"/>
        <v>1.0701408337659087E-2</v>
      </c>
      <c r="AH202">
        <f t="shared" si="118"/>
        <v>2.6617869930063931E-5</v>
      </c>
      <c r="AI202">
        <f t="shared" si="119"/>
        <v>0.1</v>
      </c>
    </row>
    <row r="203" spans="5:35" x14ac:dyDescent="0.25">
      <c r="E203">
        <f t="shared" si="110"/>
        <v>455785.65208899422</v>
      </c>
      <c r="F203">
        <f t="shared" si="90"/>
        <v>0.32036581854184232</v>
      </c>
      <c r="G203">
        <f t="shared" si="91"/>
        <v>1.2032465605867467E-7</v>
      </c>
      <c r="H203">
        <f t="shared" si="92"/>
        <v>3.2773205333318819E-3</v>
      </c>
      <c r="I203">
        <f t="shared" si="93"/>
        <v>3.6869855999983669E-4</v>
      </c>
      <c r="J203">
        <f t="shared" si="94"/>
        <v>1.638660266665941E-3</v>
      </c>
      <c r="K203">
        <f t="shared" si="95"/>
        <v>8.1219142839605414E-7</v>
      </c>
      <c r="L203">
        <v>202</v>
      </c>
      <c r="M203">
        <f t="shared" si="111"/>
        <v>0.05</v>
      </c>
      <c r="N203">
        <f t="shared" si="96"/>
        <v>0.2794712563412437</v>
      </c>
      <c r="O203">
        <f t="shared" si="97"/>
        <v>1.0917468285797059E-5</v>
      </c>
      <c r="P203">
        <f t="shared" si="98"/>
        <v>2.4896503211443325E-2</v>
      </c>
      <c r="Q203">
        <f t="shared" si="99"/>
        <v>2.800856611287374E-3</v>
      </c>
      <c r="R203">
        <f t="shared" si="100"/>
        <v>1.2448251605721663E-2</v>
      </c>
      <c r="S203">
        <f t="shared" si="101"/>
        <v>7.369291092913014E-5</v>
      </c>
      <c r="T203">
        <f t="shared" si="102"/>
        <v>0.1</v>
      </c>
      <c r="U203">
        <f t="shared" si="112"/>
        <v>91157.13041779882</v>
      </c>
      <c r="V203">
        <f t="shared" si="103"/>
        <v>0.52183929310045918</v>
      </c>
      <c r="W203">
        <f t="shared" si="104"/>
        <v>1.959951087978315E-7</v>
      </c>
      <c r="X203">
        <f t="shared" si="105"/>
        <v>5.3383804744267975E-3</v>
      </c>
      <c r="Y203">
        <f t="shared" si="106"/>
        <v>6.005678033730148E-4</v>
      </c>
      <c r="Z203">
        <f t="shared" si="107"/>
        <v>2.6691902372133988E-3</v>
      </c>
      <c r="AA203">
        <f t="shared" si="108"/>
        <v>1.3229669843853625E-6</v>
      </c>
      <c r="AB203">
        <f t="shared" si="109"/>
        <v>0.05</v>
      </c>
      <c r="AC203">
        <f t="shared" si="113"/>
        <v>0.50387481383538058</v>
      </c>
      <c r="AD203">
        <f t="shared" si="114"/>
        <v>3.5767692605618243E-6</v>
      </c>
      <c r="AE203">
        <f t="shared" si="115"/>
        <v>2.0383366526353846E-2</v>
      </c>
      <c r="AF203">
        <f t="shared" si="116"/>
        <v>2.2931287342148076E-3</v>
      </c>
      <c r="AG203">
        <f t="shared" si="117"/>
        <v>1.0191683263176923E-2</v>
      </c>
      <c r="AH203">
        <f t="shared" si="118"/>
        <v>2.4143192508792313E-5</v>
      </c>
      <c r="AI203">
        <f t="shared" si="119"/>
        <v>0.1</v>
      </c>
    </row>
    <row r="204" spans="5:35" x14ac:dyDescent="0.25">
      <c r="E204">
        <f t="shared" si="110"/>
        <v>478574.93469344394</v>
      </c>
      <c r="F204">
        <f t="shared" si="90"/>
        <v>0.31861926273775232</v>
      </c>
      <c r="G204">
        <f t="shared" si="91"/>
        <v>1.0913800999976718E-7</v>
      </c>
      <c r="H204">
        <f t="shared" si="92"/>
        <v>3.1212494645613282E-3</v>
      </c>
      <c r="I204">
        <f t="shared" si="93"/>
        <v>3.5114056476314944E-4</v>
      </c>
      <c r="J204">
        <f t="shared" si="94"/>
        <v>1.5606247322806641E-3</v>
      </c>
      <c r="K204">
        <f t="shared" si="95"/>
        <v>7.3668156749842841E-7</v>
      </c>
      <c r="L204">
        <v>203</v>
      </c>
      <c r="M204">
        <f t="shared" si="111"/>
        <v>0.05</v>
      </c>
      <c r="N204">
        <f t="shared" si="96"/>
        <v>0.27748359294405672</v>
      </c>
      <c r="O204">
        <f t="shared" si="97"/>
        <v>9.9024651664984439E-6</v>
      </c>
      <c r="P204">
        <f t="shared" si="98"/>
        <v>2.3710211799555226E-2</v>
      </c>
      <c r="Q204">
        <f t="shared" si="99"/>
        <v>2.6673988274499628E-3</v>
      </c>
      <c r="R204">
        <f t="shared" si="100"/>
        <v>1.1855105899777613E-2</v>
      </c>
      <c r="S204">
        <f t="shared" si="101"/>
        <v>6.6841639873864485E-5</v>
      </c>
      <c r="T204">
        <f t="shared" si="102"/>
        <v>0.1</v>
      </c>
      <c r="U204">
        <f t="shared" si="112"/>
        <v>95714.986938688759</v>
      </c>
      <c r="V204">
        <f t="shared" si="103"/>
        <v>0.51899435336776478</v>
      </c>
      <c r="W204">
        <f t="shared" si="104"/>
        <v>1.7777334126309402E-7</v>
      </c>
      <c r="X204">
        <f t="shared" si="105"/>
        <v>5.0841585459721495E-3</v>
      </c>
      <c r="Y204">
        <f t="shared" si="106"/>
        <v>5.7196783642186693E-4</v>
      </c>
      <c r="Z204">
        <f t="shared" si="107"/>
        <v>2.5420792729860748E-3</v>
      </c>
      <c r="AA204">
        <f t="shared" si="108"/>
        <v>1.1999700535258847E-6</v>
      </c>
      <c r="AB204">
        <f t="shared" si="109"/>
        <v>0.05</v>
      </c>
      <c r="AC204">
        <f t="shared" si="113"/>
        <v>0.50065861884796126</v>
      </c>
      <c r="AD204">
        <f t="shared" si="114"/>
        <v>3.2442351360648351E-6</v>
      </c>
      <c r="AE204">
        <f t="shared" si="115"/>
        <v>1.941248658235915E-2</v>
      </c>
      <c r="AF204">
        <f t="shared" si="116"/>
        <v>2.1839047405154042E-3</v>
      </c>
      <c r="AG204">
        <f t="shared" si="117"/>
        <v>9.7062432911795751E-3</v>
      </c>
      <c r="AH204">
        <f t="shared" si="118"/>
        <v>2.1898587168437636E-5</v>
      </c>
      <c r="AI204">
        <f t="shared" si="119"/>
        <v>0.1</v>
      </c>
    </row>
    <row r="205" spans="5:35" x14ac:dyDescent="0.25">
      <c r="E205">
        <f t="shared" si="110"/>
        <v>502503.68142811616</v>
      </c>
      <c r="F205">
        <f t="shared" si="90"/>
        <v>0.31688996978120249</v>
      </c>
      <c r="G205">
        <f t="shared" si="91"/>
        <v>9.899139226471812E-8</v>
      </c>
      <c r="H205">
        <f t="shared" si="92"/>
        <v>2.9726111125626957E-3</v>
      </c>
      <c r="I205">
        <f t="shared" si="93"/>
        <v>3.3441875016330328E-4</v>
      </c>
      <c r="J205">
        <f t="shared" si="94"/>
        <v>1.4863055562813479E-3</v>
      </c>
      <c r="K205">
        <f t="shared" si="95"/>
        <v>6.6819189778684729E-7</v>
      </c>
      <c r="L205">
        <v>204</v>
      </c>
      <c r="M205">
        <f t="shared" si="111"/>
        <v>0.05</v>
      </c>
      <c r="N205">
        <f t="shared" si="96"/>
        <v>0.27552210372804853</v>
      </c>
      <c r="O205">
        <f t="shared" si="97"/>
        <v>8.9818274872829331E-6</v>
      </c>
      <c r="P205">
        <f t="shared" si="98"/>
        <v>2.2580479632790525E-2</v>
      </c>
      <c r="Q205">
        <f t="shared" si="99"/>
        <v>2.5403039586889341E-3</v>
      </c>
      <c r="R205">
        <f t="shared" si="100"/>
        <v>1.1290239816395263E-2</v>
      </c>
      <c r="S205">
        <f t="shared" si="101"/>
        <v>6.0627335539159799E-5</v>
      </c>
      <c r="T205">
        <f t="shared" si="102"/>
        <v>0.1</v>
      </c>
      <c r="U205">
        <f t="shared" si="112"/>
        <v>100500.73628562321</v>
      </c>
      <c r="V205">
        <f t="shared" si="103"/>
        <v>0.51617753284016621</v>
      </c>
      <c r="W205">
        <f t="shared" si="104"/>
        <v>1.6124566096836546E-7</v>
      </c>
      <c r="X205">
        <f t="shared" si="105"/>
        <v>4.842043663405635E-3</v>
      </c>
      <c r="Y205">
        <f t="shared" si="106"/>
        <v>5.4472991213313387E-4</v>
      </c>
      <c r="Z205">
        <f t="shared" si="107"/>
        <v>2.4210218317028175E-3</v>
      </c>
      <c r="AA205">
        <f t="shared" si="108"/>
        <v>1.0884082115364669E-6</v>
      </c>
      <c r="AB205">
        <f t="shared" si="109"/>
        <v>0.05</v>
      </c>
      <c r="AC205">
        <f t="shared" si="113"/>
        <v>0.49748014052186912</v>
      </c>
      <c r="AD205">
        <f t="shared" si="114"/>
        <v>2.9426168862596453E-6</v>
      </c>
      <c r="AE205">
        <f t="shared" si="115"/>
        <v>1.8487861655054536E-2</v>
      </c>
      <c r="AF205">
        <f t="shared" si="116"/>
        <v>2.0798844361936352E-3</v>
      </c>
      <c r="AG205">
        <f t="shared" si="117"/>
        <v>9.2439308275272681E-3</v>
      </c>
      <c r="AH205">
        <f t="shared" si="118"/>
        <v>1.9862663982252607E-5</v>
      </c>
      <c r="AI205">
        <f t="shared" si="119"/>
        <v>0.1</v>
      </c>
    </row>
    <row r="206" spans="5:35" x14ac:dyDescent="0.25">
      <c r="E206">
        <f t="shared" si="110"/>
        <v>527628.86549952195</v>
      </c>
      <c r="F206">
        <f t="shared" si="90"/>
        <v>0.31517768580466399</v>
      </c>
      <c r="G206">
        <f t="shared" si="91"/>
        <v>8.9788110876872593E-8</v>
      </c>
      <c r="H206">
        <f t="shared" si="92"/>
        <v>2.8310514676755387E-3</v>
      </c>
      <c r="I206">
        <f t="shared" si="93"/>
        <v>3.184932901134981E-4</v>
      </c>
      <c r="J206">
        <f t="shared" si="94"/>
        <v>1.4155257338377694E-3</v>
      </c>
      <c r="K206">
        <f t="shared" si="95"/>
        <v>6.0606974841888994E-7</v>
      </c>
      <c r="L206">
        <v>205</v>
      </c>
      <c r="M206">
        <f t="shared" si="111"/>
        <v>0.05</v>
      </c>
      <c r="N206">
        <f t="shared" si="96"/>
        <v>0.27358627598574364</v>
      </c>
      <c r="O206">
        <f t="shared" si="97"/>
        <v>8.1467820314328341E-6</v>
      </c>
      <c r="P206">
        <f t="shared" si="98"/>
        <v>2.1504606976631136E-2</v>
      </c>
      <c r="Q206">
        <f t="shared" si="99"/>
        <v>2.4192682848710027E-3</v>
      </c>
      <c r="R206">
        <f t="shared" si="100"/>
        <v>1.0752303488315568E-2</v>
      </c>
      <c r="S206">
        <f t="shared" si="101"/>
        <v>5.4990778712171636E-5</v>
      </c>
      <c r="T206">
        <f t="shared" si="102"/>
        <v>0.1</v>
      </c>
      <c r="U206">
        <f t="shared" si="112"/>
        <v>105525.77309990437</v>
      </c>
      <c r="V206">
        <f t="shared" si="103"/>
        <v>0.51338841799648205</v>
      </c>
      <c r="W206">
        <f t="shared" si="104"/>
        <v>1.4625456773782883E-7</v>
      </c>
      <c r="X206">
        <f t="shared" si="105"/>
        <v>4.6114591854619679E-3</v>
      </c>
      <c r="Y206">
        <f t="shared" si="106"/>
        <v>5.1878915836447135E-4</v>
      </c>
      <c r="Z206">
        <f t="shared" si="107"/>
        <v>2.3057295927309839E-3</v>
      </c>
      <c r="AA206">
        <f t="shared" si="108"/>
        <v>9.8721833223034453E-7</v>
      </c>
      <c r="AB206">
        <f t="shared" si="109"/>
        <v>0.05</v>
      </c>
      <c r="AC206">
        <f t="shared" si="113"/>
        <v>0.49433872075060592</v>
      </c>
      <c r="AD206">
        <f t="shared" si="114"/>
        <v>2.6690402454950255E-6</v>
      </c>
      <c r="AE206">
        <f t="shared" si="115"/>
        <v>1.7607287019157061E-2</v>
      </c>
      <c r="AF206">
        <f t="shared" si="116"/>
        <v>1.9808197896551698E-3</v>
      </c>
      <c r="AG206">
        <f t="shared" si="117"/>
        <v>8.8036435095785303E-3</v>
      </c>
      <c r="AH206">
        <f t="shared" si="118"/>
        <v>1.8016021657091422E-5</v>
      </c>
      <c r="AI206">
        <f t="shared" si="119"/>
        <v>0.1</v>
      </c>
    </row>
    <row r="207" spans="5:35" x14ac:dyDescent="0.25">
      <c r="E207">
        <f t="shared" si="110"/>
        <v>554010.30877449806</v>
      </c>
      <c r="F207">
        <f t="shared" si="90"/>
        <v>0.31348216189410993</v>
      </c>
      <c r="G207">
        <f t="shared" si="91"/>
        <v>8.1440463363245625E-8</v>
      </c>
      <c r="H207">
        <f t="shared" si="92"/>
        <v>2.696233384422196E-3</v>
      </c>
      <c r="I207">
        <f t="shared" si="93"/>
        <v>3.0332625574749705E-4</v>
      </c>
      <c r="J207">
        <f t="shared" si="94"/>
        <v>1.348116692211098E-3</v>
      </c>
      <c r="K207">
        <f t="shared" si="95"/>
        <v>5.4972312770190798E-7</v>
      </c>
      <c r="L207">
        <v>206</v>
      </c>
      <c r="M207">
        <f t="shared" si="111"/>
        <v>0.05</v>
      </c>
      <c r="N207">
        <f t="shared" si="96"/>
        <v>0.27167561031350784</v>
      </c>
      <c r="O207">
        <f t="shared" si="97"/>
        <v>7.3893712349871766E-6</v>
      </c>
      <c r="P207">
        <f t="shared" si="98"/>
        <v>2.048002325457568E-2</v>
      </c>
      <c r="Q207">
        <f t="shared" si="99"/>
        <v>2.3040026161397636E-3</v>
      </c>
      <c r="R207">
        <f t="shared" si="100"/>
        <v>1.024001162728784E-2</v>
      </c>
      <c r="S207">
        <f t="shared" si="101"/>
        <v>4.9878255836163444E-5</v>
      </c>
      <c r="T207">
        <f t="shared" si="102"/>
        <v>0.1</v>
      </c>
      <c r="U207">
        <f t="shared" si="112"/>
        <v>110802.06175489959</v>
      </c>
      <c r="V207">
        <f t="shared" si="103"/>
        <v>0.51062660338421906</v>
      </c>
      <c r="W207">
        <f t="shared" si="104"/>
        <v>1.3265720426943514E-7</v>
      </c>
      <c r="X207">
        <f t="shared" si="105"/>
        <v>4.3918559407016521E-3</v>
      </c>
      <c r="Y207">
        <f t="shared" si="106"/>
        <v>4.9408379332893583E-4</v>
      </c>
      <c r="Z207">
        <f t="shared" si="107"/>
        <v>2.195927970350826E-3</v>
      </c>
      <c r="AA207">
        <f t="shared" si="108"/>
        <v>8.9543612881868721E-7</v>
      </c>
      <c r="AB207">
        <f t="shared" si="109"/>
        <v>0.05</v>
      </c>
      <c r="AC207">
        <f t="shared" si="113"/>
        <v>0.49123371664985443</v>
      </c>
      <c r="AD207">
        <f t="shared" si="114"/>
        <v>2.4208981702129088E-6</v>
      </c>
      <c r="AE207">
        <f t="shared" si="115"/>
        <v>1.6768663132146203E-2</v>
      </c>
      <c r="AF207">
        <f t="shared" si="116"/>
        <v>1.8864746023664477E-3</v>
      </c>
      <c r="AG207">
        <f t="shared" si="117"/>
        <v>8.3843315660731017E-3</v>
      </c>
      <c r="AH207">
        <f t="shared" si="118"/>
        <v>1.6341062648937136E-5</v>
      </c>
      <c r="AI207">
        <f t="shared" si="119"/>
        <v>0.1</v>
      </c>
    </row>
    <row r="208" spans="5:35" x14ac:dyDescent="0.25">
      <c r="E208">
        <f t="shared" si="110"/>
        <v>581710.82421322295</v>
      </c>
      <c r="F208">
        <f t="shared" si="90"/>
        <v>0.31180315396878472</v>
      </c>
      <c r="G208">
        <f t="shared" si="91"/>
        <v>7.3868900995647438E-8</v>
      </c>
      <c r="H208">
        <f t="shared" si="92"/>
        <v>2.567835777839637E-3</v>
      </c>
      <c r="I208">
        <f t="shared" si="93"/>
        <v>2.8888152500695913E-4</v>
      </c>
      <c r="J208">
        <f t="shared" si="94"/>
        <v>1.2839178889198185E-3</v>
      </c>
      <c r="K208">
        <f t="shared" si="95"/>
        <v>4.9861508172062011E-7</v>
      </c>
      <c r="L208">
        <v>207</v>
      </c>
      <c r="M208">
        <f t="shared" si="111"/>
        <v>0.05</v>
      </c>
      <c r="N208">
        <f t="shared" si="96"/>
        <v>0.26978962018281477</v>
      </c>
      <c r="O208">
        <f t="shared" si="97"/>
        <v>6.7023773546854388E-6</v>
      </c>
      <c r="P208">
        <f t="shared" si="98"/>
        <v>1.9504280841942563E-2</v>
      </c>
      <c r="Q208">
        <f t="shared" si="99"/>
        <v>2.1942315947185384E-3</v>
      </c>
      <c r="R208">
        <f t="shared" si="100"/>
        <v>9.7521404209712816E-3</v>
      </c>
      <c r="S208">
        <f t="shared" si="101"/>
        <v>4.5241047144126706E-5</v>
      </c>
      <c r="T208">
        <f t="shared" si="102"/>
        <v>0.1</v>
      </c>
      <c r="U208">
        <f t="shared" si="112"/>
        <v>116342.16484264458</v>
      </c>
      <c r="V208">
        <f t="shared" si="103"/>
        <v>0.50789169142373058</v>
      </c>
      <c r="W208">
        <f t="shared" si="104"/>
        <v>1.2032399477924275E-7</v>
      </c>
      <c r="X208">
        <f t="shared" si="105"/>
        <v>4.1827109184274279E-3</v>
      </c>
      <c r="Y208">
        <f t="shared" si="106"/>
        <v>4.7055497832308561E-4</v>
      </c>
      <c r="Z208">
        <f t="shared" si="107"/>
        <v>2.091355459213714E-3</v>
      </c>
      <c r="AA208">
        <f t="shared" si="108"/>
        <v>8.1218696475988868E-7</v>
      </c>
      <c r="AB208">
        <f t="shared" si="109"/>
        <v>0.05</v>
      </c>
      <c r="AC208">
        <f t="shared" si="113"/>
        <v>0.48816450011989537</v>
      </c>
      <c r="AD208">
        <f t="shared" si="114"/>
        <v>2.1958259951503676E-6</v>
      </c>
      <c r="AE208">
        <f t="shared" si="115"/>
        <v>1.5969990607339488E-2</v>
      </c>
      <c r="AF208">
        <f t="shared" si="116"/>
        <v>1.7966239433256923E-3</v>
      </c>
      <c r="AG208">
        <f t="shared" si="117"/>
        <v>7.9849953036697438E-3</v>
      </c>
      <c r="AH208">
        <f t="shared" si="118"/>
        <v>1.4821825467264983E-5</v>
      </c>
      <c r="AI208">
        <f t="shared" si="119"/>
        <v>0.1</v>
      </c>
    </row>
    <row r="209" spans="5:35" x14ac:dyDescent="0.25">
      <c r="E209">
        <f t="shared" si="110"/>
        <v>610796.36542388413</v>
      </c>
      <c r="F209">
        <f t="shared" si="90"/>
        <v>0.3101404226644594</v>
      </c>
      <c r="G209">
        <f t="shared" si="91"/>
        <v>6.7001270732751943E-8</v>
      </c>
      <c r="H209">
        <f t="shared" si="92"/>
        <v>2.4455528581381098E-3</v>
      </c>
      <c r="I209">
        <f t="shared" si="93"/>
        <v>2.751246965405374E-4</v>
      </c>
      <c r="J209">
        <f t="shared" si="94"/>
        <v>1.2227764290690549E-3</v>
      </c>
      <c r="K209">
        <f t="shared" si="95"/>
        <v>4.5225857744607564E-7</v>
      </c>
      <c r="L209">
        <v>208</v>
      </c>
      <c r="M209">
        <f t="shared" si="111"/>
        <v>0.05</v>
      </c>
      <c r="N209">
        <f t="shared" si="96"/>
        <v>0.26792783152798699</v>
      </c>
      <c r="O209">
        <f t="shared" si="97"/>
        <v>6.0792536861269189E-6</v>
      </c>
      <c r="P209">
        <f t="shared" si="98"/>
        <v>1.857504916040955E-2</v>
      </c>
      <c r="Q209">
        <f t="shared" si="99"/>
        <v>2.0896930305460745E-3</v>
      </c>
      <c r="R209">
        <f t="shared" si="100"/>
        <v>9.287524580204775E-3</v>
      </c>
      <c r="S209">
        <f t="shared" si="101"/>
        <v>4.1034962381356708E-5</v>
      </c>
      <c r="T209">
        <f t="shared" si="102"/>
        <v>0.1</v>
      </c>
      <c r="U209">
        <f t="shared" si="112"/>
        <v>122159.27308477681</v>
      </c>
      <c r="V209">
        <f t="shared" si="103"/>
        <v>0.50518329221805247</v>
      </c>
      <c r="W209">
        <f t="shared" si="104"/>
        <v>1.0913741021171145E-7</v>
      </c>
      <c r="X209">
        <f t="shared" si="105"/>
        <v>3.9835260220307143E-3</v>
      </c>
      <c r="Y209">
        <f t="shared" si="106"/>
        <v>4.4814667747845535E-4</v>
      </c>
      <c r="Z209">
        <f t="shared" si="107"/>
        <v>1.9917630110153572E-3</v>
      </c>
      <c r="AA209">
        <f t="shared" si="108"/>
        <v>7.3667751892905226E-7</v>
      </c>
      <c r="AB209">
        <f t="shared" si="109"/>
        <v>0.05</v>
      </c>
      <c r="AC209">
        <f t="shared" si="113"/>
        <v>0.48513045742302796</v>
      </c>
      <c r="AD209">
        <f t="shared" si="114"/>
        <v>1.9916788992861101E-6</v>
      </c>
      <c r="AE209">
        <f t="shared" si="115"/>
        <v>1.5209365428041402E-2</v>
      </c>
      <c r="AF209">
        <f t="shared" si="116"/>
        <v>1.7110536106546578E-3</v>
      </c>
      <c r="AG209">
        <f t="shared" si="117"/>
        <v>7.6046827140207008E-3</v>
      </c>
      <c r="AH209">
        <f t="shared" si="118"/>
        <v>1.3443832570181242E-5</v>
      </c>
      <c r="AI209">
        <f t="shared" si="119"/>
        <v>0.1</v>
      </c>
    </row>
    <row r="210" spans="5:35" x14ac:dyDescent="0.25">
      <c r="E210">
        <f t="shared" si="110"/>
        <v>641336.18369507836</v>
      </c>
      <c r="F210">
        <f t="shared" si="90"/>
        <v>0.30849373322005302</v>
      </c>
      <c r="G210">
        <f t="shared" si="91"/>
        <v>6.07721276392117E-8</v>
      </c>
      <c r="H210">
        <f t="shared" si="92"/>
        <v>2.3290934018562279E-3</v>
      </c>
      <c r="I210">
        <f t="shared" si="93"/>
        <v>2.6202300770882567E-4</v>
      </c>
      <c r="J210">
        <f t="shared" si="94"/>
        <v>1.164546700928114E-3</v>
      </c>
      <c r="K210">
        <f t="shared" si="95"/>
        <v>4.1021186156467895E-7</v>
      </c>
      <c r="L210">
        <v>209</v>
      </c>
      <c r="M210">
        <f t="shared" si="111"/>
        <v>0.05</v>
      </c>
      <c r="N210">
        <f t="shared" si="96"/>
        <v>0.26608978234967623</v>
      </c>
      <c r="O210">
        <f t="shared" si="97"/>
        <v>5.5140621766712222E-6</v>
      </c>
      <c r="P210">
        <f t="shared" si="98"/>
        <v>1.7690109058483502E-2</v>
      </c>
      <c r="Q210">
        <f t="shared" si="99"/>
        <v>1.9901372690793941E-3</v>
      </c>
      <c r="R210">
        <f t="shared" si="100"/>
        <v>8.8450545292417509E-3</v>
      </c>
      <c r="S210">
        <f t="shared" si="101"/>
        <v>3.7219919692530754E-5</v>
      </c>
      <c r="T210">
        <f t="shared" si="102"/>
        <v>0.1</v>
      </c>
      <c r="U210">
        <f t="shared" si="112"/>
        <v>128267.23673901566</v>
      </c>
      <c r="V210">
        <f t="shared" si="103"/>
        <v>0.50250102336822267</v>
      </c>
      <c r="W210">
        <f t="shared" si="104"/>
        <v>9.899084824904662E-8</v>
      </c>
      <c r="X210">
        <f t="shared" si="105"/>
        <v>3.7938268817865636E-3</v>
      </c>
      <c r="Y210">
        <f t="shared" si="106"/>
        <v>4.2680552420098838E-4</v>
      </c>
      <c r="Z210">
        <f t="shared" si="107"/>
        <v>1.8969134408932818E-3</v>
      </c>
      <c r="AA210">
        <f t="shared" si="108"/>
        <v>6.6818822568106465E-7</v>
      </c>
      <c r="AB210">
        <f t="shared" si="109"/>
        <v>0.05</v>
      </c>
      <c r="AC210">
        <f t="shared" si="113"/>
        <v>0.48213098877540256</v>
      </c>
      <c r="AD210">
        <f t="shared" si="114"/>
        <v>1.8065114667926874E-6</v>
      </c>
      <c r="AE210">
        <f t="shared" si="115"/>
        <v>1.4484974391127942E-2</v>
      </c>
      <c r="AF210">
        <f t="shared" si="116"/>
        <v>1.6295596190018936E-3</v>
      </c>
      <c r="AG210">
        <f t="shared" si="117"/>
        <v>7.242487195563971E-3</v>
      </c>
      <c r="AH210">
        <f t="shared" si="118"/>
        <v>1.2193952400850642E-5</v>
      </c>
      <c r="AI210">
        <f t="shared" si="119"/>
        <v>0.1</v>
      </c>
    </row>
    <row r="211" spans="5:35" x14ac:dyDescent="0.25">
      <c r="E211">
        <f t="shared" si="110"/>
        <v>673402.99287983228</v>
      </c>
      <c r="F211">
        <f t="shared" si="90"/>
        <v>0.30686285536750951</v>
      </c>
      <c r="G211">
        <f t="shared" si="91"/>
        <v>5.5122111229529274E-8</v>
      </c>
      <c r="H211">
        <f t="shared" si="92"/>
        <v>2.2181800577697518E-3</v>
      </c>
      <c r="I211">
        <f t="shared" si="93"/>
        <v>2.4954525649909708E-4</v>
      </c>
      <c r="J211">
        <f t="shared" si="94"/>
        <v>1.1090900288848759E-3</v>
      </c>
      <c r="K211">
        <f t="shared" si="95"/>
        <v>3.7207425079932263E-7</v>
      </c>
      <c r="L211">
        <v>210</v>
      </c>
      <c r="M211">
        <f t="shared" si="111"/>
        <v>0.05</v>
      </c>
      <c r="N211">
        <f t="shared" si="96"/>
        <v>0.26427502233338784</v>
      </c>
      <c r="O211">
        <f t="shared" si="97"/>
        <v>5.0014168385472108E-6</v>
      </c>
      <c r="P211">
        <f t="shared" si="98"/>
        <v>1.6847347463844222E-2</v>
      </c>
      <c r="Q211">
        <f t="shared" si="99"/>
        <v>1.8953265896824753E-3</v>
      </c>
      <c r="R211">
        <f t="shared" si="100"/>
        <v>8.423673731922111E-3</v>
      </c>
      <c r="S211">
        <f t="shared" si="101"/>
        <v>3.3759563660193674E-5</v>
      </c>
      <c r="T211">
        <f t="shared" si="102"/>
        <v>0.1</v>
      </c>
      <c r="U211">
        <f t="shared" si="112"/>
        <v>134680.59857596643</v>
      </c>
      <c r="V211">
        <f t="shared" si="103"/>
        <v>0.49984450979390282</v>
      </c>
      <c r="W211">
        <f t="shared" si="104"/>
        <v>8.9787617446664425E-8</v>
      </c>
      <c r="X211">
        <f t="shared" si="105"/>
        <v>3.6131617242584203E-3</v>
      </c>
      <c r="Y211">
        <f t="shared" si="106"/>
        <v>4.0648069397907226E-4</v>
      </c>
      <c r="Z211">
        <f t="shared" si="107"/>
        <v>1.8065808621292102E-3</v>
      </c>
      <c r="AA211">
        <f t="shared" si="108"/>
        <v>6.0606641776498494E-7</v>
      </c>
      <c r="AB211">
        <f t="shared" si="109"/>
        <v>0.05</v>
      </c>
      <c r="AC211">
        <f t="shared" si="113"/>
        <v>0.47916550795269763</v>
      </c>
      <c r="AD211">
        <f t="shared" si="114"/>
        <v>1.6385591482201289E-6</v>
      </c>
      <c r="AE211">
        <f t="shared" si="115"/>
        <v>1.3795090768998123E-2</v>
      </c>
      <c r="AF211">
        <f t="shared" si="116"/>
        <v>1.5519477115122887E-3</v>
      </c>
      <c r="AG211">
        <f t="shared" si="117"/>
        <v>6.8975453844990616E-3</v>
      </c>
      <c r="AH211">
        <f t="shared" si="118"/>
        <v>1.1060274250485869E-5</v>
      </c>
      <c r="AI211">
        <f t="shared" si="119"/>
        <v>0.1</v>
      </c>
    </row>
    <row r="212" spans="5:35" x14ac:dyDescent="0.25">
      <c r="E212">
        <f t="shared" si="110"/>
        <v>707073.14252382389</v>
      </c>
      <c r="F212">
        <f t="shared" si="90"/>
        <v>0.30524756322482055</v>
      </c>
      <c r="G212">
        <f t="shared" si="91"/>
        <v>4.9997379793567559E-8</v>
      </c>
      <c r="H212">
        <f t="shared" si="92"/>
        <v>2.1125486858947938E-3</v>
      </c>
      <c r="I212">
        <f t="shared" si="93"/>
        <v>2.3766172716316433E-4</v>
      </c>
      <c r="J212">
        <f t="shared" si="94"/>
        <v>1.0562743429473969E-3</v>
      </c>
      <c r="K212">
        <f t="shared" si="95"/>
        <v>3.3748231360658105E-7</v>
      </c>
      <c r="L212">
        <v>211</v>
      </c>
      <c r="M212">
        <f t="shared" si="111"/>
        <v>0.05</v>
      </c>
      <c r="N212">
        <f t="shared" si="96"/>
        <v>0.26248311248238626</v>
      </c>
      <c r="O212">
        <f t="shared" si="97"/>
        <v>4.5364324229136262E-6</v>
      </c>
      <c r="P212">
        <f t="shared" si="98"/>
        <v>1.6044752294216882E-2</v>
      </c>
      <c r="Q212">
        <f t="shared" si="99"/>
        <v>1.8050346330993991E-3</v>
      </c>
      <c r="R212">
        <f t="shared" si="100"/>
        <v>8.0223761471084412E-3</v>
      </c>
      <c r="S212">
        <f t="shared" si="101"/>
        <v>3.0620918854666977E-5</v>
      </c>
      <c r="T212">
        <f t="shared" si="102"/>
        <v>0.1</v>
      </c>
      <c r="U212">
        <f t="shared" si="112"/>
        <v>141414.62850476475</v>
      </c>
      <c r="V212">
        <f t="shared" si="103"/>
        <v>0.49721338355912498</v>
      </c>
      <c r="W212">
        <f t="shared" si="104"/>
        <v>8.1440015814117943E-8</v>
      </c>
      <c r="X212">
        <f t="shared" si="105"/>
        <v>3.4411002956099067E-3</v>
      </c>
      <c r="Y212">
        <f t="shared" si="106"/>
        <v>3.8712378325611449E-4</v>
      </c>
      <c r="Z212">
        <f t="shared" si="107"/>
        <v>1.7205501478049533E-3</v>
      </c>
      <c r="AA212">
        <f t="shared" si="108"/>
        <v>5.4972010674529613E-7</v>
      </c>
      <c r="AB212">
        <f t="shared" si="109"/>
        <v>0.05</v>
      </c>
      <c r="AC212">
        <f t="shared" si="113"/>
        <v>0.47623344190908967</v>
      </c>
      <c r="AD212">
        <f t="shared" si="114"/>
        <v>1.4862214452450265E-6</v>
      </c>
      <c r="AE212">
        <f t="shared" si="115"/>
        <v>1.3138070179364119E-2</v>
      </c>
      <c r="AF212">
        <f t="shared" si="116"/>
        <v>1.4780328951784633E-3</v>
      </c>
      <c r="AG212">
        <f t="shared" si="117"/>
        <v>6.5690350896820595E-3</v>
      </c>
      <c r="AH212">
        <f t="shared" si="118"/>
        <v>1.003199475540393E-5</v>
      </c>
      <c r="AI212">
        <f t="shared" si="119"/>
        <v>0.1</v>
      </c>
    </row>
    <row r="213" spans="5:35" x14ac:dyDescent="0.25">
      <c r="E213">
        <f t="shared" si="110"/>
        <v>742426.79965001508</v>
      </c>
      <c r="F213">
        <f t="shared" si="90"/>
        <v>0.30364763519209209</v>
      </c>
      <c r="G213">
        <f t="shared" si="91"/>
        <v>4.5349097313114787E-8</v>
      </c>
      <c r="H213">
        <f t="shared" si="92"/>
        <v>2.0119477280055617E-3</v>
      </c>
      <c r="I213">
        <f t="shared" si="93"/>
        <v>2.2634411940062568E-4</v>
      </c>
      <c r="J213">
        <f t="shared" si="94"/>
        <v>1.0059738640027808E-3</v>
      </c>
      <c r="K213">
        <f t="shared" si="95"/>
        <v>3.061064068635248E-7</v>
      </c>
      <c r="L213">
        <v>212</v>
      </c>
      <c r="M213">
        <f t="shared" si="111"/>
        <v>0.05</v>
      </c>
      <c r="N213">
        <f t="shared" si="96"/>
        <v>0.26071362476435178</v>
      </c>
      <c r="O213">
        <f t="shared" si="97"/>
        <v>4.1146778657510957E-6</v>
      </c>
      <c r="P213">
        <f t="shared" si="98"/>
        <v>1.5280407614100329E-2</v>
      </c>
      <c r="Q213">
        <f t="shared" si="99"/>
        <v>1.7190458565862871E-3</v>
      </c>
      <c r="R213">
        <f t="shared" si="100"/>
        <v>7.6402038070501645E-3</v>
      </c>
      <c r="S213">
        <f t="shared" si="101"/>
        <v>2.7774075593819895E-5</v>
      </c>
      <c r="T213">
        <f t="shared" si="102"/>
        <v>0.1</v>
      </c>
      <c r="U213">
        <f t="shared" si="112"/>
        <v>148485.359930003</v>
      </c>
      <c r="V213">
        <f t="shared" si="103"/>
        <v>0.49460728370299567</v>
      </c>
      <c r="W213">
        <f t="shared" si="104"/>
        <v>7.38684950608391E-8</v>
      </c>
      <c r="X213">
        <f t="shared" si="105"/>
        <v>3.2772328362501955E-3</v>
      </c>
      <c r="Y213">
        <f t="shared" si="106"/>
        <v>3.6868869407814694E-4</v>
      </c>
      <c r="Z213">
        <f t="shared" si="107"/>
        <v>1.6386164181250978E-3</v>
      </c>
      <c r="AA213">
        <f t="shared" si="108"/>
        <v>4.9861234166066395E-7</v>
      </c>
      <c r="AB213">
        <f t="shared" si="109"/>
        <v>0.05</v>
      </c>
      <c r="AC213">
        <f t="shared" si="113"/>
        <v>0.47333423040900297</v>
      </c>
      <c r="AD213">
        <f t="shared" si="114"/>
        <v>1.3480466587439583E-6</v>
      </c>
      <c r="AE213">
        <f t="shared" si="115"/>
        <v>1.2512346652865278E-2</v>
      </c>
      <c r="AF213">
        <f t="shared" si="116"/>
        <v>1.4076389984473436E-3</v>
      </c>
      <c r="AG213">
        <f t="shared" si="117"/>
        <v>6.256173326432639E-3</v>
      </c>
      <c r="AH213">
        <f t="shared" si="118"/>
        <v>9.0993149465217182E-6</v>
      </c>
      <c r="AI213">
        <f t="shared" si="119"/>
        <v>0.1</v>
      </c>
    </row>
    <row r="214" spans="5:35" x14ac:dyDescent="0.25">
      <c r="E214">
        <f t="shared" si="110"/>
        <v>779548.13963251584</v>
      </c>
      <c r="F214">
        <f t="shared" si="90"/>
        <v>0.3020628538505491</v>
      </c>
      <c r="G214">
        <f t="shared" si="91"/>
        <v>4.1132968080086136E-8</v>
      </c>
      <c r="H214">
        <f t="shared" si="92"/>
        <v>1.9161376081623723E-3</v>
      </c>
      <c r="I214">
        <f t="shared" si="93"/>
        <v>2.1556548091826688E-4</v>
      </c>
      <c r="J214">
        <f t="shared" si="94"/>
        <v>9.5806880408118615E-4</v>
      </c>
      <c r="K214">
        <f t="shared" si="95"/>
        <v>2.7764753454058146E-7</v>
      </c>
      <c r="L214">
        <v>213</v>
      </c>
      <c r="M214">
        <f t="shared" si="111"/>
        <v>0.05</v>
      </c>
      <c r="N214">
        <f t="shared" si="96"/>
        <v>0.25896614177119698</v>
      </c>
      <c r="O214">
        <f t="shared" si="97"/>
        <v>3.7321340619401562E-6</v>
      </c>
      <c r="P214">
        <f t="shared" si="98"/>
        <v>1.4552489025315876E-2</v>
      </c>
      <c r="Q214">
        <f t="shared" si="99"/>
        <v>1.6371550153480362E-3</v>
      </c>
      <c r="R214">
        <f t="shared" si="100"/>
        <v>7.2762445126579381E-3</v>
      </c>
      <c r="S214">
        <f t="shared" si="101"/>
        <v>2.5191904918096053E-5</v>
      </c>
      <c r="T214">
        <f t="shared" si="102"/>
        <v>0.1</v>
      </c>
      <c r="U214">
        <f t="shared" si="112"/>
        <v>155909.62792650316</v>
      </c>
      <c r="V214">
        <f t="shared" si="103"/>
        <v>0.49202585607518651</v>
      </c>
      <c r="W214">
        <f t="shared" si="104"/>
        <v>6.700090254239291E-8</v>
      </c>
      <c r="X214">
        <f t="shared" si="105"/>
        <v>3.1211691043626743E-3</v>
      </c>
      <c r="Y214">
        <f t="shared" si="106"/>
        <v>3.5113152424080086E-4</v>
      </c>
      <c r="Z214">
        <f t="shared" si="107"/>
        <v>1.5605845521813372E-3</v>
      </c>
      <c r="AA214">
        <f t="shared" si="108"/>
        <v>4.5225609216115211E-7</v>
      </c>
      <c r="AB214">
        <f t="shared" si="109"/>
        <v>0.05</v>
      </c>
      <c r="AC214">
        <f t="shared" si="113"/>
        <v>0.47046732567113658</v>
      </c>
      <c r="AD214">
        <f t="shared" si="114"/>
        <v>1.2227180548478516E-6</v>
      </c>
      <c r="AE214">
        <f t="shared" si="115"/>
        <v>1.1916428888978911E-2</v>
      </c>
      <c r="AF214">
        <f t="shared" si="116"/>
        <v>1.3405982500101275E-3</v>
      </c>
      <c r="AG214">
        <f t="shared" si="117"/>
        <v>5.9582144444894555E-3</v>
      </c>
      <c r="AH214">
        <f t="shared" si="118"/>
        <v>8.2533468702229986E-6</v>
      </c>
      <c r="AI214">
        <f t="shared" si="119"/>
        <v>0.1</v>
      </c>
    </row>
    <row r="215" spans="5:35" x14ac:dyDescent="0.25">
      <c r="E215">
        <f t="shared" si="110"/>
        <v>818525.54661414167</v>
      </c>
      <c r="F215">
        <f t="shared" si="90"/>
        <v>0.30049300586438871</v>
      </c>
      <c r="G215">
        <f t="shared" si="91"/>
        <v>3.7308814581515528E-8</v>
      </c>
      <c r="H215">
        <f t="shared" si="92"/>
        <v>1.8248901618176249E-3</v>
      </c>
      <c r="I215">
        <f t="shared" si="93"/>
        <v>2.0530014320448281E-4</v>
      </c>
      <c r="J215">
        <f t="shared" si="94"/>
        <v>9.1244508090881243E-4</v>
      </c>
      <c r="K215">
        <f t="shared" si="95"/>
        <v>2.5183449842522987E-7</v>
      </c>
      <c r="L215">
        <v>214</v>
      </c>
      <c r="M215">
        <f t="shared" si="111"/>
        <v>0.05</v>
      </c>
      <c r="N215">
        <f t="shared" si="96"/>
        <v>0.25724025639146431</v>
      </c>
      <c r="O215">
        <f t="shared" si="97"/>
        <v>3.385155565126943E-6</v>
      </c>
      <c r="P215">
        <f t="shared" si="98"/>
        <v>1.3859259279944863E-2</v>
      </c>
      <c r="Q215">
        <f t="shared" si="99"/>
        <v>1.5591666689937971E-3</v>
      </c>
      <c r="R215">
        <f t="shared" si="100"/>
        <v>6.9296296399724315E-3</v>
      </c>
      <c r="S215">
        <f t="shared" si="101"/>
        <v>2.2849800064606865E-5</v>
      </c>
      <c r="T215">
        <f t="shared" si="102"/>
        <v>0.1</v>
      </c>
      <c r="U215">
        <f t="shared" si="112"/>
        <v>163705.10932282833</v>
      </c>
      <c r="V215">
        <f t="shared" si="103"/>
        <v>0.48946875317606398</v>
      </c>
      <c r="W215">
        <f t="shared" si="104"/>
        <v>6.0771793683386764E-8</v>
      </c>
      <c r="X215">
        <f t="shared" si="105"/>
        <v>2.9725374459838444E-3</v>
      </c>
      <c r="Y215">
        <f t="shared" si="106"/>
        <v>3.3441046267318253E-4</v>
      </c>
      <c r="Z215">
        <f t="shared" si="107"/>
        <v>1.4862687229919222E-3</v>
      </c>
      <c r="AA215">
        <f t="shared" si="108"/>
        <v>4.1020960736286073E-7</v>
      </c>
      <c r="AB215">
        <f t="shared" si="109"/>
        <v>0.05</v>
      </c>
      <c r="AC215">
        <f t="shared" si="113"/>
        <v>0.46763219202429845</v>
      </c>
      <c r="AD215">
        <f t="shared" si="114"/>
        <v>1.1090413171466285E-6</v>
      </c>
      <c r="AE215">
        <f t="shared" si="115"/>
        <v>1.1348896691164616E-2</v>
      </c>
      <c r="AF215">
        <f t="shared" si="116"/>
        <v>1.2767508777560192E-3</v>
      </c>
      <c r="AG215">
        <f t="shared" si="117"/>
        <v>5.6744483455823079E-3</v>
      </c>
      <c r="AH215">
        <f t="shared" si="118"/>
        <v>7.4860288907397422E-6</v>
      </c>
      <c r="AI215">
        <f t="shared" si="119"/>
        <v>0.1</v>
      </c>
    </row>
    <row r="216" spans="5:35" x14ac:dyDescent="0.25">
      <c r="E216">
        <f t="shared" si="110"/>
        <v>859451.82394484885</v>
      </c>
      <c r="F216">
        <f t="shared" si="90"/>
        <v>0.29893788188538373</v>
      </c>
      <c r="G216">
        <f t="shared" si="91"/>
        <v>3.3840194628801175E-8</v>
      </c>
      <c r="H216">
        <f t="shared" si="92"/>
        <v>1.7379880921359347E-3</v>
      </c>
      <c r="I216">
        <f t="shared" si="93"/>
        <v>1.9552366036529269E-4</v>
      </c>
      <c r="J216">
        <f t="shared" si="94"/>
        <v>8.6899404606796736E-4</v>
      </c>
      <c r="K216">
        <f t="shared" si="95"/>
        <v>2.2842131374440795E-7</v>
      </c>
      <c r="L216">
        <v>215</v>
      </c>
      <c r="M216">
        <f t="shared" si="111"/>
        <v>0.05</v>
      </c>
      <c r="N216">
        <f t="shared" si="96"/>
        <v>0.25553557149477824</v>
      </c>
      <c r="O216">
        <f t="shared" si="97"/>
        <v>3.0704358483901623E-6</v>
      </c>
      <c r="P216">
        <f t="shared" si="98"/>
        <v>1.3199064104795457E-2</v>
      </c>
      <c r="Q216">
        <f t="shared" si="99"/>
        <v>1.4848947117894887E-3</v>
      </c>
      <c r="R216">
        <f t="shared" si="100"/>
        <v>6.5995320523977285E-3</v>
      </c>
      <c r="S216">
        <f t="shared" si="101"/>
        <v>2.0725441976633595E-5</v>
      </c>
      <c r="T216">
        <f t="shared" si="102"/>
        <v>0.1</v>
      </c>
      <c r="U216">
        <f t="shared" si="112"/>
        <v>171890.36478896975</v>
      </c>
      <c r="V216">
        <f t="shared" si="103"/>
        <v>0.48693563400129924</v>
      </c>
      <c r="W216">
        <f t="shared" si="104"/>
        <v>5.5121808324782754E-8</v>
      </c>
      <c r="X216">
        <f t="shared" si="105"/>
        <v>2.8309839094109758E-3</v>
      </c>
      <c r="Y216">
        <f t="shared" si="106"/>
        <v>3.1848568980873479E-4</v>
      </c>
      <c r="Z216">
        <f t="shared" si="107"/>
        <v>1.4154919547054879E-3</v>
      </c>
      <c r="AA216">
        <f t="shared" si="108"/>
        <v>3.720722061922836E-7</v>
      </c>
      <c r="AB216">
        <f t="shared" si="109"/>
        <v>0.05</v>
      </c>
      <c r="AC216">
        <f t="shared" si="113"/>
        <v>0.46482830557458538</v>
      </c>
      <c r="AD216">
        <f t="shared" si="114"/>
        <v>1.0059331654698592E-6</v>
      </c>
      <c r="AE216">
        <f t="shared" si="115"/>
        <v>1.0808397572619277E-2</v>
      </c>
      <c r="AF216">
        <f t="shared" si="116"/>
        <v>1.2159447269196688E-3</v>
      </c>
      <c r="AG216">
        <f t="shared" si="117"/>
        <v>5.4041987863096387E-3</v>
      </c>
      <c r="AH216">
        <f t="shared" si="118"/>
        <v>6.7900488669215501E-6</v>
      </c>
      <c r="AI216">
        <f t="shared" si="119"/>
        <v>0.1</v>
      </c>
    </row>
    <row r="217" spans="5:35" x14ac:dyDescent="0.25">
      <c r="E217">
        <f t="shared" si="110"/>
        <v>902424.41514209134</v>
      </c>
      <c r="F217">
        <f t="shared" si="90"/>
        <v>0.29739727646014696</v>
      </c>
      <c r="G217">
        <f t="shared" si="91"/>
        <v>3.0694054082646084E-8</v>
      </c>
      <c r="H217">
        <f t="shared" si="92"/>
        <v>1.6552244522298443E-3</v>
      </c>
      <c r="I217">
        <f t="shared" si="93"/>
        <v>1.8621275087585748E-4</v>
      </c>
      <c r="J217">
        <f t="shared" si="94"/>
        <v>8.2761222611492217E-4</v>
      </c>
      <c r="K217">
        <f t="shared" si="95"/>
        <v>2.0718486505786108E-7</v>
      </c>
      <c r="L217">
        <v>216</v>
      </c>
      <c r="M217">
        <f t="shared" si="111"/>
        <v>0.05</v>
      </c>
      <c r="N217">
        <f t="shared" si="96"/>
        <v>0.25385169962782683</v>
      </c>
      <c r="O217">
        <f t="shared" si="97"/>
        <v>2.7849757946566387E-6</v>
      </c>
      <c r="P217">
        <f t="shared" si="98"/>
        <v>1.2570328227081479E-2</v>
      </c>
      <c r="Q217">
        <f t="shared" si="99"/>
        <v>1.4141619255466662E-3</v>
      </c>
      <c r="R217">
        <f t="shared" si="100"/>
        <v>6.2851641135407395E-3</v>
      </c>
      <c r="S217">
        <f t="shared" si="101"/>
        <v>1.8798586613932311E-5</v>
      </c>
      <c r="T217">
        <f t="shared" si="102"/>
        <v>0.1</v>
      </c>
      <c r="U217">
        <f t="shared" si="112"/>
        <v>180484.88302841823</v>
      </c>
      <c r="V217">
        <f t="shared" si="103"/>
        <v>0.48442616389081283</v>
      </c>
      <c r="W217">
        <f t="shared" si="104"/>
        <v>4.9997105052527039E-8</v>
      </c>
      <c r="X217">
        <f t="shared" si="105"/>
        <v>2.6961714018232654E-3</v>
      </c>
      <c r="Y217">
        <f t="shared" si="106"/>
        <v>3.0331928270511743E-4</v>
      </c>
      <c r="Z217">
        <f t="shared" si="107"/>
        <v>1.3480857009116327E-3</v>
      </c>
      <c r="AA217">
        <f t="shared" si="108"/>
        <v>3.3748045910455753E-7</v>
      </c>
      <c r="AB217">
        <f t="shared" si="109"/>
        <v>0.05</v>
      </c>
      <c r="AC217">
        <f t="shared" si="113"/>
        <v>0.46205515388348462</v>
      </c>
      <c r="AD217">
        <f t="shared" si="114"/>
        <v>9.1241103278608738E-7</v>
      </c>
      <c r="AE217">
        <f t="shared" si="115"/>
        <v>1.0293643524438883E-2</v>
      </c>
      <c r="AF217">
        <f t="shared" si="116"/>
        <v>1.1580348964993744E-3</v>
      </c>
      <c r="AG217">
        <f t="shared" si="117"/>
        <v>5.1468217622194414E-3</v>
      </c>
      <c r="AH217">
        <f t="shared" si="118"/>
        <v>6.1587744713060902E-6</v>
      </c>
      <c r="AI217">
        <f t="shared" si="119"/>
        <v>0.1</v>
      </c>
    </row>
    <row r="218" spans="5:35" x14ac:dyDescent="0.25">
      <c r="E218">
        <f t="shared" si="110"/>
        <v>947545.63589919591</v>
      </c>
      <c r="F218">
        <f t="shared" si="90"/>
        <v>0.29587098793997429</v>
      </c>
      <c r="G218">
        <f t="shared" si="91"/>
        <v>2.7840411864342931E-8</v>
      </c>
      <c r="H218">
        <f t="shared" si="92"/>
        <v>1.5764021520746094E-3</v>
      </c>
      <c r="I218">
        <f t="shared" si="93"/>
        <v>1.7734524210839356E-4</v>
      </c>
      <c r="J218">
        <f t="shared" si="94"/>
        <v>7.8820107603730469E-4</v>
      </c>
      <c r="K218">
        <f t="shared" si="95"/>
        <v>1.8792278008431478E-7</v>
      </c>
      <c r="L218">
        <v>217</v>
      </c>
      <c r="M218">
        <f t="shared" si="111"/>
        <v>0.05</v>
      </c>
      <c r="N218">
        <f t="shared" si="96"/>
        <v>0.25218826272138745</v>
      </c>
      <c r="O218">
        <f t="shared" si="97"/>
        <v>2.526055116591426E-6</v>
      </c>
      <c r="P218">
        <f t="shared" si="98"/>
        <v>1.1971551591510084E-2</v>
      </c>
      <c r="Q218">
        <f t="shared" si="99"/>
        <v>1.3467995540448845E-3</v>
      </c>
      <c r="R218">
        <f t="shared" si="100"/>
        <v>5.9857757957550422E-3</v>
      </c>
      <c r="S218">
        <f t="shared" si="101"/>
        <v>1.7050872036992121E-5</v>
      </c>
      <c r="T218">
        <f t="shared" si="102"/>
        <v>0.1</v>
      </c>
      <c r="U218">
        <f t="shared" si="112"/>
        <v>189509.12717983915</v>
      </c>
      <c r="V218">
        <f t="shared" si="103"/>
        <v>0.48194001438191875</v>
      </c>
      <c r="W218">
        <f t="shared" si="104"/>
        <v>4.5348848116943707E-8</v>
      </c>
      <c r="X218">
        <f t="shared" si="105"/>
        <v>2.5677788861024039E-3</v>
      </c>
      <c r="Y218">
        <f t="shared" si="106"/>
        <v>2.8887512468652046E-4</v>
      </c>
      <c r="Z218">
        <f t="shared" si="107"/>
        <v>1.2838894430512019E-3</v>
      </c>
      <c r="AA218">
        <f t="shared" si="108"/>
        <v>3.0610472478937002E-7</v>
      </c>
      <c r="AB218">
        <f t="shared" si="109"/>
        <v>0.05</v>
      </c>
      <c r="AC218">
        <f t="shared" si="113"/>
        <v>0.45931223565647245</v>
      </c>
      <c r="AD218">
        <f t="shared" si="114"/>
        <v>8.2758370184683705E-7</v>
      </c>
      <c r="AE218">
        <f t="shared" si="115"/>
        <v>9.8034079383811663E-3</v>
      </c>
      <c r="AF218">
        <f t="shared" si="116"/>
        <v>1.1028833930678812E-3</v>
      </c>
      <c r="AG218">
        <f t="shared" si="117"/>
        <v>4.9017039691905831E-3</v>
      </c>
      <c r="AH218">
        <f t="shared" si="118"/>
        <v>5.5861899874661504E-6</v>
      </c>
      <c r="AI218">
        <f t="shared" si="119"/>
        <v>0.1</v>
      </c>
    </row>
    <row r="219" spans="5:35" x14ac:dyDescent="0.25">
      <c r="E219">
        <f t="shared" si="110"/>
        <v>994922.91769415571</v>
      </c>
      <c r="F219">
        <f t="shared" si="90"/>
        <v>0.29435881839317884</v>
      </c>
      <c r="G219">
        <f t="shared" si="91"/>
        <v>2.5252074251724623E-8</v>
      </c>
      <c r="H219">
        <f t="shared" si="92"/>
        <v>1.5013334889246712E-3</v>
      </c>
      <c r="I219">
        <f t="shared" si="93"/>
        <v>1.689000175040255E-4</v>
      </c>
      <c r="J219">
        <f t="shared" si="94"/>
        <v>7.5066674446233562E-4</v>
      </c>
      <c r="K219">
        <f t="shared" si="95"/>
        <v>1.7045150119914119E-7</v>
      </c>
      <c r="L219">
        <v>218</v>
      </c>
      <c r="M219">
        <f t="shared" si="111"/>
        <v>0.05</v>
      </c>
      <c r="N219">
        <f t="shared" si="96"/>
        <v>0.25054489180793693</v>
      </c>
      <c r="O219">
        <f t="shared" si="97"/>
        <v>2.2912064336055596E-6</v>
      </c>
      <c r="P219">
        <f t="shared" si="98"/>
        <v>1.1401305759462729E-2</v>
      </c>
      <c r="Q219">
        <f t="shared" si="99"/>
        <v>1.2826468979395568E-3</v>
      </c>
      <c r="R219">
        <f t="shared" si="100"/>
        <v>5.7006528797313646E-3</v>
      </c>
      <c r="S219">
        <f t="shared" si="101"/>
        <v>1.5465643426837528E-5</v>
      </c>
      <c r="T219">
        <f t="shared" si="102"/>
        <v>0.1</v>
      </c>
      <c r="U219">
        <f t="shared" si="112"/>
        <v>198984.58353883112</v>
      </c>
      <c r="V219">
        <f t="shared" si="103"/>
        <v>0.47947686306652731</v>
      </c>
      <c r="W219">
        <f t="shared" si="104"/>
        <v>4.1132742053500923E-8</v>
      </c>
      <c r="X219">
        <f t="shared" si="105"/>
        <v>2.4455006159346897E-3</v>
      </c>
      <c r="Y219">
        <f t="shared" si="106"/>
        <v>2.7511881929265258E-4</v>
      </c>
      <c r="Z219">
        <f t="shared" si="107"/>
        <v>1.2227503079673449E-3</v>
      </c>
      <c r="AA219">
        <f t="shared" si="108"/>
        <v>2.776460088611312E-7</v>
      </c>
      <c r="AB219">
        <f t="shared" si="109"/>
        <v>0.05</v>
      </c>
      <c r="AC219">
        <f t="shared" si="113"/>
        <v>0.45659906044171616</v>
      </c>
      <c r="AD219">
        <f t="shared" si="114"/>
        <v>7.5064281234723347E-7</v>
      </c>
      <c r="AE219">
        <f t="shared" si="115"/>
        <v>9.3365226768017204E-3</v>
      </c>
      <c r="AF219">
        <f t="shared" si="116"/>
        <v>1.0503588011401936E-3</v>
      </c>
      <c r="AG219">
        <f t="shared" si="117"/>
        <v>4.6682613384008602E-3</v>
      </c>
      <c r="AH219">
        <f t="shared" si="118"/>
        <v>5.0668389833438251E-6</v>
      </c>
      <c r="AI219">
        <f t="shared" si="119"/>
        <v>0.1</v>
      </c>
    </row>
    <row r="220" spans="5:35" x14ac:dyDescent="0.25">
      <c r="E220">
        <f t="shared" si="110"/>
        <v>1044669.0635788635</v>
      </c>
      <c r="F220">
        <f t="shared" si="90"/>
        <v>0.29286057351983796</v>
      </c>
      <c r="G220">
        <f t="shared" si="91"/>
        <v>2.2904375737170208E-8</v>
      </c>
      <c r="H220">
        <f t="shared" si="92"/>
        <v>1.4298397001106951E-3</v>
      </c>
      <c r="I220">
        <f t="shared" si="93"/>
        <v>1.6085696626245321E-4</v>
      </c>
      <c r="J220">
        <f t="shared" si="94"/>
        <v>7.1491985005534757E-4</v>
      </c>
      <c r="K220">
        <f t="shared" si="95"/>
        <v>1.5460453622589891E-7</v>
      </c>
      <c r="L220">
        <v>219</v>
      </c>
      <c r="M220">
        <f t="shared" si="111"/>
        <v>0.05</v>
      </c>
      <c r="N220">
        <f t="shared" si="96"/>
        <v>0.24892122674939371</v>
      </c>
      <c r="O220">
        <f t="shared" si="97"/>
        <v>2.0781917589461017E-6</v>
      </c>
      <c r="P220">
        <f t="shared" si="98"/>
        <v>1.0858230481416094E-2</v>
      </c>
      <c r="Q220">
        <f t="shared" si="99"/>
        <v>1.2215509291593108E-3</v>
      </c>
      <c r="R220">
        <f t="shared" si="100"/>
        <v>5.4291152407080472E-3</v>
      </c>
      <c r="S220">
        <f t="shared" si="101"/>
        <v>1.4027794372886185E-5</v>
      </c>
      <c r="T220">
        <f t="shared" si="102"/>
        <v>0.1</v>
      </c>
      <c r="U220">
        <f t="shared" si="112"/>
        <v>208933.81271577268</v>
      </c>
      <c r="V220">
        <f t="shared" si="103"/>
        <v>0.47703639345227766</v>
      </c>
      <c r="W220">
        <f t="shared" si="104"/>
        <v>3.7308609570128438E-8</v>
      </c>
      <c r="X220">
        <f t="shared" si="105"/>
        <v>2.32904540736853E-3</v>
      </c>
      <c r="Y220">
        <f t="shared" si="106"/>
        <v>2.620176083289596E-4</v>
      </c>
      <c r="Z220">
        <f t="shared" si="107"/>
        <v>1.164522703684265E-3</v>
      </c>
      <c r="AA220">
        <f t="shared" si="108"/>
        <v>2.5183311459836696E-7</v>
      </c>
      <c r="AB220">
        <f t="shared" si="109"/>
        <v>0.05</v>
      </c>
      <c r="AC220">
        <f t="shared" si="113"/>
        <v>0.45391514833850127</v>
      </c>
      <c r="AD220">
        <f t="shared" si="114"/>
        <v>6.8085515767075605E-7</v>
      </c>
      <c r="AE220">
        <f t="shared" si="115"/>
        <v>8.8918752826958585E-3</v>
      </c>
      <c r="AF220">
        <f t="shared" si="116"/>
        <v>1.0003359693032841E-3</v>
      </c>
      <c r="AG220">
        <f t="shared" si="117"/>
        <v>4.4459376413479293E-3</v>
      </c>
      <c r="AH220">
        <f t="shared" si="118"/>
        <v>4.5957723142776043E-6</v>
      </c>
      <c r="AI220">
        <f t="shared" si="119"/>
        <v>0.1</v>
      </c>
    </row>
    <row r="221" spans="5:35" x14ac:dyDescent="0.25">
      <c r="E221">
        <f t="shared" si="110"/>
        <v>1096902.5167578068</v>
      </c>
      <c r="F221">
        <f t="shared" si="90"/>
        <v>0.29137606256887594</v>
      </c>
      <c r="G221">
        <f t="shared" si="91"/>
        <v>2.0774943978177511E-8</v>
      </c>
      <c r="H221">
        <f t="shared" si="92"/>
        <v>1.3617505371496222E-3</v>
      </c>
      <c r="I221">
        <f t="shared" si="93"/>
        <v>1.5319693542933249E-4</v>
      </c>
      <c r="J221">
        <f t="shared" si="94"/>
        <v>6.808752685748111E-4</v>
      </c>
      <c r="K221">
        <f t="shared" si="95"/>
        <v>1.4023087185269818E-7</v>
      </c>
      <c r="L221">
        <v>220</v>
      </c>
      <c r="M221">
        <f t="shared" si="111"/>
        <v>0.05</v>
      </c>
      <c r="N221">
        <f t="shared" si="96"/>
        <v>0.24731691597457514</v>
      </c>
      <c r="O221">
        <f t="shared" si="97"/>
        <v>1.8849811728003863E-6</v>
      </c>
      <c r="P221">
        <f t="shared" si="98"/>
        <v>1.0341030434188332E-2</v>
      </c>
      <c r="Q221">
        <f t="shared" si="99"/>
        <v>1.1633659238461872E-3</v>
      </c>
      <c r="R221">
        <f t="shared" si="100"/>
        <v>5.1705152170941661E-3</v>
      </c>
      <c r="S221">
        <f t="shared" si="101"/>
        <v>1.2723622916402608E-5</v>
      </c>
      <c r="T221">
        <f t="shared" si="102"/>
        <v>0.1</v>
      </c>
      <c r="U221">
        <f t="shared" si="112"/>
        <v>219380.50335156132</v>
      </c>
      <c r="V221">
        <f t="shared" si="103"/>
        <v>0.4746182948274747</v>
      </c>
      <c r="W221">
        <f t="shared" si="104"/>
        <v>3.3840008678572083E-8</v>
      </c>
      <c r="X221">
        <f t="shared" si="105"/>
        <v>2.2181359450884038E-3</v>
      </c>
      <c r="Y221">
        <f t="shared" si="106"/>
        <v>2.495402938224454E-4</v>
      </c>
      <c r="Z221">
        <f t="shared" si="107"/>
        <v>1.1090679725442019E-3</v>
      </c>
      <c r="AA221">
        <f t="shared" si="108"/>
        <v>2.2842005858036157E-7</v>
      </c>
      <c r="AB221">
        <f t="shared" si="109"/>
        <v>0.05</v>
      </c>
      <c r="AC221">
        <f t="shared" si="113"/>
        <v>0.45126002971501167</v>
      </c>
      <c r="AD221">
        <f t="shared" si="114"/>
        <v>6.1755569781000282E-7</v>
      </c>
      <c r="AE221">
        <f t="shared" si="115"/>
        <v>8.4684063231206599E-3</v>
      </c>
      <c r="AF221">
        <f t="shared" si="116"/>
        <v>9.5269571135107422E-4</v>
      </c>
      <c r="AG221">
        <f t="shared" si="117"/>
        <v>4.23420316156033E-3</v>
      </c>
      <c r="AH221">
        <f t="shared" si="118"/>
        <v>4.168500960217519E-6</v>
      </c>
      <c r="AI221">
        <f t="shared" si="119"/>
        <v>0.1</v>
      </c>
    </row>
    <row r="222" spans="5:35" x14ac:dyDescent="0.25">
      <c r="E222">
        <f t="shared" si="110"/>
        <v>1151747.6425956972</v>
      </c>
      <c r="F222">
        <f t="shared" si="90"/>
        <v>0.28990509825740934</v>
      </c>
      <c r="G222">
        <f t="shared" si="91"/>
        <v>1.8843486600604075E-8</v>
      </c>
      <c r="H222">
        <f t="shared" si="92"/>
        <v>1.2969038601511901E-3</v>
      </c>
      <c r="I222">
        <f t="shared" si="93"/>
        <v>1.4590168426700892E-4</v>
      </c>
      <c r="J222">
        <f t="shared" si="94"/>
        <v>6.4845193007559507E-4</v>
      </c>
      <c r="K222">
        <f t="shared" si="95"/>
        <v>1.2719353455407752E-7</v>
      </c>
      <c r="L222">
        <v>221</v>
      </c>
      <c r="M222">
        <f t="shared" si="111"/>
        <v>0.05</v>
      </c>
      <c r="N222">
        <f t="shared" si="96"/>
        <v>0.24573161622597031</v>
      </c>
      <c r="O222">
        <f t="shared" si="97"/>
        <v>1.7097334781784241E-6</v>
      </c>
      <c r="P222">
        <f t="shared" si="98"/>
        <v>9.8484721150119761E-3</v>
      </c>
      <c r="Q222">
        <f t="shared" si="99"/>
        <v>1.1079531129388474E-3</v>
      </c>
      <c r="R222">
        <f t="shared" si="100"/>
        <v>4.9242360575059881E-3</v>
      </c>
      <c r="S222">
        <f t="shared" si="101"/>
        <v>1.1540700977704362E-5</v>
      </c>
      <c r="T222">
        <f t="shared" si="102"/>
        <v>0.1</v>
      </c>
      <c r="U222">
        <f t="shared" si="112"/>
        <v>230349.52851913939</v>
      </c>
      <c r="V222">
        <f t="shared" si="103"/>
        <v>0.47222226212971208</v>
      </c>
      <c r="W222">
        <f t="shared" si="104"/>
        <v>3.0693885421246653E-8</v>
      </c>
      <c r="X222">
        <f t="shared" si="105"/>
        <v>2.1125081217494546E-3</v>
      </c>
      <c r="Y222">
        <f t="shared" si="106"/>
        <v>2.3765716369681365E-4</v>
      </c>
      <c r="Z222">
        <f t="shared" si="107"/>
        <v>1.0562540608747273E-3</v>
      </c>
      <c r="AA222">
        <f t="shared" si="108"/>
        <v>2.0718372659341495E-7</v>
      </c>
      <c r="AB222">
        <f t="shared" si="109"/>
        <v>0.05</v>
      </c>
      <c r="AC222">
        <f t="shared" si="113"/>
        <v>0.44863324493512857</v>
      </c>
      <c r="AD222">
        <f t="shared" si="114"/>
        <v>5.6014122188014396E-7</v>
      </c>
      <c r="AE222">
        <f t="shared" si="115"/>
        <v>8.0651068595969325E-3</v>
      </c>
      <c r="AF222">
        <f t="shared" si="116"/>
        <v>9.0732452170465489E-4</v>
      </c>
      <c r="AG222">
        <f t="shared" si="117"/>
        <v>4.0325534297984663E-3</v>
      </c>
      <c r="AH222">
        <f t="shared" si="118"/>
        <v>3.7809532476909716E-6</v>
      </c>
      <c r="AI222">
        <f t="shared" si="119"/>
        <v>0.1</v>
      </c>
    </row>
    <row r="223" spans="5:35" x14ac:dyDescent="0.25">
      <c r="E223">
        <f t="shared" si="110"/>
        <v>1209335.0247254821</v>
      </c>
      <c r="F223">
        <f t="shared" si="90"/>
        <v>0.2884474966922802</v>
      </c>
      <c r="G223">
        <f t="shared" si="91"/>
        <v>1.7091597822922352E-8</v>
      </c>
      <c r="H223">
        <f t="shared" si="92"/>
        <v>1.2351452515529401E-3</v>
      </c>
      <c r="I223">
        <f t="shared" si="93"/>
        <v>1.3895384079970575E-4</v>
      </c>
      <c r="J223">
        <f t="shared" si="94"/>
        <v>6.1757262577647007E-4</v>
      </c>
      <c r="K223">
        <f t="shared" si="95"/>
        <v>1.1536828530472588E-7</v>
      </c>
      <c r="L223">
        <v>222</v>
      </c>
      <c r="M223">
        <f t="shared" si="111"/>
        <v>0.05</v>
      </c>
      <c r="N223">
        <f t="shared" si="96"/>
        <v>0.24416499231543959</v>
      </c>
      <c r="O223">
        <f t="shared" si="97"/>
        <v>1.5507786552325493E-6</v>
      </c>
      <c r="P223">
        <f t="shared" si="98"/>
        <v>9.379380884829874E-3</v>
      </c>
      <c r="Q223">
        <f t="shared" si="99"/>
        <v>1.0551803495433608E-3</v>
      </c>
      <c r="R223">
        <f t="shared" si="100"/>
        <v>4.689690442414937E-3</v>
      </c>
      <c r="S223">
        <f t="shared" si="101"/>
        <v>1.0467755922819708E-5</v>
      </c>
      <c r="T223">
        <f t="shared" si="102"/>
        <v>0.1</v>
      </c>
      <c r="U223">
        <f t="shared" si="112"/>
        <v>241867.00494509639</v>
      </c>
      <c r="V223">
        <f t="shared" si="103"/>
        <v>0.46984799581805886</v>
      </c>
      <c r="W223">
        <f t="shared" si="104"/>
        <v>2.7840258884254999E-8</v>
      </c>
      <c r="X223">
        <f t="shared" si="105"/>
        <v>2.0119104087959754E-3</v>
      </c>
      <c r="Y223">
        <f t="shared" si="106"/>
        <v>2.263399209895472E-4</v>
      </c>
      <c r="Z223">
        <f t="shared" si="107"/>
        <v>1.0059552043979877E-3</v>
      </c>
      <c r="AA223">
        <f t="shared" si="108"/>
        <v>1.8792174746872126E-7</v>
      </c>
      <c r="AB223">
        <f t="shared" si="109"/>
        <v>0.05</v>
      </c>
      <c r="AC223">
        <f t="shared" si="113"/>
        <v>0.44603434409389692</v>
      </c>
      <c r="AD223">
        <f t="shared" si="114"/>
        <v>5.0806459983204424E-7</v>
      </c>
      <c r="AE223">
        <f t="shared" si="115"/>
        <v>7.6810160394000879E-3</v>
      </c>
      <c r="AF223">
        <f t="shared" si="116"/>
        <v>8.6411430443250994E-4</v>
      </c>
      <c r="AG223">
        <f t="shared" si="117"/>
        <v>3.840508019700044E-3</v>
      </c>
      <c r="AH223">
        <f t="shared" si="118"/>
        <v>3.4294360488662983E-6</v>
      </c>
      <c r="AI223">
        <f t="shared" si="119"/>
        <v>0.1</v>
      </c>
    </row>
    <row r="224" spans="5:35" x14ac:dyDescent="0.25">
      <c r="E224">
        <f t="shared" si="110"/>
        <v>1269801.7759617562</v>
      </c>
      <c r="F224">
        <f t="shared" si="90"/>
        <v>0.28700307729371177</v>
      </c>
      <c r="G224">
        <f t="shared" si="91"/>
        <v>1.5502583058719023E-8</v>
      </c>
      <c r="H224">
        <f t="shared" si="92"/>
        <v>1.1763276482619509E-3</v>
      </c>
      <c r="I224">
        <f t="shared" si="93"/>
        <v>1.3233686042946947E-4</v>
      </c>
      <c r="J224">
        <f t="shared" si="94"/>
        <v>5.8816382413097543E-4</v>
      </c>
      <c r="K224">
        <f t="shared" si="95"/>
        <v>1.0464243564635339E-7</v>
      </c>
      <c r="L224">
        <v>223</v>
      </c>
      <c r="M224">
        <f t="shared" si="111"/>
        <v>0.05</v>
      </c>
      <c r="N224">
        <f t="shared" si="96"/>
        <v>0.24261671688847847</v>
      </c>
      <c r="O224">
        <f t="shared" si="97"/>
        <v>1.406601946811867E-6</v>
      </c>
      <c r="P224">
        <f t="shared" si="98"/>
        <v>8.9326381535850784E-3</v>
      </c>
      <c r="Q224">
        <f t="shared" si="99"/>
        <v>1.0049217922783215E-3</v>
      </c>
      <c r="R224">
        <f t="shared" si="100"/>
        <v>4.4663190767925392E-3</v>
      </c>
      <c r="S224">
        <f t="shared" si="101"/>
        <v>9.4945631409801021E-6</v>
      </c>
      <c r="T224">
        <f t="shared" si="102"/>
        <v>0.1</v>
      </c>
      <c r="U224">
        <f t="shared" si="112"/>
        <v>253960.35519235121</v>
      </c>
      <c r="V224">
        <f t="shared" si="103"/>
        <v>0.46749520174870307</v>
      </c>
      <c r="W224">
        <f t="shared" si="104"/>
        <v>2.5251935494911391E-8</v>
      </c>
      <c r="X224">
        <f t="shared" si="105"/>
        <v>1.916103257262347E-3</v>
      </c>
      <c r="Y224">
        <f t="shared" si="106"/>
        <v>2.1556161644201407E-4</v>
      </c>
      <c r="Z224">
        <f t="shared" si="107"/>
        <v>9.580516286311735E-4</v>
      </c>
      <c r="AA224">
        <f t="shared" si="108"/>
        <v>1.7045056459065188E-7</v>
      </c>
      <c r="AB224">
        <f t="shared" si="109"/>
        <v>0.05</v>
      </c>
      <c r="AC224">
        <f t="shared" si="113"/>
        <v>0.44346288676135498</v>
      </c>
      <c r="AD224">
        <f t="shared" si="114"/>
        <v>4.6082956858680987E-7</v>
      </c>
      <c r="AE224">
        <f t="shared" si="115"/>
        <v>7.3152188019431439E-3</v>
      </c>
      <c r="AF224">
        <f t="shared" si="116"/>
        <v>8.2296211521860375E-4</v>
      </c>
      <c r="AG224">
        <f t="shared" si="117"/>
        <v>3.657609400971572E-3</v>
      </c>
      <c r="AH224">
        <f t="shared" si="118"/>
        <v>3.1105995879609667E-6</v>
      </c>
      <c r="AI224">
        <f t="shared" si="119"/>
        <v>0.1</v>
      </c>
    </row>
    <row r="225" spans="5:35" x14ac:dyDescent="0.25">
      <c r="E225">
        <f t="shared" si="110"/>
        <v>1333291.864759844</v>
      </c>
      <c r="F225">
        <f t="shared" si="90"/>
        <v>0.28557166272101664</v>
      </c>
      <c r="G225">
        <f t="shared" si="91"/>
        <v>1.406129982599163E-8</v>
      </c>
      <c r="H225">
        <f t="shared" si="92"/>
        <v>1.120310991325572E-3</v>
      </c>
      <c r="I225">
        <f t="shared" si="93"/>
        <v>1.2603498652412684E-4</v>
      </c>
      <c r="J225">
        <f t="shared" si="94"/>
        <v>5.60155495662786E-4</v>
      </c>
      <c r="K225">
        <f t="shared" si="95"/>
        <v>9.4913773825443503E-8</v>
      </c>
      <c r="L225">
        <v>224</v>
      </c>
      <c r="M225">
        <f t="shared" si="111"/>
        <v>0.05</v>
      </c>
      <c r="N225">
        <f t="shared" si="96"/>
        <v>0.24108647019669907</v>
      </c>
      <c r="O225">
        <f t="shared" si="97"/>
        <v>1.2758294235940742E-6</v>
      </c>
      <c r="P225">
        <f t="shared" si="98"/>
        <v>8.5071787006314927E-3</v>
      </c>
      <c r="Q225">
        <f t="shared" si="99"/>
        <v>9.5705760382104284E-4</v>
      </c>
      <c r="R225">
        <f t="shared" si="100"/>
        <v>4.2535893503157464E-3</v>
      </c>
      <c r="S225">
        <f t="shared" si="101"/>
        <v>8.6118486092600001E-6</v>
      </c>
      <c r="T225">
        <f t="shared" si="102"/>
        <v>0.1</v>
      </c>
      <c r="U225">
        <f t="shared" si="112"/>
        <v>266658.37295196881</v>
      </c>
      <c r="V225">
        <f t="shared" si="103"/>
        <v>0.46516359105393928</v>
      </c>
      <c r="W225">
        <f t="shared" si="104"/>
        <v>2.290424988117362E-8</v>
      </c>
      <c r="X225">
        <f t="shared" si="105"/>
        <v>1.8248585271267157E-3</v>
      </c>
      <c r="Y225">
        <f t="shared" si="106"/>
        <v>2.0529658430175552E-4</v>
      </c>
      <c r="Z225">
        <f t="shared" si="107"/>
        <v>9.1242926356335785E-4</v>
      </c>
      <c r="AA225">
        <f t="shared" si="108"/>
        <v>1.5460368669792193E-7</v>
      </c>
      <c r="AB225">
        <f t="shared" si="109"/>
        <v>0.05</v>
      </c>
      <c r="AC225">
        <f t="shared" si="113"/>
        <v>0.44091844173440892</v>
      </c>
      <c r="AD225">
        <f t="shared" si="114"/>
        <v>4.1798600290628783E-7</v>
      </c>
      <c r="AE225">
        <f t="shared" si="115"/>
        <v>6.9668436947348342E-3</v>
      </c>
      <c r="AF225">
        <f t="shared" si="116"/>
        <v>7.8376991565766896E-4</v>
      </c>
      <c r="AG225">
        <f t="shared" si="117"/>
        <v>3.4834218473674171E-3</v>
      </c>
      <c r="AH225">
        <f t="shared" si="118"/>
        <v>2.8214055196174426E-6</v>
      </c>
      <c r="AI225">
        <f t="shared" si="119"/>
        <v>0.1</v>
      </c>
    </row>
    <row r="226" spans="5:35" x14ac:dyDescent="0.25">
      <c r="E226">
        <f t="shared" si="110"/>
        <v>1399956.4579978364</v>
      </c>
      <c r="F226">
        <f t="shared" si="90"/>
        <v>0.28415307880029578</v>
      </c>
      <c r="G226">
        <f t="shared" si="91"/>
        <v>1.2754013447191144E-8</v>
      </c>
      <c r="H226">
        <f t="shared" si="92"/>
        <v>1.066961892295327E-3</v>
      </c>
      <c r="I226">
        <f t="shared" si="93"/>
        <v>1.2003321288322427E-4</v>
      </c>
      <c r="J226">
        <f t="shared" si="94"/>
        <v>5.3348094614766349E-4</v>
      </c>
      <c r="K226">
        <f t="shared" si="95"/>
        <v>8.6089590768540224E-8</v>
      </c>
      <c r="L226">
        <v>225</v>
      </c>
      <c r="M226">
        <f t="shared" si="111"/>
        <v>0.05</v>
      </c>
      <c r="N226">
        <f t="shared" si="96"/>
        <v>0.23957393987819436</v>
      </c>
      <c r="O226">
        <f t="shared" si="97"/>
        <v>1.1572148912370428E-6</v>
      </c>
      <c r="P226">
        <f t="shared" si="98"/>
        <v>8.1019881237296646E-3</v>
      </c>
      <c r="Q226">
        <f t="shared" si="99"/>
        <v>9.1147366391958738E-4</v>
      </c>
      <c r="R226">
        <f t="shared" si="100"/>
        <v>4.0509940618648323E-3</v>
      </c>
      <c r="S226">
        <f t="shared" si="101"/>
        <v>7.8112005158500384E-6</v>
      </c>
      <c r="T226">
        <f t="shared" si="102"/>
        <v>0.1</v>
      </c>
      <c r="U226">
        <f t="shared" si="112"/>
        <v>279991.29159956728</v>
      </c>
      <c r="V226">
        <f t="shared" si="103"/>
        <v>0.46285288002439806</v>
      </c>
      <c r="W226">
        <f t="shared" si="104"/>
        <v>2.0774829823509126E-8</v>
      </c>
      <c r="X226">
        <f t="shared" si="105"/>
        <v>1.7379589438559326E-3</v>
      </c>
      <c r="Y226">
        <f t="shared" si="106"/>
        <v>1.9552038118379243E-4</v>
      </c>
      <c r="Z226">
        <f t="shared" si="107"/>
        <v>8.689794719279663E-4</v>
      </c>
      <c r="AA226">
        <f t="shared" si="108"/>
        <v>1.402301013086866E-7</v>
      </c>
      <c r="AB226">
        <f t="shared" si="109"/>
        <v>0.05</v>
      </c>
      <c r="AC226">
        <f t="shared" si="113"/>
        <v>0.43840058679646821</v>
      </c>
      <c r="AD226">
        <f t="shared" si="114"/>
        <v>3.7912562593333247E-7</v>
      </c>
      <c r="AE226">
        <f t="shared" si="115"/>
        <v>6.6350607936619095E-3</v>
      </c>
      <c r="AF226">
        <f t="shared" si="116"/>
        <v>7.4644433928696481E-4</v>
      </c>
      <c r="AG226">
        <f t="shared" si="117"/>
        <v>3.3175303968309548E-3</v>
      </c>
      <c r="AH226">
        <f t="shared" si="118"/>
        <v>2.5590979750499937E-6</v>
      </c>
      <c r="AI226">
        <f t="shared" si="119"/>
        <v>0.1</v>
      </c>
    </row>
    <row r="227" spans="5:35" x14ac:dyDescent="0.25">
      <c r="E227">
        <f t="shared" si="110"/>
        <v>1469954.2808977284</v>
      </c>
      <c r="F227">
        <f t="shared" si="90"/>
        <v>0.28274715445406601</v>
      </c>
      <c r="G227">
        <f t="shared" si="91"/>
        <v>1.1568266164906954E-8</v>
      </c>
      <c r="H227">
        <f t="shared" si="92"/>
        <v>1.0161533154880702E-3</v>
      </c>
      <c r="I227">
        <f t="shared" si="93"/>
        <v>1.1431724799240792E-4</v>
      </c>
      <c r="J227">
        <f t="shared" si="94"/>
        <v>5.0807665774403512E-4</v>
      </c>
      <c r="K227">
        <f t="shared" si="95"/>
        <v>7.808579661312193E-8</v>
      </c>
      <c r="L227">
        <v>226</v>
      </c>
      <c r="M227">
        <f t="shared" si="111"/>
        <v>0.05</v>
      </c>
      <c r="N227">
        <f t="shared" si="96"/>
        <v>0.23807882074546954</v>
      </c>
      <c r="O227">
        <f t="shared" si="97"/>
        <v>1.0496280147814254E-6</v>
      </c>
      <c r="P227">
        <f t="shared" si="98"/>
        <v>7.7161004104128747E-3</v>
      </c>
      <c r="Q227">
        <f t="shared" si="99"/>
        <v>8.6806129617144842E-4</v>
      </c>
      <c r="R227">
        <f t="shared" si="100"/>
        <v>3.8580502052064374E-3</v>
      </c>
      <c r="S227">
        <f t="shared" si="101"/>
        <v>7.0849890997746221E-6</v>
      </c>
      <c r="T227">
        <f t="shared" si="102"/>
        <v>0.1</v>
      </c>
      <c r="U227">
        <f t="shared" si="112"/>
        <v>293990.85617954563</v>
      </c>
      <c r="V227">
        <f t="shared" si="103"/>
        <v>0.46056278999441741</v>
      </c>
      <c r="W227">
        <f t="shared" si="104"/>
        <v>1.8843383059308977E-8</v>
      </c>
      <c r="X227">
        <f t="shared" si="105"/>
        <v>1.6551975808453024E-3</v>
      </c>
      <c r="Y227">
        <f t="shared" si="106"/>
        <v>1.8620972784509651E-4</v>
      </c>
      <c r="Z227">
        <f t="shared" si="107"/>
        <v>8.2759879042265119E-4</v>
      </c>
      <c r="AA227">
        <f t="shared" si="108"/>
        <v>1.2719283565033559E-7</v>
      </c>
      <c r="AB227">
        <f t="shared" si="109"/>
        <v>0.05</v>
      </c>
      <c r="AC227">
        <f t="shared" si="113"/>
        <v>0.43590890848455394</v>
      </c>
      <c r="AD227">
        <f t="shared" si="114"/>
        <v>3.4387811852549218E-7</v>
      </c>
      <c r="AE227">
        <f t="shared" si="115"/>
        <v>6.3190797225978323E-3</v>
      </c>
      <c r="AF227">
        <f t="shared" si="116"/>
        <v>7.1089646879225613E-4</v>
      </c>
      <c r="AG227">
        <f t="shared" si="117"/>
        <v>3.1595398612989161E-3</v>
      </c>
      <c r="AH227">
        <f t="shared" si="118"/>
        <v>2.3211773000470723E-6</v>
      </c>
      <c r="AI227">
        <f t="shared" si="119"/>
        <v>0.1</v>
      </c>
    </row>
    <row r="228" spans="5:35" x14ac:dyDescent="0.25">
      <c r="E228">
        <f t="shared" si="110"/>
        <v>1543451.9949426148</v>
      </c>
      <c r="F228">
        <f t="shared" si="90"/>
        <v>0.28135372163275441</v>
      </c>
      <c r="G228">
        <f t="shared" si="91"/>
        <v>1.0492758425934977E-8</v>
      </c>
      <c r="H228">
        <f t="shared" si="92"/>
        <v>9.6776427538647076E-4</v>
      </c>
      <c r="I228">
        <f t="shared" si="93"/>
        <v>1.0887348098097796E-4</v>
      </c>
      <c r="J228">
        <f t="shared" si="94"/>
        <v>4.8388213769323538E-4</v>
      </c>
      <c r="K228">
        <f t="shared" si="95"/>
        <v>7.082611937506109E-8</v>
      </c>
      <c r="L228">
        <v>227</v>
      </c>
      <c r="M228">
        <f t="shared" si="111"/>
        <v>0.05</v>
      </c>
      <c r="N228">
        <f t="shared" si="96"/>
        <v>0.23660081458063739</v>
      </c>
      <c r="O228">
        <f t="shared" si="97"/>
        <v>9.5204354713546179E-7</v>
      </c>
      <c r="P228">
        <f t="shared" si="98"/>
        <v>7.3485956258130623E-3</v>
      </c>
      <c r="Q228">
        <f t="shared" si="99"/>
        <v>8.267170079039695E-4</v>
      </c>
      <c r="R228">
        <f t="shared" si="100"/>
        <v>3.6742978129065311E-3</v>
      </c>
      <c r="S228">
        <f t="shared" si="101"/>
        <v>6.4262939431643671E-6</v>
      </c>
      <c r="T228">
        <f t="shared" si="102"/>
        <v>0.1</v>
      </c>
      <c r="U228">
        <f t="shared" si="112"/>
        <v>308690.39898852294</v>
      </c>
      <c r="V228">
        <f t="shared" si="103"/>
        <v>0.45829304723045494</v>
      </c>
      <c r="W228">
        <f t="shared" si="104"/>
        <v>1.7091503908206886E-8</v>
      </c>
      <c r="X228">
        <f t="shared" si="105"/>
        <v>1.5763773665185656E-3</v>
      </c>
      <c r="Y228">
        <f t="shared" si="106"/>
        <v>1.7734245373333862E-4</v>
      </c>
      <c r="Z228">
        <f t="shared" si="107"/>
        <v>7.8818868325928281E-4</v>
      </c>
      <c r="AA228">
        <f t="shared" si="108"/>
        <v>1.153676513803965E-7</v>
      </c>
      <c r="AB228">
        <f t="shared" si="109"/>
        <v>0.05</v>
      </c>
      <c r="AC228">
        <f t="shared" si="113"/>
        <v>0.43344300186361207</v>
      </c>
      <c r="AD228">
        <f t="shared" si="114"/>
        <v>3.1190759030605967E-7</v>
      </c>
      <c r="AE228">
        <f t="shared" si="115"/>
        <v>6.0181477675808528E-3</v>
      </c>
      <c r="AF228">
        <f t="shared" si="116"/>
        <v>6.7704162385284587E-4</v>
      </c>
      <c r="AG228">
        <f t="shared" si="117"/>
        <v>3.0090738837904264E-3</v>
      </c>
      <c r="AH228">
        <f t="shared" si="118"/>
        <v>2.1053762345659029E-6</v>
      </c>
      <c r="AI228">
        <f t="shared" si="119"/>
        <v>0.1</v>
      </c>
    </row>
    <row r="229" spans="5:35" x14ac:dyDescent="0.25">
      <c r="E229">
        <f t="shared" si="110"/>
        <v>1620624.5946897457</v>
      </c>
      <c r="F229">
        <f t="shared" si="90"/>
        <v>0.27997261524800537</v>
      </c>
      <c r="G229">
        <f t="shared" si="91"/>
        <v>9.5172412024280672E-9</v>
      </c>
      <c r="H229">
        <f t="shared" si="92"/>
        <v>9.2167954845707371E-4</v>
      </c>
      <c r="I229">
        <f t="shared" si="93"/>
        <v>1.0368894920142079E-4</v>
      </c>
      <c r="J229">
        <f t="shared" si="94"/>
        <v>4.6083977422853686E-4</v>
      </c>
      <c r="K229">
        <f t="shared" si="95"/>
        <v>6.4241378116389468E-8</v>
      </c>
      <c r="L229">
        <v>228</v>
      </c>
      <c r="M229">
        <f t="shared" si="111"/>
        <v>0.05</v>
      </c>
      <c r="N229">
        <f t="shared" si="96"/>
        <v>0.23513962993759183</v>
      </c>
      <c r="O229">
        <f t="shared" si="97"/>
        <v>8.6353155899457814E-7</v>
      </c>
      <c r="P229">
        <f t="shared" si="98"/>
        <v>6.9985977113254548E-3</v>
      </c>
      <c r="Q229">
        <f t="shared" si="99"/>
        <v>7.8734224252411365E-4</v>
      </c>
      <c r="R229">
        <f t="shared" si="100"/>
        <v>3.4992988556627274E-3</v>
      </c>
      <c r="S229">
        <f t="shared" si="101"/>
        <v>5.8288380232134036E-6</v>
      </c>
      <c r="T229">
        <f t="shared" si="102"/>
        <v>0.1</v>
      </c>
      <c r="U229">
        <f t="shared" si="112"/>
        <v>324124.91893794911</v>
      </c>
      <c r="V229">
        <f t="shared" si="103"/>
        <v>0.4560433828224531</v>
      </c>
      <c r="W229">
        <f t="shared" si="104"/>
        <v>1.5502497875543383E-8</v>
      </c>
      <c r="X229">
        <f t="shared" si="105"/>
        <v>1.5013106149124691E-3</v>
      </c>
      <c r="Y229">
        <f t="shared" si="106"/>
        <v>1.6889744417765277E-4</v>
      </c>
      <c r="Z229">
        <f t="shared" si="107"/>
        <v>7.5065530745623455E-4</v>
      </c>
      <c r="AA229">
        <f t="shared" si="108"/>
        <v>1.0464186065991785E-7</v>
      </c>
      <c r="AB229">
        <f t="shared" si="109"/>
        <v>0.05</v>
      </c>
      <c r="AC229">
        <f t="shared" si="113"/>
        <v>0.43100247030777394</v>
      </c>
      <c r="AD229">
        <f t="shared" si="114"/>
        <v>2.8290937880342267E-7</v>
      </c>
      <c r="AE229">
        <f t="shared" si="115"/>
        <v>5.7315480810335119E-3</v>
      </c>
      <c r="AF229">
        <f t="shared" si="116"/>
        <v>6.4479915911627012E-4</v>
      </c>
      <c r="AG229">
        <f t="shared" si="117"/>
        <v>2.8657740405167559E-3</v>
      </c>
      <c r="AH229">
        <f t="shared" si="118"/>
        <v>1.9096383069231026E-6</v>
      </c>
      <c r="AI229">
        <f t="shared" si="119"/>
        <v>0.1</v>
      </c>
    </row>
    <row r="230" spans="5:35" x14ac:dyDescent="0.25">
      <c r="E230">
        <f t="shared" si="110"/>
        <v>1701655.8244242331</v>
      </c>
      <c r="F230">
        <f t="shared" si="90"/>
        <v>0.2786036731077402</v>
      </c>
      <c r="G230">
        <f t="shared" si="91"/>
        <v>8.6324183240052464E-9</v>
      </c>
      <c r="H230">
        <f t="shared" si="92"/>
        <v>8.7778939869864042E-4</v>
      </c>
      <c r="I230">
        <f t="shared" si="93"/>
        <v>9.8751307353597045E-5</v>
      </c>
      <c r="J230">
        <f t="shared" si="94"/>
        <v>4.3889469934932021E-4</v>
      </c>
      <c r="K230">
        <f t="shared" si="95"/>
        <v>5.8268823687035415E-8</v>
      </c>
      <c r="L230">
        <v>229</v>
      </c>
      <c r="M230">
        <f t="shared" si="111"/>
        <v>0.05</v>
      </c>
      <c r="N230">
        <f t="shared" si="96"/>
        <v>0.23369498195087762</v>
      </c>
      <c r="O230">
        <f t="shared" si="97"/>
        <v>7.8324857709162027E-7</v>
      </c>
      <c r="P230">
        <f t="shared" si="98"/>
        <v>6.66527238876538E-3</v>
      </c>
      <c r="Q230">
        <f t="shared" si="99"/>
        <v>7.498431437361053E-4</v>
      </c>
      <c r="R230">
        <f t="shared" si="100"/>
        <v>3.33263619438269E-3</v>
      </c>
      <c r="S230">
        <f t="shared" si="101"/>
        <v>5.2869278953684367E-6</v>
      </c>
      <c r="T230">
        <f t="shared" si="102"/>
        <v>0.1</v>
      </c>
      <c r="U230">
        <f t="shared" si="112"/>
        <v>340331.1648848466</v>
      </c>
      <c r="V230">
        <f t="shared" si="103"/>
        <v>0.45381353257805784</v>
      </c>
      <c r="W230">
        <f t="shared" si="104"/>
        <v>1.4061222562537505E-8</v>
      </c>
      <c r="X230">
        <f t="shared" si="105"/>
        <v>1.4298185786263862E-3</v>
      </c>
      <c r="Y230">
        <f t="shared" si="106"/>
        <v>1.6085459009546844E-4</v>
      </c>
      <c r="Z230">
        <f t="shared" si="107"/>
        <v>7.1490928931319309E-4</v>
      </c>
      <c r="AA230">
        <f t="shared" si="108"/>
        <v>9.4913252297128158E-8</v>
      </c>
      <c r="AB230">
        <f t="shared" si="109"/>
        <v>0.05</v>
      </c>
      <c r="AC230">
        <f t="shared" si="113"/>
        <v>0.42858692528831527</v>
      </c>
      <c r="AD230">
        <f t="shared" si="114"/>
        <v>2.5660714617615812E-7</v>
      </c>
      <c r="AE230">
        <f t="shared" si="115"/>
        <v>5.4585979717135134E-3</v>
      </c>
      <c r="AF230">
        <f t="shared" si="116"/>
        <v>6.1409227181777033E-4</v>
      </c>
      <c r="AG230">
        <f t="shared" si="117"/>
        <v>2.7292989858567567E-3</v>
      </c>
      <c r="AH230">
        <f t="shared" si="118"/>
        <v>1.7320982366890671E-6</v>
      </c>
      <c r="AI230">
        <f t="shared" si="119"/>
        <v>0.1</v>
      </c>
    </row>
    <row r="231" spans="5:35" x14ac:dyDescent="0.25">
      <c r="E231">
        <f t="shared" si="110"/>
        <v>1786738.6156454447</v>
      </c>
      <c r="F231">
        <f t="shared" si="90"/>
        <v>0.27724673585292092</v>
      </c>
      <c r="G231">
        <f t="shared" si="91"/>
        <v>7.8298578900957834E-9</v>
      </c>
      <c r="H231">
        <f t="shared" si="92"/>
        <v>8.3598931626625991E-4</v>
      </c>
      <c r="I231">
        <f t="shared" si="93"/>
        <v>9.4048798079954246E-5</v>
      </c>
      <c r="J231">
        <f t="shared" si="94"/>
        <v>4.1799465813312995E-4</v>
      </c>
      <c r="K231">
        <f t="shared" si="95"/>
        <v>5.2851540758146542E-8</v>
      </c>
      <c r="L231">
        <v>230</v>
      </c>
      <c r="M231">
        <f t="shared" si="111"/>
        <v>0.05</v>
      </c>
      <c r="N231">
        <f t="shared" si="96"/>
        <v>0.23226659215100226</v>
      </c>
      <c r="O231">
        <f t="shared" si="97"/>
        <v>7.1042954632953344E-7</v>
      </c>
      <c r="P231">
        <f t="shared" si="98"/>
        <v>6.3478251649317545E-3</v>
      </c>
      <c r="Q231">
        <f t="shared" si="99"/>
        <v>7.1413033105482244E-4</v>
      </c>
      <c r="R231">
        <f t="shared" si="100"/>
        <v>3.1739125824658773E-3</v>
      </c>
      <c r="S231">
        <f t="shared" si="101"/>
        <v>4.7953994377243506E-6</v>
      </c>
      <c r="T231">
        <f t="shared" si="102"/>
        <v>0.1</v>
      </c>
      <c r="U231">
        <f t="shared" si="112"/>
        <v>357347.72312908893</v>
      </c>
      <c r="V231">
        <f t="shared" si="103"/>
        <v>0.45160323691961485</v>
      </c>
      <c r="W231">
        <f t="shared" si="104"/>
        <v>1.2753943367122924E-8</v>
      </c>
      <c r="X231">
        <f t="shared" si="105"/>
        <v>1.361731023070875E-3</v>
      </c>
      <c r="Y231">
        <f t="shared" si="106"/>
        <v>1.5319474009547343E-4</v>
      </c>
      <c r="Z231">
        <f t="shared" si="107"/>
        <v>6.808655115354375E-4</v>
      </c>
      <c r="AA231">
        <f t="shared" si="108"/>
        <v>8.6089117728079741E-8</v>
      </c>
      <c r="AB231">
        <f t="shared" si="109"/>
        <v>0.05</v>
      </c>
      <c r="AC231">
        <f t="shared" si="113"/>
        <v>0.42619598616807697</v>
      </c>
      <c r="AD231">
        <f t="shared" si="114"/>
        <v>2.3275024585715878E-7</v>
      </c>
      <c r="AE231">
        <f t="shared" si="115"/>
        <v>5.1986472762932459E-3</v>
      </c>
      <c r="AF231">
        <f t="shared" si="116"/>
        <v>5.8484781858299012E-4</v>
      </c>
      <c r="AG231">
        <f t="shared" si="117"/>
        <v>2.599323638146623E-3</v>
      </c>
      <c r="AH231">
        <f t="shared" si="118"/>
        <v>1.5710641595358216E-6</v>
      </c>
      <c r="AI231">
        <f t="shared" si="119"/>
        <v>0.1</v>
      </c>
    </row>
    <row r="232" spans="5:35" x14ac:dyDescent="0.25">
      <c r="E232">
        <f t="shared" si="110"/>
        <v>1876075.546427717</v>
      </c>
      <c r="F232">
        <f t="shared" si="90"/>
        <v>0.27590164689596169</v>
      </c>
      <c r="G232">
        <f t="shared" si="91"/>
        <v>7.1019119183239032E-9</v>
      </c>
      <c r="H232">
        <f t="shared" si="92"/>
        <v>7.9617976854795775E-4</v>
      </c>
      <c r="I232">
        <f t="shared" si="93"/>
        <v>8.9570223961645248E-5</v>
      </c>
      <c r="J232">
        <f t="shared" si="94"/>
        <v>3.9808988427397887E-4</v>
      </c>
      <c r="K232">
        <f t="shared" si="95"/>
        <v>4.793790544868635E-8</v>
      </c>
      <c r="L232">
        <v>231</v>
      </c>
      <c r="M232">
        <f t="shared" si="111"/>
        <v>0.05</v>
      </c>
      <c r="N232">
        <f t="shared" si="96"/>
        <v>0.23085418828592788</v>
      </c>
      <c r="O232">
        <f t="shared" si="97"/>
        <v>6.4438053919954937E-7</v>
      </c>
      <c r="P232">
        <f t="shared" si="98"/>
        <v>6.0454994317397067E-3</v>
      </c>
      <c r="Q232">
        <f t="shared" si="99"/>
        <v>6.8011868607071701E-4</v>
      </c>
      <c r="R232">
        <f t="shared" si="100"/>
        <v>3.0227497158698533E-3</v>
      </c>
      <c r="S232">
        <f t="shared" si="101"/>
        <v>4.3495686395969584E-6</v>
      </c>
      <c r="T232">
        <f t="shared" si="102"/>
        <v>0.1</v>
      </c>
      <c r="U232">
        <f t="shared" si="112"/>
        <v>375215.10928554338</v>
      </c>
      <c r="V232">
        <f t="shared" si="103"/>
        <v>0.44941224078384845</v>
      </c>
      <c r="W232">
        <f t="shared" si="104"/>
        <v>1.1568202600352731E-8</v>
      </c>
      <c r="X232">
        <f t="shared" si="105"/>
        <v>1.2968858209999351E-3</v>
      </c>
      <c r="Y232">
        <f t="shared" si="106"/>
        <v>1.4589965486249269E-4</v>
      </c>
      <c r="Z232">
        <f t="shared" si="107"/>
        <v>6.4844291049996757E-4</v>
      </c>
      <c r="AA232">
        <f t="shared" si="108"/>
        <v>7.8085367552380938E-8</v>
      </c>
      <c r="AB232">
        <f t="shared" si="109"/>
        <v>0.05</v>
      </c>
      <c r="AC232">
        <f t="shared" si="113"/>
        <v>0.42382928000211306</v>
      </c>
      <c r="AD232">
        <f t="shared" si="114"/>
        <v>2.1111133402227023E-7</v>
      </c>
      <c r="AE232">
        <f t="shared" si="115"/>
        <v>4.9510768086624699E-3</v>
      </c>
      <c r="AF232">
        <f t="shared" si="116"/>
        <v>5.5699614097452787E-4</v>
      </c>
      <c r="AG232">
        <f t="shared" si="117"/>
        <v>2.4755384043312349E-3</v>
      </c>
      <c r="AH232">
        <f t="shared" si="118"/>
        <v>1.425001504650324E-6</v>
      </c>
      <c r="AI232">
        <f t="shared" si="119"/>
        <v>0.1</v>
      </c>
    </row>
    <row r="233" spans="5:35" x14ac:dyDescent="0.25">
      <c r="E233">
        <f t="shared" si="110"/>
        <v>1969879.3237491029</v>
      </c>
      <c r="F233">
        <f t="shared" si="90"/>
        <v>0.27456825236074095</v>
      </c>
      <c r="G233">
        <f t="shared" si="91"/>
        <v>6.4416434632251203E-9</v>
      </c>
      <c r="H233">
        <f t="shared" si="92"/>
        <v>7.582659631002695E-4</v>
      </c>
      <c r="I233">
        <f t="shared" si="93"/>
        <v>8.530492084878032E-5</v>
      </c>
      <c r="J233">
        <f t="shared" si="94"/>
        <v>3.7913298155013475E-4</v>
      </c>
      <c r="K233">
        <f t="shared" si="95"/>
        <v>4.3481093376769563E-8</v>
      </c>
      <c r="L233">
        <v>232</v>
      </c>
      <c r="M233">
        <f t="shared" si="111"/>
        <v>0.05</v>
      </c>
      <c r="N233">
        <f t="shared" si="96"/>
        <v>0.22945750414851265</v>
      </c>
      <c r="O233">
        <f t="shared" si="97"/>
        <v>5.8447214300920845E-7</v>
      </c>
      <c r="P233">
        <f t="shared" si="98"/>
        <v>5.7575746573203567E-3</v>
      </c>
      <c r="Q233">
        <f t="shared" si="99"/>
        <v>6.477271489485402E-4</v>
      </c>
      <c r="R233">
        <f t="shared" si="100"/>
        <v>2.8787873286601783E-3</v>
      </c>
      <c r="S233">
        <f t="shared" si="101"/>
        <v>3.945186965312157E-6</v>
      </c>
      <c r="T233">
        <f t="shared" si="102"/>
        <v>0.1</v>
      </c>
      <c r="U233">
        <f t="shared" si="112"/>
        <v>393975.86474982055</v>
      </c>
      <c r="V233">
        <f t="shared" si="103"/>
        <v>0.44724029352414812</v>
      </c>
      <c r="W233">
        <f t="shared" si="104"/>
        <v>1.0492700771120348E-8</v>
      </c>
      <c r="X233">
        <f t="shared" si="105"/>
        <v>1.2351285663601557E-3</v>
      </c>
      <c r="Y233">
        <f t="shared" si="106"/>
        <v>1.389519637155175E-4</v>
      </c>
      <c r="Z233">
        <f t="shared" si="107"/>
        <v>6.1756428318007783E-4</v>
      </c>
      <c r="AA233">
        <f t="shared" si="108"/>
        <v>7.082573020506235E-8</v>
      </c>
      <c r="AB233">
        <f t="shared" si="109"/>
        <v>0.05</v>
      </c>
      <c r="AC233">
        <f t="shared" si="113"/>
        <v>0.42148644134435648</v>
      </c>
      <c r="AD233">
        <f t="shared" si="114"/>
        <v>1.9148420312196797E-7</v>
      </c>
      <c r="AE233">
        <f t="shared" si="115"/>
        <v>4.7152968832364084E-3</v>
      </c>
      <c r="AF233">
        <f t="shared" si="116"/>
        <v>5.3047089936409601E-4</v>
      </c>
      <c r="AG233">
        <f t="shared" si="117"/>
        <v>2.3576484416182042E-3</v>
      </c>
      <c r="AH233">
        <f t="shared" si="118"/>
        <v>1.2925183710732838E-6</v>
      </c>
      <c r="AI233">
        <f t="shared" si="119"/>
        <v>0.1</v>
      </c>
    </row>
    <row r="234" spans="5:35" x14ac:dyDescent="0.25">
      <c r="E234">
        <f t="shared" si="110"/>
        <v>2068373.2899365581</v>
      </c>
      <c r="F234">
        <f t="shared" si="90"/>
        <v>0.27324640102416453</v>
      </c>
      <c r="G234">
        <f t="shared" si="91"/>
        <v>5.8427605107735787E-9</v>
      </c>
      <c r="H234">
        <f t="shared" si="92"/>
        <v>7.2215762187755397E-4</v>
      </c>
      <c r="I234">
        <f t="shared" si="93"/>
        <v>8.124273246122483E-5</v>
      </c>
      <c r="J234">
        <f t="shared" si="94"/>
        <v>3.6107881093877699E-4</v>
      </c>
      <c r="K234">
        <f t="shared" si="95"/>
        <v>3.9438633447721657E-8</v>
      </c>
      <c r="L234">
        <v>233</v>
      </c>
      <c r="M234">
        <f t="shared" si="111"/>
        <v>0.05</v>
      </c>
      <c r="N234">
        <f t="shared" si="96"/>
        <v>0.2280762794096656</v>
      </c>
      <c r="O234">
        <f t="shared" si="97"/>
        <v>5.3013346190377595E-7</v>
      </c>
      <c r="P234">
        <f t="shared" si="98"/>
        <v>5.4833646637097054E-3</v>
      </c>
      <c r="Q234">
        <f t="shared" si="99"/>
        <v>6.1687852466734187E-4</v>
      </c>
      <c r="R234">
        <f t="shared" si="100"/>
        <v>2.7416823318548527E-3</v>
      </c>
      <c r="S234">
        <f t="shared" si="101"/>
        <v>3.5784008678504873E-6</v>
      </c>
      <c r="T234">
        <f t="shared" si="102"/>
        <v>0.1</v>
      </c>
      <c r="U234">
        <f t="shared" si="112"/>
        <v>413674.6579873116</v>
      </c>
      <c r="V234">
        <f t="shared" si="103"/>
        <v>0.44508714881538186</v>
      </c>
      <c r="W234">
        <f t="shared" si="104"/>
        <v>9.5171889079019877E-9</v>
      </c>
      <c r="X234">
        <f t="shared" si="105"/>
        <v>1.1763122065360785E-3</v>
      </c>
      <c r="Y234">
        <f t="shared" si="106"/>
        <v>1.3233512323530884E-4</v>
      </c>
      <c r="Z234">
        <f t="shared" si="107"/>
        <v>5.8815610326803925E-4</v>
      </c>
      <c r="AA234">
        <f t="shared" si="108"/>
        <v>6.4241025128338419E-8</v>
      </c>
      <c r="AB234">
        <f t="shared" si="109"/>
        <v>0.05</v>
      </c>
      <c r="AC234">
        <f t="shared" si="113"/>
        <v>0.41916711206008428</v>
      </c>
      <c r="AD234">
        <f t="shared" si="114"/>
        <v>1.7368181683075231E-7</v>
      </c>
      <c r="AE234">
        <f t="shared" si="115"/>
        <v>4.4907459087300192E-3</v>
      </c>
      <c r="AF234">
        <f t="shared" si="116"/>
        <v>5.0520891473212722E-4</v>
      </c>
      <c r="AG234">
        <f t="shared" si="117"/>
        <v>2.2453729543650096E-3</v>
      </c>
      <c r="AH234">
        <f t="shared" si="118"/>
        <v>1.1723522636075782E-6</v>
      </c>
      <c r="AI234">
        <f t="shared" si="119"/>
        <v>0.1</v>
      </c>
    </row>
    <row r="235" spans="5:35" x14ac:dyDescent="0.25">
      <c r="E235">
        <f t="shared" si="110"/>
        <v>2171791.9544333862</v>
      </c>
      <c r="F235">
        <f t="shared" si="90"/>
        <v>0.27193594425923373</v>
      </c>
      <c r="G235">
        <f t="shared" si="91"/>
        <v>5.2995560187696788E-9</v>
      </c>
      <c r="H235">
        <f t="shared" si="92"/>
        <v>6.8776876621678929E-4</v>
      </c>
      <c r="I235">
        <f t="shared" si="93"/>
        <v>7.7373986199388801E-5</v>
      </c>
      <c r="J235">
        <f t="shared" si="94"/>
        <v>3.4388438310839465E-4</v>
      </c>
      <c r="K235">
        <f t="shared" si="95"/>
        <v>3.5772003126695332E-8</v>
      </c>
      <c r="L235">
        <v>234</v>
      </c>
      <c r="M235">
        <f t="shared" si="111"/>
        <v>0.05</v>
      </c>
      <c r="N235">
        <f t="shared" si="96"/>
        <v>0.22671025945699652</v>
      </c>
      <c r="O235">
        <f t="shared" si="97"/>
        <v>4.8084667652329042E-7</v>
      </c>
      <c r="P235">
        <f t="shared" si="98"/>
        <v>5.2222159869613604E-3</v>
      </c>
      <c r="Q235">
        <f t="shared" si="99"/>
        <v>5.8749929853315307E-4</v>
      </c>
      <c r="R235">
        <f t="shared" si="100"/>
        <v>2.6111079934806802E-3</v>
      </c>
      <c r="S235">
        <f t="shared" si="101"/>
        <v>3.2457150665322098E-6</v>
      </c>
      <c r="T235">
        <f t="shared" si="102"/>
        <v>0.1</v>
      </c>
      <c r="U235">
        <f t="shared" si="112"/>
        <v>434358.3908866772</v>
      </c>
      <c r="V235">
        <f t="shared" si="103"/>
        <v>0.44295256456116028</v>
      </c>
      <c r="W235">
        <f t="shared" si="104"/>
        <v>8.6323708914028703E-9</v>
      </c>
      <c r="X235">
        <f t="shared" si="105"/>
        <v>1.1202966921150127E-3</v>
      </c>
      <c r="Y235">
        <f t="shared" si="106"/>
        <v>1.2603337786293891E-4</v>
      </c>
      <c r="Z235">
        <f t="shared" si="107"/>
        <v>5.6014834605750633E-4</v>
      </c>
      <c r="AA235">
        <f t="shared" si="108"/>
        <v>5.8268503516969381E-8</v>
      </c>
      <c r="AB235">
        <f t="shared" si="109"/>
        <v>0.05</v>
      </c>
      <c r="AC235">
        <f t="shared" si="113"/>
        <v>0.41687094114398293</v>
      </c>
      <c r="AD235">
        <f t="shared" si="114"/>
        <v>1.5753452768834624E-7</v>
      </c>
      <c r="AE235">
        <f t="shared" si="115"/>
        <v>4.276889049029205E-3</v>
      </c>
      <c r="AF235">
        <f t="shared" si="116"/>
        <v>4.811500180157856E-4</v>
      </c>
      <c r="AG235">
        <f t="shared" si="117"/>
        <v>2.1384445245146025E-3</v>
      </c>
      <c r="AH235">
        <f t="shared" si="118"/>
        <v>1.0633580618963369E-6</v>
      </c>
      <c r="AI235">
        <f t="shared" si="119"/>
        <v>0.1</v>
      </c>
    </row>
    <row r="236" spans="5:35" x14ac:dyDescent="0.25">
      <c r="E236">
        <f t="shared" si="110"/>
        <v>2280381.5521550556</v>
      </c>
      <c r="F236">
        <f t="shared" si="90"/>
        <v>0.27063673597957361</v>
      </c>
      <c r="G236">
        <f t="shared" si="91"/>
        <v>4.8068535317041778E-9</v>
      </c>
      <c r="H236">
        <f t="shared" si="92"/>
        <v>6.5501751206526804E-4</v>
      </c>
      <c r="I236">
        <f t="shared" si="93"/>
        <v>7.3689470107342654E-5</v>
      </c>
      <c r="J236">
        <f t="shared" si="94"/>
        <v>3.2750875603263402E-4</v>
      </c>
      <c r="K236">
        <f t="shared" si="95"/>
        <v>3.2446261339003204E-8</v>
      </c>
      <c r="L236">
        <v>235</v>
      </c>
      <c r="M236">
        <f t="shared" si="111"/>
        <v>0.05</v>
      </c>
      <c r="N236">
        <f t="shared" si="96"/>
        <v>0.22535919523875425</v>
      </c>
      <c r="O236">
        <f t="shared" si="97"/>
        <v>4.3614210945149473E-7</v>
      </c>
      <c r="P236">
        <f t="shared" si="98"/>
        <v>4.9735063157200742E-3</v>
      </c>
      <c r="Q236">
        <f t="shared" si="99"/>
        <v>5.5951946051850849E-4</v>
      </c>
      <c r="R236">
        <f t="shared" si="100"/>
        <v>2.4867531578600371E-3</v>
      </c>
      <c r="S236">
        <f t="shared" si="101"/>
        <v>2.9439592387975894E-6</v>
      </c>
      <c r="T236">
        <f t="shared" si="102"/>
        <v>0.1</v>
      </c>
      <c r="U236">
        <f t="shared" si="112"/>
        <v>456076.31043101108</v>
      </c>
      <c r="V236">
        <f t="shared" si="103"/>
        <v>0.44083630280347991</v>
      </c>
      <c r="W236">
        <f t="shared" si="104"/>
        <v>7.829814867388345E-9</v>
      </c>
      <c r="X236">
        <f t="shared" si="105"/>
        <v>1.0669486433363593E-3</v>
      </c>
      <c r="Y236">
        <f t="shared" si="106"/>
        <v>1.2003172237534042E-4</v>
      </c>
      <c r="Z236">
        <f t="shared" si="107"/>
        <v>5.3347432166817965E-4</v>
      </c>
      <c r="AA236">
        <f t="shared" si="108"/>
        <v>5.285125035487133E-8</v>
      </c>
      <c r="AB236">
        <f t="shared" si="109"/>
        <v>0.05</v>
      </c>
      <c r="AC236">
        <f t="shared" si="113"/>
        <v>0.41459758454361789</v>
      </c>
      <c r="AD236">
        <f t="shared" si="114"/>
        <v>1.4288846044773863E-7</v>
      </c>
      <c r="AE236">
        <f t="shared" si="115"/>
        <v>4.0732169479514276E-3</v>
      </c>
      <c r="AF236">
        <f t="shared" si="116"/>
        <v>4.5823690664453559E-4</v>
      </c>
      <c r="AG236">
        <f t="shared" si="117"/>
        <v>2.0366084739757138E-3</v>
      </c>
      <c r="AH236">
        <f t="shared" si="118"/>
        <v>9.6449710802223581E-7</v>
      </c>
      <c r="AI236">
        <f t="shared" si="119"/>
        <v>0.1</v>
      </c>
    </row>
    <row r="237" spans="5:35" x14ac:dyDescent="0.25">
      <c r="E237">
        <f t="shared" si="110"/>
        <v>2394400.6297628083</v>
      </c>
      <c r="F237">
        <f t="shared" si="90"/>
        <v>0.26934863258537683</v>
      </c>
      <c r="G237">
        <f t="shared" si="91"/>
        <v>4.3599578518367583E-9</v>
      </c>
      <c r="H237">
        <f t="shared" si="92"/>
        <v>6.2382587496305519E-4</v>
      </c>
      <c r="I237">
        <f t="shared" si="93"/>
        <v>7.0180410933343718E-5</v>
      </c>
      <c r="J237">
        <f t="shared" si="94"/>
        <v>3.1191293748152759E-4</v>
      </c>
      <c r="K237">
        <f t="shared" si="95"/>
        <v>2.9429715499898118E-8</v>
      </c>
      <c r="L237">
        <v>236</v>
      </c>
      <c r="M237">
        <f t="shared" si="111"/>
        <v>0.05</v>
      </c>
      <c r="N237">
        <f t="shared" si="96"/>
        <v>0.22402284311284568</v>
      </c>
      <c r="O237">
        <f t="shared" si="97"/>
        <v>3.9559374943284808E-7</v>
      </c>
      <c r="P237">
        <f t="shared" si="98"/>
        <v>4.7366430044853596E-3</v>
      </c>
      <c r="Q237">
        <f t="shared" si="99"/>
        <v>5.3287233800460303E-4</v>
      </c>
      <c r="R237">
        <f t="shared" si="100"/>
        <v>2.3683215022426798E-3</v>
      </c>
      <c r="S237">
        <f t="shared" si="101"/>
        <v>2.6702578086717246E-6</v>
      </c>
      <c r="T237">
        <f t="shared" si="102"/>
        <v>0.1</v>
      </c>
      <c r="U237">
        <f t="shared" si="112"/>
        <v>478880.12595256168</v>
      </c>
      <c r="V237">
        <f t="shared" si="103"/>
        <v>0.43873812963467113</v>
      </c>
      <c r="W237">
        <f t="shared" si="104"/>
        <v>7.1018728955103288E-9</v>
      </c>
      <c r="X237">
        <f t="shared" si="105"/>
        <v>1.0161410324303322E-3</v>
      </c>
      <c r="Y237">
        <f t="shared" si="106"/>
        <v>1.1431586614841238E-4</v>
      </c>
      <c r="Z237">
        <f t="shared" si="107"/>
        <v>5.0807051621516611E-4</v>
      </c>
      <c r="AA237">
        <f t="shared" si="108"/>
        <v>4.793764204469472E-8</v>
      </c>
      <c r="AB237">
        <f t="shared" si="109"/>
        <v>0.05</v>
      </c>
      <c r="AC237">
        <f t="shared" si="113"/>
        <v>0.41234670498812775</v>
      </c>
      <c r="AD237">
        <f t="shared" si="114"/>
        <v>1.296040457242195E-7</v>
      </c>
      <c r="AE237">
        <f t="shared" si="115"/>
        <v>3.8792445148420735E-3</v>
      </c>
      <c r="AF237">
        <f t="shared" si="116"/>
        <v>4.3641500791973328E-4</v>
      </c>
      <c r="AG237">
        <f t="shared" si="117"/>
        <v>1.9396222574210367E-3</v>
      </c>
      <c r="AH237">
        <f t="shared" si="118"/>
        <v>8.7482730863848161E-7</v>
      </c>
      <c r="AI237">
        <f t="shared" si="119"/>
        <v>0.1</v>
      </c>
    </row>
    <row r="238" spans="5:35" x14ac:dyDescent="0.25">
      <c r="E238">
        <f t="shared" si="110"/>
        <v>2514120.6612509489</v>
      </c>
      <c r="F238">
        <f t="shared" si="90"/>
        <v>0.26807149291072158</v>
      </c>
      <c r="G238">
        <f t="shared" si="91"/>
        <v>3.9546102964101647E-9</v>
      </c>
      <c r="H238">
        <f t="shared" si="92"/>
        <v>5.9411958431535234E-4</v>
      </c>
      <c r="I238">
        <f t="shared" si="93"/>
        <v>6.683845323547713E-5</v>
      </c>
      <c r="J238">
        <f t="shared" si="94"/>
        <v>2.9705979215767617E-4</v>
      </c>
      <c r="K238">
        <f t="shared" si="95"/>
        <v>2.669361950076861E-8</v>
      </c>
      <c r="L238">
        <v>237</v>
      </c>
      <c r="M238">
        <f t="shared" si="111"/>
        <v>0.05</v>
      </c>
      <c r="N238">
        <f t="shared" si="96"/>
        <v>0.22270096470075215</v>
      </c>
      <c r="O238">
        <f t="shared" si="97"/>
        <v>3.5881519170566178E-7</v>
      </c>
      <c r="P238">
        <f t="shared" si="98"/>
        <v>4.5110616579771817E-3</v>
      </c>
      <c r="Q238">
        <f t="shared" si="99"/>
        <v>5.0749443652243283E-4</v>
      </c>
      <c r="R238">
        <f t="shared" si="100"/>
        <v>2.2555308289885908E-3</v>
      </c>
      <c r="S238">
        <f t="shared" si="101"/>
        <v>2.4220025440132173E-6</v>
      </c>
      <c r="T238">
        <f t="shared" si="102"/>
        <v>0.1</v>
      </c>
      <c r="U238">
        <f t="shared" si="112"/>
        <v>502824.13225018978</v>
      </c>
      <c r="V238">
        <f t="shared" si="103"/>
        <v>0.43665781511158597</v>
      </c>
      <c r="W238">
        <f t="shared" si="104"/>
        <v>6.4416080684242734E-9</v>
      </c>
      <c r="X238">
        <f t="shared" si="105"/>
        <v>9.6775288108887027E-4</v>
      </c>
      <c r="Y238">
        <f t="shared" si="106"/>
        <v>1.0887219912249789E-4</v>
      </c>
      <c r="Z238">
        <f t="shared" si="107"/>
        <v>4.8387644054443513E-4</v>
      </c>
      <c r="AA238">
        <f t="shared" si="108"/>
        <v>4.3480854461863843E-8</v>
      </c>
      <c r="AB238">
        <f t="shared" si="109"/>
        <v>0.05</v>
      </c>
      <c r="AC238">
        <f t="shared" si="113"/>
        <v>0.41011797182195175</v>
      </c>
      <c r="AD238">
        <f t="shared" si="114"/>
        <v>1.1755468997184134E-7</v>
      </c>
      <c r="AE238">
        <f t="shared" si="115"/>
        <v>3.6945097680994073E-3</v>
      </c>
      <c r="AF238">
        <f t="shared" si="116"/>
        <v>4.1563234891118335E-4</v>
      </c>
      <c r="AG238">
        <f t="shared" si="117"/>
        <v>1.8472548840497037E-3</v>
      </c>
      <c r="AH238">
        <f t="shared" si="118"/>
        <v>7.9349415730992892E-7</v>
      </c>
      <c r="AI238">
        <f t="shared" si="119"/>
        <v>0.1</v>
      </c>
    </row>
    <row r="239" spans="5:35" x14ac:dyDescent="0.25">
      <c r="E239">
        <f t="shared" si="110"/>
        <v>2639826.6943134964</v>
      </c>
      <c r="F239">
        <f t="shared" si="90"/>
        <v>0.26680517817222482</v>
      </c>
      <c r="G239">
        <f t="shared" si="91"/>
        <v>3.5869481146245017E-9</v>
      </c>
      <c r="H239">
        <f t="shared" si="92"/>
        <v>5.6582790651207794E-4</v>
      </c>
      <c r="I239">
        <f t="shared" si="93"/>
        <v>6.3655639482608766E-5</v>
      </c>
      <c r="J239">
        <f t="shared" si="94"/>
        <v>2.8291395325603897E-4</v>
      </c>
      <c r="K239">
        <f t="shared" si="95"/>
        <v>2.4211899773715386E-8</v>
      </c>
      <c r="L239">
        <v>238</v>
      </c>
      <c r="M239">
        <f t="shared" si="111"/>
        <v>0.05</v>
      </c>
      <c r="N239">
        <f t="shared" si="96"/>
        <v>0.22139332674614987</v>
      </c>
      <c r="O239">
        <f t="shared" si="97"/>
        <v>3.2545595576477974E-7</v>
      </c>
      <c r="P239">
        <f t="shared" si="98"/>
        <v>4.2962247831895379E-3</v>
      </c>
      <c r="Q239">
        <f t="shared" si="99"/>
        <v>4.8332528810882304E-4</v>
      </c>
      <c r="R239">
        <f t="shared" si="100"/>
        <v>2.148112391594769E-3</v>
      </c>
      <c r="S239">
        <f t="shared" si="101"/>
        <v>2.1968277014122635E-6</v>
      </c>
      <c r="T239">
        <f t="shared" si="102"/>
        <v>0.1</v>
      </c>
      <c r="U239">
        <f t="shared" si="112"/>
        <v>527965.33886269934</v>
      </c>
      <c r="V239">
        <f t="shared" si="103"/>
        <v>0.43459513317195969</v>
      </c>
      <c r="W239">
        <f t="shared" si="104"/>
        <v>5.8427284066798797E-9</v>
      </c>
      <c r="X239">
        <f t="shared" si="105"/>
        <v>9.2166897234765579E-4</v>
      </c>
      <c r="Y239">
        <f t="shared" si="106"/>
        <v>1.0368775938911127E-4</v>
      </c>
      <c r="Z239">
        <f t="shared" si="107"/>
        <v>4.6083448617382789E-4</v>
      </c>
      <c r="AA239">
        <f t="shared" si="108"/>
        <v>3.9438416745089189E-8</v>
      </c>
      <c r="AB239">
        <f t="shared" si="109"/>
        <v>0.05</v>
      </c>
      <c r="AC239">
        <f t="shared" si="113"/>
        <v>0.40791106084342943</v>
      </c>
      <c r="AD239">
        <f t="shared" si="114"/>
        <v>1.0662556911287315E-7</v>
      </c>
      <c r="AE239">
        <f t="shared" si="115"/>
        <v>3.5185727338603091E-3</v>
      </c>
      <c r="AF239">
        <f t="shared" si="116"/>
        <v>3.9583943255928482E-4</v>
      </c>
      <c r="AG239">
        <f t="shared" si="117"/>
        <v>1.7592863669301545E-3</v>
      </c>
      <c r="AH239">
        <f t="shared" si="118"/>
        <v>7.1972259151189374E-7</v>
      </c>
      <c r="AI239">
        <f t="shared" si="119"/>
        <v>0.1</v>
      </c>
    </row>
    <row r="240" spans="5:35" x14ac:dyDescent="0.25">
      <c r="E240">
        <f t="shared" si="110"/>
        <v>2771818.0290291714</v>
      </c>
      <c r="F240">
        <f t="shared" si="90"/>
        <v>0.26554955191898866</v>
      </c>
      <c r="G240">
        <f t="shared" si="91"/>
        <v>3.2534676776365956E-9</v>
      </c>
      <c r="H240">
        <f t="shared" si="92"/>
        <v>5.3888347647308721E-4</v>
      </c>
      <c r="I240">
        <f t="shared" si="93"/>
        <v>6.0624391103222319E-5</v>
      </c>
      <c r="J240">
        <f t="shared" si="94"/>
        <v>2.694417382365436E-4</v>
      </c>
      <c r="K240">
        <f t="shared" si="95"/>
        <v>2.1960906824047018E-8</v>
      </c>
      <c r="L240">
        <v>239</v>
      </c>
      <c r="M240">
        <f t="shared" si="111"/>
        <v>0.05</v>
      </c>
      <c r="N240">
        <f t="shared" si="96"/>
        <v>0.22009970097806658</v>
      </c>
      <c r="O240">
        <f t="shared" si="97"/>
        <v>2.9519814546394794E-7</v>
      </c>
      <c r="P240">
        <f t="shared" si="98"/>
        <v>4.09162050588293E-3</v>
      </c>
      <c r="Q240">
        <f t="shared" si="99"/>
        <v>4.6030730691182969E-4</v>
      </c>
      <c r="R240">
        <f t="shared" si="100"/>
        <v>2.045810252941465E-3</v>
      </c>
      <c r="S240">
        <f t="shared" si="101"/>
        <v>1.9925874818816486E-6</v>
      </c>
      <c r="T240">
        <f t="shared" si="102"/>
        <v>0.1</v>
      </c>
      <c r="U240">
        <f t="shared" si="112"/>
        <v>554363.60580583429</v>
      </c>
      <c r="V240">
        <f t="shared" si="103"/>
        <v>0.43254986155287922</v>
      </c>
      <c r="W240">
        <f t="shared" si="104"/>
        <v>5.2995268994383337E-9</v>
      </c>
      <c r="X240">
        <f t="shared" si="105"/>
        <v>8.7777957619253756E-4</v>
      </c>
      <c r="Y240">
        <f t="shared" si="106"/>
        <v>9.8750202321660485E-5</v>
      </c>
      <c r="Z240">
        <f t="shared" si="107"/>
        <v>4.3888978809626878E-4</v>
      </c>
      <c r="AA240">
        <f t="shared" si="108"/>
        <v>3.5771806571208747E-8</v>
      </c>
      <c r="AB240">
        <f t="shared" si="109"/>
        <v>0.05</v>
      </c>
      <c r="AC240">
        <f t="shared" si="113"/>
        <v>0.40572565414810308</v>
      </c>
      <c r="AD240">
        <f t="shared" si="114"/>
        <v>9.6712534324162345E-8</v>
      </c>
      <c r="AE240">
        <f t="shared" si="115"/>
        <v>3.3510143972116839E-3</v>
      </c>
      <c r="AF240">
        <f t="shared" si="116"/>
        <v>3.769891196863144E-4</v>
      </c>
      <c r="AG240">
        <f t="shared" si="117"/>
        <v>1.675507198605842E-3</v>
      </c>
      <c r="AH240">
        <f t="shared" si="118"/>
        <v>6.5280960668809593E-7</v>
      </c>
      <c r="AI240">
        <f t="shared" si="119"/>
        <v>0.1</v>
      </c>
    </row>
    <row r="241" spans="5:35" x14ac:dyDescent="0.25">
      <c r="E241">
        <f t="shared" si="110"/>
        <v>2910408.9304806301</v>
      </c>
      <c r="F241">
        <f t="shared" si="90"/>
        <v>0.2643044799838028</v>
      </c>
      <c r="G241">
        <f t="shared" si="91"/>
        <v>2.9509910908043426E-9</v>
      </c>
      <c r="H241">
        <f t="shared" si="92"/>
        <v>5.1322213721755224E-4</v>
      </c>
      <c r="I241">
        <f t="shared" si="93"/>
        <v>5.7737490436974628E-5</v>
      </c>
      <c r="J241">
        <f t="shared" si="94"/>
        <v>2.5661106860877612E-4</v>
      </c>
      <c r="K241">
        <f t="shared" si="95"/>
        <v>1.9919189862929309E-8</v>
      </c>
      <c r="L241">
        <v>240</v>
      </c>
      <c r="M241">
        <f t="shared" si="111"/>
        <v>0.05</v>
      </c>
      <c r="N241">
        <f t="shared" si="96"/>
        <v>0.21881986397839887</v>
      </c>
      <c r="O241">
        <f t="shared" si="97"/>
        <v>2.677534196303443E-7</v>
      </c>
      <c r="P241">
        <f t="shared" si="98"/>
        <v>3.8967613484238539E-3</v>
      </c>
      <c r="Q241">
        <f t="shared" si="99"/>
        <v>4.3838565169768357E-4</v>
      </c>
      <c r="R241">
        <f t="shared" si="100"/>
        <v>1.9483806742119269E-3</v>
      </c>
      <c r="S241">
        <f t="shared" si="101"/>
        <v>1.807335582504824E-6</v>
      </c>
      <c r="T241">
        <f t="shared" si="102"/>
        <v>0.1</v>
      </c>
      <c r="U241">
        <f t="shared" si="112"/>
        <v>582081.78609612607</v>
      </c>
      <c r="V241">
        <f t="shared" si="103"/>
        <v>0.43052178171129724</v>
      </c>
      <c r="W241">
        <f t="shared" si="104"/>
        <v>4.8068271196353056E-9</v>
      </c>
      <c r="X241">
        <f t="shared" si="105"/>
        <v>8.3598018823638931E-4</v>
      </c>
      <c r="Y241">
        <f t="shared" si="106"/>
        <v>9.4047771176593805E-5</v>
      </c>
      <c r="Z241">
        <f t="shared" si="107"/>
        <v>4.1799009411819466E-4</v>
      </c>
      <c r="AA241">
        <f t="shared" si="108"/>
        <v>3.2446083057538308E-8</v>
      </c>
      <c r="AB241">
        <f t="shared" si="109"/>
        <v>0.05</v>
      </c>
      <c r="AC241">
        <f t="shared" si="113"/>
        <v>0.40356143997655969</v>
      </c>
      <c r="AD241">
        <f t="shared" si="114"/>
        <v>8.7721119553115602E-8</v>
      </c>
      <c r="AE241">
        <f t="shared" si="115"/>
        <v>3.1914357034186634E-3</v>
      </c>
      <c r="AF241">
        <f t="shared" si="116"/>
        <v>3.5903651663459965E-4</v>
      </c>
      <c r="AG241">
        <f t="shared" si="117"/>
        <v>1.5957178517093317E-3</v>
      </c>
      <c r="AH241">
        <f t="shared" si="118"/>
        <v>5.9211755698353036E-7</v>
      </c>
      <c r="AI241">
        <f t="shared" si="119"/>
        <v>0.1</v>
      </c>
    </row>
    <row r="242" spans="5:35" x14ac:dyDescent="0.25">
      <c r="E242">
        <f t="shared" si="110"/>
        <v>3055929.3770046616</v>
      </c>
      <c r="F242">
        <f t="shared" si="90"/>
        <v>0.26306983043556909</v>
      </c>
      <c r="G242">
        <f t="shared" si="91"/>
        <v>2.6766359100081032E-9</v>
      </c>
      <c r="H242">
        <f t="shared" si="92"/>
        <v>4.8878278707516654E-4</v>
      </c>
      <c r="I242">
        <f t="shared" si="93"/>
        <v>5.498806354595624E-5</v>
      </c>
      <c r="J242">
        <f t="shared" si="94"/>
        <v>2.4439139353758327E-4</v>
      </c>
      <c r="K242">
        <f t="shared" si="95"/>
        <v>1.8067292392554699E-8</v>
      </c>
      <c r="L242">
        <v>241</v>
      </c>
      <c r="M242">
        <f t="shared" si="111"/>
        <v>0.05</v>
      </c>
      <c r="N242">
        <f t="shared" si="96"/>
        <v>0.21755359705363375</v>
      </c>
      <c r="O242">
        <f t="shared" si="97"/>
        <v>2.4286024432276733E-7</v>
      </c>
      <c r="P242">
        <f t="shared" si="98"/>
        <v>3.7111830660288554E-3</v>
      </c>
      <c r="Q242">
        <f t="shared" si="99"/>
        <v>4.1750809492824623E-4</v>
      </c>
      <c r="R242">
        <f t="shared" si="100"/>
        <v>1.8555915330144277E-3</v>
      </c>
      <c r="S242">
        <f t="shared" si="101"/>
        <v>1.6393066491786793E-6</v>
      </c>
      <c r="T242">
        <f t="shared" si="102"/>
        <v>0.1</v>
      </c>
      <c r="U242">
        <f t="shared" si="112"/>
        <v>611185.87540093239</v>
      </c>
      <c r="V242">
        <f t="shared" si="103"/>
        <v>0.42851067874653787</v>
      </c>
      <c r="W242">
        <f t="shared" si="104"/>
        <v>4.3599338953306675E-9</v>
      </c>
      <c r="X242">
        <f t="shared" si="105"/>
        <v>7.9617128084363169E-4</v>
      </c>
      <c r="Y242">
        <f t="shared" si="106"/>
        <v>8.956926909490857E-5</v>
      </c>
      <c r="Z242">
        <f t="shared" si="107"/>
        <v>3.9808564042181585E-4</v>
      </c>
      <c r="AA242">
        <f t="shared" si="108"/>
        <v>2.9429553793482005E-8</v>
      </c>
      <c r="AB242">
        <f t="shared" si="109"/>
        <v>0.05</v>
      </c>
      <c r="AC242">
        <f t="shared" si="113"/>
        <v>0.40141811256667004</v>
      </c>
      <c r="AD242">
        <f t="shared" si="114"/>
        <v>7.9565641305443172E-8</v>
      </c>
      <c r="AE242">
        <f t="shared" si="115"/>
        <v>3.0394566067809508E-3</v>
      </c>
      <c r="AF242">
        <f t="shared" si="116"/>
        <v>3.4193886826285698E-4</v>
      </c>
      <c r="AG242">
        <f t="shared" si="117"/>
        <v>1.5197283033904754E-3</v>
      </c>
      <c r="AH242">
        <f t="shared" si="118"/>
        <v>5.3706807881174158E-7</v>
      </c>
      <c r="AI242">
        <f t="shared" si="119"/>
        <v>0.1</v>
      </c>
    </row>
  </sheetData>
  <dataConsolidate/>
  <mergeCells count="10">
    <mergeCell ref="N1:T1"/>
    <mergeCell ref="U1:AB1"/>
    <mergeCell ref="AC1:AI1"/>
    <mergeCell ref="A2:C2"/>
    <mergeCell ref="A3:C3"/>
    <mergeCell ref="A16:C16"/>
    <mergeCell ref="A25:C25"/>
    <mergeCell ref="A26:C26"/>
    <mergeCell ref="A32:C32"/>
    <mergeCell ref="F1:M1"/>
  </mergeCells>
  <dataValidations count="1">
    <dataValidation type="list" allowBlank="1" showInputMessage="1" showErrorMessage="1" sqref="B6 B35 B29 B19">
      <formula1>$F$2:$K$2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3"/>
  <sheetViews>
    <sheetView workbookViewId="0">
      <selection activeCell="J7" sqref="J7"/>
    </sheetView>
  </sheetViews>
  <sheetFormatPr defaultColWidth="3.7109375" defaultRowHeight="15" x14ac:dyDescent="0.25"/>
  <cols>
    <col min="1" max="1" width="7.5703125" bestFit="1" customWidth="1"/>
    <col min="2" max="3" width="6.28515625" bestFit="1" customWidth="1"/>
    <col min="4" max="4" width="7.28515625" bestFit="1" customWidth="1"/>
    <col min="5" max="5" width="6.28515625" bestFit="1" customWidth="1"/>
    <col min="6" max="7" width="7.28515625" bestFit="1" customWidth="1"/>
    <col min="8" max="8" width="4.7109375" bestFit="1" customWidth="1"/>
    <col min="10" max="10" width="7.5703125" bestFit="1" customWidth="1"/>
    <col min="11" max="11" width="6.28515625" bestFit="1" customWidth="1"/>
    <col min="12" max="12" width="10.28515625" bestFit="1" customWidth="1"/>
    <col min="13" max="15" width="7.28515625" bestFit="1" customWidth="1"/>
    <col min="16" max="16" width="9.28515625" bestFit="1" customWidth="1"/>
    <col min="17" max="17" width="7.28515625" bestFit="1" customWidth="1"/>
  </cols>
  <sheetData>
    <row r="1" spans="1:18" x14ac:dyDescent="0.25">
      <c r="A1" t="s">
        <v>0</v>
      </c>
      <c r="B1" s="62" t="s">
        <v>154</v>
      </c>
      <c r="C1" s="62"/>
      <c r="D1" s="62"/>
      <c r="E1" s="62"/>
      <c r="F1" s="62"/>
      <c r="G1" s="62"/>
      <c r="H1" s="62"/>
      <c r="J1" t="s">
        <v>0</v>
      </c>
      <c r="K1" s="62" t="s">
        <v>155</v>
      </c>
      <c r="L1" s="62"/>
      <c r="M1" s="62"/>
      <c r="N1" s="62"/>
      <c r="O1" s="62"/>
      <c r="P1" s="62"/>
      <c r="R1" s="66" t="s">
        <v>167</v>
      </c>
    </row>
    <row r="2" spans="1:18" x14ac:dyDescent="0.25">
      <c r="A2">
        <f>ECS!O40</f>
        <v>0.315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J2">
        <f>H3-(ECS!O70)</f>
        <v>6.6500217852494381E-2</v>
      </c>
      <c r="K2" t="s">
        <v>2</v>
      </c>
      <c r="L2" t="s">
        <v>3</v>
      </c>
      <c r="M2" t="s">
        <v>4</v>
      </c>
      <c r="N2" t="s">
        <v>5</v>
      </c>
      <c r="O2" t="s">
        <v>6</v>
      </c>
      <c r="P2" t="s">
        <v>7</v>
      </c>
      <c r="R2" s="66"/>
    </row>
    <row r="3" spans="1:18" x14ac:dyDescent="0.25">
      <c r="A3" t="s">
        <v>142</v>
      </c>
      <c r="B3" s="25">
        <f>(0.14*$A$2)/(($A$6/$A$4)^0.02-1)</f>
        <v>1.0080748246936959</v>
      </c>
      <c r="C3" s="25">
        <f>(80*$A$2)/(($A$6/$A$4)^2-1)</f>
        <v>0.35312650455864214</v>
      </c>
      <c r="D3" s="25">
        <f>(120*$A$2)/(($A$6/$A$4)-1)</f>
        <v>5.0355574920221713</v>
      </c>
      <c r="E3" s="25">
        <f>(13.5*$A$2)/(($A$6/$A$4)-1)</f>
        <v>0.56650021785249438</v>
      </c>
      <c r="F3" s="25">
        <f>(60*$A$2)/(($A$6/$A$4)-1)</f>
        <v>2.5177787460110856</v>
      </c>
      <c r="G3" s="25">
        <f>(540*$A$2)/(($A$6/$A$4)^2-1)</f>
        <v>2.3836039057708343</v>
      </c>
      <c r="H3">
        <f>HLOOKUP(ECS!O38,Auxiliar!B2:G3,2,FALSE)</f>
        <v>0.56650021785249438</v>
      </c>
      <c r="J3" t="s">
        <v>142</v>
      </c>
      <c r="K3" s="24">
        <f>((($J$6/$J$4)^0.02-1)*$J$2)/(0.14)</f>
        <v>4.5999212547011212E-2</v>
      </c>
      <c r="L3" s="24">
        <f>((($J$6/$J$4)^2-1)*$J$2)/(80)</f>
        <v>8.5906143897926253</v>
      </c>
      <c r="M3" s="24">
        <f>((($J$6/$J$4)-1)*$J$2)/(120)</f>
        <v>5.5784736907765531E-2</v>
      </c>
      <c r="N3" s="24">
        <f>((($J$6/$J$4)-1)*$J$2)/(13.5)</f>
        <v>0.49586432806902692</v>
      </c>
      <c r="O3" s="24">
        <f>((($J$6/$J$4)-1)*$J$2)/(60)</f>
        <v>0.11156947381553106</v>
      </c>
      <c r="P3" s="24">
        <f>((($J$6/$J$4)^2-1)*$J$2)/(540)</f>
        <v>1.2726836133026111</v>
      </c>
      <c r="Q3" s="28">
        <f>HLOOKUP(ECS!O71,Auxiliar!K2:P3,2,FALSE)</f>
        <v>0.49586432806902692</v>
      </c>
      <c r="R3" s="66"/>
    </row>
    <row r="4" spans="1:18" x14ac:dyDescent="0.25">
      <c r="A4">
        <f>ECS!O39</f>
        <v>300</v>
      </c>
      <c r="J4" s="25">
        <f>ECS!O68</f>
        <v>25.10218561694025</v>
      </c>
      <c r="R4" s="66"/>
    </row>
    <row r="5" spans="1:18" x14ac:dyDescent="0.25">
      <c r="A5" t="s">
        <v>144</v>
      </c>
      <c r="J5" t="s">
        <v>144</v>
      </c>
      <c r="R5" s="66"/>
    </row>
    <row r="6" spans="1:18" x14ac:dyDescent="0.25">
      <c r="A6" s="25">
        <f>ECS!O76</f>
        <v>2551.9850121790782</v>
      </c>
      <c r="J6" s="25">
        <f>ECS!O76</f>
        <v>2551.9850121790782</v>
      </c>
      <c r="R6" s="66"/>
    </row>
    <row r="8" spans="1:18" x14ac:dyDescent="0.25">
      <c r="A8" t="s">
        <v>0</v>
      </c>
      <c r="B8" s="24">
        <f>(0.14*$A$9)/(($A$13/$A$11)^0.02-1)</f>
        <v>3.7721593781387539</v>
      </c>
      <c r="C8" s="24">
        <f>(80*$A$9)/(($A$13/$A$11)^2-1)</f>
        <v>5.3466136110975597</v>
      </c>
      <c r="D8" s="24">
        <f>(120*$A$9)/(($A$13/$A$11)-1)</f>
        <v>34.193589699682825</v>
      </c>
      <c r="E8" s="24">
        <f>(13.5*$A$9)/(($A$13/$A$11)-1)</f>
        <v>3.8467788412143169</v>
      </c>
      <c r="F8" s="24">
        <f>(60*$A$9)/(($A$13/$A$11)-1)</f>
        <v>17.096794849841412</v>
      </c>
      <c r="G8" s="24">
        <f>(540*$A$9)/(($A$13/$A$11)^2-1)</f>
        <v>36.089641874908523</v>
      </c>
      <c r="H8">
        <f>HLOOKUP(ECS!O44,Auxiliar!B2:G8,7,FALSE)</f>
        <v>3.8467788412143169</v>
      </c>
      <c r="J8" t="s">
        <v>0</v>
      </c>
      <c r="K8" s="24">
        <f>((($J$13/$J$11)^0.02-1)*$J$9)/(0.14)</f>
        <v>0.30129794188638698</v>
      </c>
      <c r="L8" s="24">
        <f>((($J$13/$J$11)^2-1)*$J$9)/(80)</f>
        <v>2.2627814741255277</v>
      </c>
      <c r="M8" s="24">
        <f>((($J$13/$J$11)-1)*$J$9)/(120)</f>
        <v>9.0866958922901989E-2</v>
      </c>
      <c r="N8" s="24">
        <f>((($J$13/$J$11)-1)*$J$9)/(13.5)</f>
        <v>0.80770630153690648</v>
      </c>
      <c r="O8" s="24">
        <f>((($J$13/$J$11)-1)*$J$9)/(60)</f>
        <v>0.18173391784580398</v>
      </c>
      <c r="P8" s="24">
        <f>((($J$13/$J$11)^2-1)*$J$9)/(540)</f>
        <v>0.33522688505563375</v>
      </c>
      <c r="Q8">
        <f>HLOOKUP(ECS!O71,Auxiliar!K2:P8,7,FALSE)</f>
        <v>0.80770630153690648</v>
      </c>
      <c r="R8" s="66" t="s">
        <v>168</v>
      </c>
    </row>
    <row r="9" spans="1:18" x14ac:dyDescent="0.25">
      <c r="A9">
        <f>ECS!O46</f>
        <v>0.64500000000000002</v>
      </c>
      <c r="J9" s="25">
        <f>H8-(ECS!O83)</f>
        <v>0.74677884121431681</v>
      </c>
      <c r="R9" s="66"/>
    </row>
    <row r="10" spans="1:18" x14ac:dyDescent="0.25">
      <c r="A10" t="s">
        <v>142</v>
      </c>
      <c r="J10" t="s">
        <v>142</v>
      </c>
      <c r="R10" s="66"/>
    </row>
    <row r="11" spans="1:18" x14ac:dyDescent="0.25">
      <c r="A11">
        <f>ECS!O45</f>
        <v>24</v>
      </c>
      <c r="J11" s="25">
        <f>ECS!O81</f>
        <v>5.0204371233880503</v>
      </c>
      <c r="R11" s="66"/>
    </row>
    <row r="12" spans="1:18" x14ac:dyDescent="0.25">
      <c r="A12" t="s">
        <v>144</v>
      </c>
      <c r="J12" t="s">
        <v>144</v>
      </c>
      <c r="R12" s="66"/>
    </row>
    <row r="13" spans="1:18" x14ac:dyDescent="0.25">
      <c r="A13" s="25">
        <f>ECS!O55</f>
        <v>78.325972099303485</v>
      </c>
      <c r="J13" s="25">
        <f>ECS!O55</f>
        <v>78.325972099303485</v>
      </c>
      <c r="R13" s="66"/>
    </row>
  </sheetData>
  <mergeCells count="4">
    <mergeCell ref="B1:H1"/>
    <mergeCell ref="K1:P1"/>
    <mergeCell ref="R1:R6"/>
    <mergeCell ref="R8:R13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I242"/>
  <sheetViews>
    <sheetView zoomScale="85" zoomScaleNormal="85" workbookViewId="0">
      <selection activeCell="B15" sqref="B15"/>
    </sheetView>
  </sheetViews>
  <sheetFormatPr defaultRowHeight="15" x14ac:dyDescent="0.25"/>
  <cols>
    <col min="2" max="2" width="10.42578125" customWidth="1"/>
    <col min="3" max="3" width="27.5703125" customWidth="1"/>
    <col min="4" max="4" width="9" customWidth="1"/>
    <col min="5" max="5" width="3.140625" customWidth="1"/>
    <col min="6" max="6" width="2.5703125" customWidth="1"/>
    <col min="7" max="7" width="3" customWidth="1"/>
    <col min="8" max="8" width="2.5703125" customWidth="1"/>
    <col min="9" max="9" width="3.42578125" customWidth="1"/>
    <col min="10" max="10" width="2.5703125" customWidth="1"/>
    <col min="11" max="11" width="3.7109375" customWidth="1"/>
    <col min="12" max="12" width="1.5703125" customWidth="1"/>
    <col min="13" max="13" width="6.28515625" customWidth="1"/>
    <col min="14" max="14" width="3.85546875" customWidth="1"/>
    <col min="15" max="15" width="4.28515625" customWidth="1"/>
    <col min="16" max="16" width="3.42578125" customWidth="1"/>
    <col min="17" max="17" width="4.140625" customWidth="1"/>
    <col min="18" max="18" width="4.7109375" customWidth="1"/>
    <col min="19" max="19" width="3.7109375" customWidth="1"/>
    <col min="20" max="20" width="5.7109375" customWidth="1"/>
    <col min="21" max="21" width="2.5703125" customWidth="1"/>
    <col min="22" max="22" width="2.7109375" customWidth="1"/>
    <col min="23" max="23" width="3.28515625" customWidth="1"/>
    <col min="24" max="24" width="2.140625" customWidth="1"/>
    <col min="25" max="25" width="2.7109375" customWidth="1"/>
    <col min="26" max="27" width="2.85546875" customWidth="1"/>
    <col min="28" max="28" width="7.140625" customWidth="1"/>
    <col min="29" max="29" width="3.28515625" customWidth="1"/>
    <col min="30" max="30" width="2.7109375" customWidth="1"/>
    <col min="31" max="31" width="2.5703125" customWidth="1"/>
    <col min="32" max="32" width="3.5703125" customWidth="1"/>
    <col min="33" max="33" width="2.7109375" customWidth="1"/>
    <col min="34" max="34" width="3.5703125" customWidth="1"/>
    <col min="35" max="35" width="8.140625" customWidth="1"/>
  </cols>
  <sheetData>
    <row r="1" spans="1:35" ht="15.75" thickBot="1" x14ac:dyDescent="0.3">
      <c r="F1" s="62" t="s">
        <v>35</v>
      </c>
      <c r="G1" s="62"/>
      <c r="H1" s="62"/>
      <c r="I1" s="62"/>
      <c r="J1" s="62"/>
      <c r="K1" s="62"/>
      <c r="L1" s="62"/>
      <c r="M1" s="62"/>
      <c r="N1" s="62" t="s">
        <v>36</v>
      </c>
      <c r="O1" s="62"/>
      <c r="P1" s="62"/>
      <c r="Q1" s="62"/>
      <c r="R1" s="62"/>
      <c r="S1" s="62"/>
      <c r="T1" s="62"/>
      <c r="U1" s="62" t="s">
        <v>35</v>
      </c>
      <c r="V1" s="62"/>
      <c r="W1" s="62"/>
      <c r="X1" s="62"/>
      <c r="Y1" s="62"/>
      <c r="Z1" s="62"/>
      <c r="AA1" s="62"/>
      <c r="AB1" s="62"/>
      <c r="AC1" s="62" t="s">
        <v>36</v>
      </c>
      <c r="AD1" s="62"/>
      <c r="AE1" s="62"/>
      <c r="AF1" s="62"/>
      <c r="AG1" s="62"/>
      <c r="AH1" s="62"/>
      <c r="AI1" s="62"/>
    </row>
    <row r="2" spans="1:35" ht="15.75" thickBot="1" x14ac:dyDescent="0.3">
      <c r="A2" s="59" t="s">
        <v>39</v>
      </c>
      <c r="B2" s="60"/>
      <c r="C2" s="61"/>
      <c r="E2" t="s">
        <v>8</v>
      </c>
      <c r="F2" t="s">
        <v>2</v>
      </c>
      <c r="G2" t="s">
        <v>3</v>
      </c>
      <c r="H2" t="s">
        <v>4</v>
      </c>
      <c r="I2" t="s">
        <v>5</v>
      </c>
      <c r="J2" t="s">
        <v>6</v>
      </c>
      <c r="K2" t="s">
        <v>7</v>
      </c>
      <c r="M2" t="s">
        <v>37</v>
      </c>
      <c r="N2" t="s">
        <v>2</v>
      </c>
      <c r="O2" t="s">
        <v>3</v>
      </c>
      <c r="P2" t="s">
        <v>4</v>
      </c>
      <c r="Q2" t="s">
        <v>5</v>
      </c>
      <c r="R2" t="s">
        <v>6</v>
      </c>
      <c r="S2" t="s">
        <v>7</v>
      </c>
      <c r="T2" t="s">
        <v>38</v>
      </c>
      <c r="U2" t="s">
        <v>31</v>
      </c>
      <c r="V2" t="s">
        <v>2</v>
      </c>
      <c r="W2" t="s">
        <v>3</v>
      </c>
      <c r="X2" t="s">
        <v>4</v>
      </c>
      <c r="Y2" t="s">
        <v>5</v>
      </c>
      <c r="Z2" t="s">
        <v>6</v>
      </c>
      <c r="AA2" t="s">
        <v>7</v>
      </c>
      <c r="AB2" t="s">
        <v>42</v>
      </c>
      <c r="AC2" t="s">
        <v>2</v>
      </c>
      <c r="AD2" t="s">
        <v>3</v>
      </c>
      <c r="AE2" t="s">
        <v>4</v>
      </c>
      <c r="AF2" t="s">
        <v>5</v>
      </c>
      <c r="AG2" t="s">
        <v>6</v>
      </c>
      <c r="AH2" t="s">
        <v>7</v>
      </c>
      <c r="AI2" t="s">
        <v>41</v>
      </c>
    </row>
    <row r="3" spans="1:35" ht="15.75" thickBot="1" x14ac:dyDescent="0.3">
      <c r="A3" s="63" t="s">
        <v>29</v>
      </c>
      <c r="B3" s="64"/>
      <c r="C3" s="65"/>
      <c r="E3">
        <f>$B$5*(1+B15)</f>
        <v>0.97849999999999993</v>
      </c>
      <c r="F3">
        <f t="shared" ref="F3:F66" si="0">((0.14)/(($E3/$B$5)^0.02-1))*$B$4</f>
        <v>170.45719044972174</v>
      </c>
      <c r="G3">
        <f t="shared" ref="G3:G66" si="1">((80)/(($E3/$B$5)^2-1))*$B$4</f>
        <v>945.81280788177412</v>
      </c>
      <c r="H3">
        <f t="shared" ref="H3:H66" si="2">((120)/(($E3/$B$5)-1))*$B$4</f>
        <v>2879.9999999999973</v>
      </c>
      <c r="I3">
        <f t="shared" ref="I3:I66" si="3">((13.5)/(($E3/$B$5)-1))*$B$4</f>
        <v>323.99999999999972</v>
      </c>
      <c r="J3">
        <f t="shared" ref="J3:J66" si="4">((60)/(($E3/$B$5)-1))*$B$4</f>
        <v>1439.9999999999986</v>
      </c>
      <c r="K3">
        <f t="shared" ref="K3:K66" si="5">((540)/(($E3/$B$5)^2-1))*$B$4</f>
        <v>6384.2364532019747</v>
      </c>
      <c r="L3">
        <v>2</v>
      </c>
      <c r="M3">
        <f>IF($E3&lt;$B$8,HLOOKUP($B$6,$F$2:$K$242,$L3,FALSE),$B$7)</f>
        <v>323.99999999999972</v>
      </c>
      <c r="N3">
        <f t="shared" ref="N3:N66" si="6">((0.14)/(($E3/$B$28)^0.02-1))*$B$27</f>
        <v>-9.4774902753876678</v>
      </c>
      <c r="O3">
        <f t="shared" ref="O3:O66" si="7">((80)/(($E3/$B$28)^2-1))*$B$27</f>
        <v>-134.2859721112282</v>
      </c>
      <c r="P3">
        <f t="shared" ref="P3:P66" si="8">((120)/(($E3/$B$28)-1))*$B$27</f>
        <v>-267.1283700222607</v>
      </c>
      <c r="Q3">
        <f t="shared" ref="Q3:Q66" si="9">((13.5)/(($E3/$B$28)-1))*$B$27</f>
        <v>-30.051941627504331</v>
      </c>
      <c r="R3">
        <f t="shared" ref="R3:R66" si="10">((60)/(($E3/$B$28)-1))*$B$27</f>
        <v>-133.56418501113035</v>
      </c>
      <c r="S3">
        <f t="shared" ref="S3:S66" si="11">((540)/(($E3/$B$28)^2-1))*$B$27</f>
        <v>-906.43031175079034</v>
      </c>
      <c r="T3">
        <f t="shared" ref="T3:T66" si="12">IF($E3&lt;$B$31,HLOOKUP($B$29,$N$2:$S$242,$L3,FALSE),$B$30)</f>
        <v>-30.051941627504331</v>
      </c>
      <c r="U3">
        <f>$B$18*(1+B23)</f>
        <v>0.505</v>
      </c>
      <c r="V3">
        <f t="shared" ref="V3:V66" si="13">((0.14)/(($U3/$B$18)^0.02-1))*$B$17</f>
        <v>105.51362969571575</v>
      </c>
      <c r="W3">
        <f t="shared" ref="W3:W66" si="14">((80)/(($U3/$B$18)^2-1))*$B$17</f>
        <v>597.01492537313413</v>
      </c>
      <c r="X3">
        <f t="shared" ref="X3:X66" si="15">((120)/(($U3/$B$18)-1))*$B$17</f>
        <v>1799.9999999999984</v>
      </c>
      <c r="Y3">
        <f t="shared" ref="Y3:Y66" si="16">((13.5)/(($U3/$B$18)-1))*$B$17</f>
        <v>202.49999999999983</v>
      </c>
      <c r="Z3">
        <f t="shared" ref="Z3:Z66" si="17">((60)/(($U3/$B$18)-1))*$B$17</f>
        <v>899.9999999999992</v>
      </c>
      <c r="AA3">
        <f t="shared" ref="AA3:AA66" si="18">((540)/(($U3/$B$18)^2-1))*$B$17</f>
        <v>4029.8507462686553</v>
      </c>
      <c r="AB3">
        <f t="shared" ref="AB3:AB66" si="19">IF($U3&lt;$B$21,HLOOKUP($B$19,$V$2:$AA$242,$L3,FALSE),$B$20)</f>
        <v>202.49999999999983</v>
      </c>
      <c r="AC3">
        <f>((0.14)/(($U3/$B$34)^0.02-1))*$B$33</f>
        <v>-16.272026564308195</v>
      </c>
      <c r="AD3">
        <f>((80)/(($U3/$B$34)^2-1))*$B$33</f>
        <v>-109.74041438437726</v>
      </c>
      <c r="AE3">
        <f>((120)/(($U3/$B$34)-1))*$B$33</f>
        <v>-303.15789473684214</v>
      </c>
      <c r="AF3">
        <f>((13.5)/(($U3/$B$34)-1))*$B$33</f>
        <v>-34.10526315789474</v>
      </c>
      <c r="AG3">
        <f>((60)/(($U3/$B$34)-1))*$B$33</f>
        <v>-151.57894736842107</v>
      </c>
      <c r="AH3">
        <f>((540)/(($U3/$B$34)^2-1))*$B$33</f>
        <v>-740.74779709454651</v>
      </c>
      <c r="AI3">
        <f>IF($U3&lt;$B$37,HLOOKUP($B$35,$AC$2:$AH$242,$L3,FALSE),$B$36)</f>
        <v>-34.10526315789474</v>
      </c>
    </row>
    <row r="4" spans="1:35" x14ac:dyDescent="0.25">
      <c r="A4" s="1" t="s">
        <v>0</v>
      </c>
      <c r="B4" s="2">
        <v>0.72</v>
      </c>
      <c r="C4" s="3" t="s">
        <v>9</v>
      </c>
      <c r="E4">
        <f t="shared" ref="E4:E67" si="20">E3*(1+$B$15)</f>
        <v>1.0078549999999999</v>
      </c>
      <c r="F4">
        <f t="shared" si="0"/>
        <v>85.203402673668506</v>
      </c>
      <c r="G4">
        <f t="shared" si="1"/>
        <v>458.93192677071858</v>
      </c>
      <c r="H4">
        <f t="shared" si="2"/>
        <v>1418.7192118226612</v>
      </c>
      <c r="I4">
        <f t="shared" si="3"/>
        <v>159.60591133004939</v>
      </c>
      <c r="J4">
        <f t="shared" si="4"/>
        <v>709.35960591133062</v>
      </c>
      <c r="K4">
        <f t="shared" si="5"/>
        <v>3097.7905057023504</v>
      </c>
      <c r="L4">
        <v>3</v>
      </c>
      <c r="M4">
        <f t="shared" ref="M4:M67" si="21">IF($E4&lt;$B$8,HLOOKUP($B$6,$F$2:$K$242,L4,FALSE),$B$7)</f>
        <v>159.60591133004939</v>
      </c>
      <c r="N4">
        <f t="shared" si="6"/>
        <v>-9.7314504554614452</v>
      </c>
      <c r="O4">
        <f t="shared" si="7"/>
        <v>-135.26667319102688</v>
      </c>
      <c r="P4">
        <f t="shared" si="8"/>
        <v>-271.06460624101157</v>
      </c>
      <c r="Q4">
        <f t="shared" si="9"/>
        <v>-30.4947682021138</v>
      </c>
      <c r="R4">
        <f t="shared" si="10"/>
        <v>-135.53230312050579</v>
      </c>
      <c r="S4">
        <f t="shared" si="11"/>
        <v>-913.05004403943167</v>
      </c>
      <c r="T4">
        <f t="shared" si="12"/>
        <v>-30.4947682021138</v>
      </c>
      <c r="U4">
        <f t="shared" ref="U4:U67" si="22">U3*(1+$B$23)</f>
        <v>0.51005</v>
      </c>
      <c r="V4">
        <f t="shared" si="13"/>
        <v>52.751565370262171</v>
      </c>
      <c r="W4">
        <f t="shared" si="14"/>
        <v>295.53731269399236</v>
      </c>
      <c r="X4">
        <f t="shared" si="15"/>
        <v>895.52238805970126</v>
      </c>
      <c r="Y4">
        <f t="shared" si="16"/>
        <v>100.74626865671638</v>
      </c>
      <c r="Z4">
        <f t="shared" si="17"/>
        <v>447.76119402985063</v>
      </c>
      <c r="AA4">
        <f t="shared" si="18"/>
        <v>1994.8768606844485</v>
      </c>
      <c r="AB4">
        <f t="shared" si="19"/>
        <v>100.74626865671638</v>
      </c>
      <c r="AC4">
        <f t="shared" ref="AC4:AC67" si="23">((0.14)/(($U4/$B$34)^0.02-1))*$B$33</f>
        <v>-17.267176404448811</v>
      </c>
      <c r="AD4">
        <f t="shared" ref="AD4:AD67" si="24">((80)/(($U4/$B$34)^2-1))*$B$33</f>
        <v>-115.37421795346523</v>
      </c>
      <c r="AE4">
        <f t="shared" ref="AE4:AE67" si="25">((120)/(($U4/$B$34)-1))*$B$33</f>
        <v>-320.17787659811029</v>
      </c>
      <c r="AF4">
        <f t="shared" ref="AF4:AF67" si="26">((13.5)/(($U4/$B$34)-1))*$B$33</f>
        <v>-36.020011117287403</v>
      </c>
      <c r="AG4">
        <f t="shared" ref="AG4:AG67" si="27">((60)/(($U4/$B$34)-1))*$B$33</f>
        <v>-160.08893829905514</v>
      </c>
      <c r="AH4">
        <f t="shared" ref="AH4:AH67" si="28">((540)/(($U4/$B$34)^2-1))*$B$33</f>
        <v>-778.77597118589028</v>
      </c>
      <c r="AI4">
        <f t="shared" ref="AI4:AI67" si="29">IF($U4&lt;$B$37,HLOOKUP($B$35,$AC$2:$AH$242,$L4,FALSE),$B$36)</f>
        <v>-36.020011117287403</v>
      </c>
    </row>
    <row r="5" spans="1:35" ht="15.75" thickBot="1" x14ac:dyDescent="0.3">
      <c r="A5" s="4" t="s">
        <v>1</v>
      </c>
      <c r="B5" s="5">
        <v>0.95</v>
      </c>
      <c r="C5" s="6" t="s">
        <v>10</v>
      </c>
      <c r="E5">
        <f t="shared" si="20"/>
        <v>1.03809065</v>
      </c>
      <c r="F5">
        <f t="shared" si="0"/>
        <v>56.785476725579542</v>
      </c>
      <c r="G5">
        <f t="shared" si="1"/>
        <v>296.82720086434034</v>
      </c>
      <c r="H5">
        <f t="shared" si="2"/>
        <v>931.76744637484217</v>
      </c>
      <c r="I5">
        <f t="shared" si="3"/>
        <v>104.82383771716975</v>
      </c>
      <c r="J5">
        <f t="shared" si="4"/>
        <v>465.88372318742108</v>
      </c>
      <c r="K5">
        <f t="shared" si="5"/>
        <v>2003.5836058342977</v>
      </c>
      <c r="L5">
        <v>4</v>
      </c>
      <c r="M5">
        <f t="shared" si="21"/>
        <v>104.82383771716975</v>
      </c>
      <c r="N5">
        <f t="shared" si="6"/>
        <v>-9.9995585023595925</v>
      </c>
      <c r="O5">
        <f t="shared" si="7"/>
        <v>-136.32288060082243</v>
      </c>
      <c r="P5">
        <f t="shared" si="8"/>
        <v>-275.24207476762365</v>
      </c>
      <c r="Q5">
        <f t="shared" si="9"/>
        <v>-30.964733411357667</v>
      </c>
      <c r="R5">
        <f t="shared" si="10"/>
        <v>-137.62103738381182</v>
      </c>
      <c r="S5">
        <f t="shared" si="11"/>
        <v>-920.17944405555136</v>
      </c>
      <c r="T5">
        <f t="shared" si="12"/>
        <v>-30.964733411357667</v>
      </c>
      <c r="U5">
        <f t="shared" si="22"/>
        <v>0.51515049999999996</v>
      </c>
      <c r="V5">
        <f t="shared" si="13"/>
        <v>35.164210827274907</v>
      </c>
      <c r="W5">
        <f t="shared" si="14"/>
        <v>195.05804005305797</v>
      </c>
      <c r="X5">
        <f t="shared" si="15"/>
        <v>594.03980066664644</v>
      </c>
      <c r="Y5">
        <f t="shared" si="16"/>
        <v>66.829477574997711</v>
      </c>
      <c r="Z5">
        <f t="shared" si="17"/>
        <v>297.01990033332322</v>
      </c>
      <c r="AA5">
        <f t="shared" si="18"/>
        <v>1316.6417703581415</v>
      </c>
      <c r="AB5">
        <f t="shared" si="19"/>
        <v>66.829477574997711</v>
      </c>
      <c r="AC5">
        <f t="shared" si="23"/>
        <v>-18.392214652210626</v>
      </c>
      <c r="AD5">
        <f t="shared" si="24"/>
        <v>-121.75020697448451</v>
      </c>
      <c r="AE5">
        <f t="shared" si="25"/>
        <v>-339.42451045674972</v>
      </c>
      <c r="AF5">
        <f t="shared" si="26"/>
        <v>-38.185257426384347</v>
      </c>
      <c r="AG5">
        <f t="shared" si="27"/>
        <v>-169.71225522837486</v>
      </c>
      <c r="AH5">
        <f t="shared" si="28"/>
        <v>-821.81389707777043</v>
      </c>
      <c r="AI5">
        <f t="shared" si="29"/>
        <v>-38.185257426384347</v>
      </c>
    </row>
    <row r="6" spans="1:35" x14ac:dyDescent="0.25">
      <c r="A6" s="1" t="s">
        <v>11</v>
      </c>
      <c r="B6" s="2" t="s">
        <v>5</v>
      </c>
      <c r="C6" s="3" t="s">
        <v>12</v>
      </c>
      <c r="E6">
        <f t="shared" si="20"/>
        <v>1.0692333695</v>
      </c>
      <c r="F6">
        <f t="shared" si="0"/>
        <v>42.57651623447213</v>
      </c>
      <c r="G6">
        <f t="shared" si="1"/>
        <v>215.91626654829901</v>
      </c>
      <c r="H6">
        <f t="shared" si="2"/>
        <v>688.39789015607664</v>
      </c>
      <c r="I6">
        <f t="shared" si="3"/>
        <v>77.444762642558629</v>
      </c>
      <c r="J6">
        <f t="shared" si="4"/>
        <v>344.19894507803832</v>
      </c>
      <c r="K6">
        <f t="shared" si="5"/>
        <v>1457.4347992010184</v>
      </c>
      <c r="L6">
        <v>5</v>
      </c>
      <c r="M6">
        <f t="shared" si="21"/>
        <v>77.444762642558629</v>
      </c>
      <c r="N6">
        <f t="shared" si="6"/>
        <v>-10.283030484727531</v>
      </c>
      <c r="O6">
        <f t="shared" si="7"/>
        <v>-137.46159345826055</v>
      </c>
      <c r="P6">
        <f t="shared" si="8"/>
        <v>-279.68165156249836</v>
      </c>
      <c r="Q6">
        <f t="shared" si="9"/>
        <v>-31.464185800781063</v>
      </c>
      <c r="R6">
        <f t="shared" si="10"/>
        <v>-139.84082578124918</v>
      </c>
      <c r="S6">
        <f t="shared" si="11"/>
        <v>-927.86575584325874</v>
      </c>
      <c r="T6">
        <f t="shared" si="12"/>
        <v>-31.464185800781063</v>
      </c>
      <c r="U6">
        <f t="shared" si="22"/>
        <v>0.52030200500000001</v>
      </c>
      <c r="V6">
        <f t="shared" si="13"/>
        <v>26.370533729919412</v>
      </c>
      <c r="W6">
        <f t="shared" si="14"/>
        <v>144.82835045197822</v>
      </c>
      <c r="X6">
        <f t="shared" si="15"/>
        <v>443.30596904098854</v>
      </c>
      <c r="Y6">
        <f t="shared" si="16"/>
        <v>49.871921517111211</v>
      </c>
      <c r="Z6">
        <f t="shared" si="17"/>
        <v>221.65298452049427</v>
      </c>
      <c r="AA6">
        <f t="shared" si="18"/>
        <v>977.59136555085297</v>
      </c>
      <c r="AB6">
        <f t="shared" si="19"/>
        <v>49.871921517111211</v>
      </c>
      <c r="AC6">
        <f t="shared" si="23"/>
        <v>-19.674346552753484</v>
      </c>
      <c r="AD6">
        <f t="shared" si="24"/>
        <v>-129.02384204367414</v>
      </c>
      <c r="AE6">
        <f t="shared" si="25"/>
        <v>-361.36417233582858</v>
      </c>
      <c r="AF6">
        <f t="shared" si="26"/>
        <v>-40.653469387780717</v>
      </c>
      <c r="AG6">
        <f t="shared" si="27"/>
        <v>-180.68208616791429</v>
      </c>
      <c r="AH6">
        <f t="shared" si="28"/>
        <v>-870.91093379480048</v>
      </c>
      <c r="AI6">
        <f t="shared" si="29"/>
        <v>-40.653469387780717</v>
      </c>
    </row>
    <row r="7" spans="1:35" x14ac:dyDescent="0.25">
      <c r="A7" s="4" t="s">
        <v>14</v>
      </c>
      <c r="B7" s="5">
        <v>0.1</v>
      </c>
      <c r="C7" s="6" t="s">
        <v>28</v>
      </c>
      <c r="E7">
        <f t="shared" si="20"/>
        <v>1.101310370585</v>
      </c>
      <c r="F7">
        <f t="shared" si="0"/>
        <v>34.051141926158117</v>
      </c>
      <c r="G7">
        <f t="shared" si="1"/>
        <v>167.48257268190639</v>
      </c>
      <c r="H7">
        <f t="shared" si="2"/>
        <v>542.46116563365865</v>
      </c>
      <c r="I7">
        <f t="shared" si="3"/>
        <v>61.026881133786596</v>
      </c>
      <c r="J7">
        <f t="shared" si="4"/>
        <v>271.23058281682933</v>
      </c>
      <c r="K7">
        <f t="shared" si="5"/>
        <v>1130.507365602868</v>
      </c>
      <c r="L7">
        <v>6</v>
      </c>
      <c r="M7">
        <f t="shared" si="21"/>
        <v>61.026881133786596</v>
      </c>
      <c r="N7">
        <f t="shared" si="6"/>
        <v>-10.583225950374603</v>
      </c>
      <c r="O7">
        <f t="shared" si="7"/>
        <v>-138.69063640930474</v>
      </c>
      <c r="P7">
        <f t="shared" si="8"/>
        <v>-284.40667270425757</v>
      </c>
      <c r="Q7">
        <f t="shared" si="9"/>
        <v>-31.995750679228976</v>
      </c>
      <c r="R7">
        <f t="shared" si="10"/>
        <v>-142.20333635212879</v>
      </c>
      <c r="S7">
        <f t="shared" si="11"/>
        <v>-936.16179576280706</v>
      </c>
      <c r="T7">
        <f t="shared" si="12"/>
        <v>-31.995750679228976</v>
      </c>
      <c r="U7">
        <f t="shared" si="22"/>
        <v>0.52550502504999996</v>
      </c>
      <c r="V7">
        <f t="shared" si="13"/>
        <v>21.094327610805252</v>
      </c>
      <c r="W7">
        <f t="shared" si="14"/>
        <v>114.69849186140586</v>
      </c>
      <c r="X7">
        <f t="shared" si="15"/>
        <v>352.87163930858452</v>
      </c>
      <c r="Y7">
        <f t="shared" si="16"/>
        <v>39.698059422215756</v>
      </c>
      <c r="Z7">
        <f t="shared" si="17"/>
        <v>176.43581965429226</v>
      </c>
      <c r="AA7">
        <f t="shared" si="18"/>
        <v>774.21482006448957</v>
      </c>
      <c r="AB7">
        <f t="shared" si="19"/>
        <v>39.698059422215756</v>
      </c>
      <c r="AC7">
        <f t="shared" si="23"/>
        <v>-21.148945153585711</v>
      </c>
      <c r="AD7">
        <f t="shared" si="24"/>
        <v>-137.39725691952208</v>
      </c>
      <c r="AE7">
        <f t="shared" si="25"/>
        <v>-386.60325772752003</v>
      </c>
      <c r="AF7">
        <f t="shared" si="26"/>
        <v>-43.492866494346003</v>
      </c>
      <c r="AG7">
        <f t="shared" si="27"/>
        <v>-193.30162886376002</v>
      </c>
      <c r="AH7">
        <f t="shared" si="28"/>
        <v>-927.43148420677414</v>
      </c>
      <c r="AI7">
        <f t="shared" si="29"/>
        <v>-43.492866494346003</v>
      </c>
    </row>
    <row r="8" spans="1:35" ht="15.75" thickBot="1" x14ac:dyDescent="0.3">
      <c r="A8" s="7" t="s">
        <v>13</v>
      </c>
      <c r="B8" s="8">
        <v>12.5</v>
      </c>
      <c r="C8" s="9" t="s">
        <v>15</v>
      </c>
      <c r="E8">
        <f t="shared" si="20"/>
        <v>1.13434968170255</v>
      </c>
      <c r="F8">
        <f t="shared" si="0"/>
        <v>28.367560709239534</v>
      </c>
      <c r="G8">
        <f t="shared" si="1"/>
        <v>135.2872041080889</v>
      </c>
      <c r="H8">
        <f t="shared" si="2"/>
        <v>445.24080129651003</v>
      </c>
      <c r="I8">
        <f t="shared" si="3"/>
        <v>50.089590145857386</v>
      </c>
      <c r="J8">
        <f t="shared" si="4"/>
        <v>222.62040064825501</v>
      </c>
      <c r="K8">
        <f t="shared" si="5"/>
        <v>913.18862772959994</v>
      </c>
      <c r="L8">
        <v>7</v>
      </c>
      <c r="M8">
        <f t="shared" si="21"/>
        <v>50.089590145857386</v>
      </c>
      <c r="N8">
        <f t="shared" si="6"/>
        <v>-10.901669730089299</v>
      </c>
      <c r="O8">
        <f t="shared" si="7"/>
        <v>-140.01878430466979</v>
      </c>
      <c r="P8">
        <f t="shared" si="8"/>
        <v>-289.44330816119486</v>
      </c>
      <c r="Q8">
        <f t="shared" si="9"/>
        <v>-32.562372168134416</v>
      </c>
      <c r="R8">
        <f t="shared" si="10"/>
        <v>-144.72165408059743</v>
      </c>
      <c r="S8">
        <f t="shared" si="11"/>
        <v>-945.12679405652125</v>
      </c>
      <c r="T8">
        <f t="shared" si="12"/>
        <v>-32.562372168134416</v>
      </c>
      <c r="U8">
        <f t="shared" si="22"/>
        <v>0.53076007530049996</v>
      </c>
      <c r="V8">
        <f t="shared" si="13"/>
        <v>17.576856980818633</v>
      </c>
      <c r="W8">
        <f t="shared" si="14"/>
        <v>94.618546414010183</v>
      </c>
      <c r="X8">
        <f t="shared" si="15"/>
        <v>292.58706007958699</v>
      </c>
      <c r="Y8">
        <f t="shared" si="16"/>
        <v>32.916044258953534</v>
      </c>
      <c r="Z8">
        <f t="shared" si="17"/>
        <v>146.2935300397935</v>
      </c>
      <c r="AA8">
        <f t="shared" si="18"/>
        <v>638.67518829456867</v>
      </c>
      <c r="AB8">
        <f t="shared" si="19"/>
        <v>32.916044258953534</v>
      </c>
      <c r="AC8">
        <f t="shared" si="23"/>
        <v>-22.862865307973486</v>
      </c>
      <c r="AD8">
        <f t="shared" si="24"/>
        <v>-147.13819568472474</v>
      </c>
      <c r="AE8">
        <f t="shared" si="25"/>
        <v>-415.94499308009756</v>
      </c>
      <c r="AF8">
        <f t="shared" si="26"/>
        <v>-46.79381172151097</v>
      </c>
      <c r="AG8">
        <f t="shared" si="27"/>
        <v>-207.97249654004878</v>
      </c>
      <c r="AH8">
        <f t="shared" si="28"/>
        <v>-993.18282087189186</v>
      </c>
      <c r="AI8">
        <f t="shared" si="29"/>
        <v>-46.79381172151097</v>
      </c>
    </row>
    <row r="9" spans="1:35" ht="15.75" thickBot="1" x14ac:dyDescent="0.3">
      <c r="A9" s="10" t="s">
        <v>17</v>
      </c>
      <c r="B9" s="11">
        <v>13</v>
      </c>
      <c r="C9" s="12" t="s">
        <v>22</v>
      </c>
      <c r="E9">
        <f t="shared" si="20"/>
        <v>1.1683801721536264</v>
      </c>
      <c r="F9">
        <f t="shared" si="0"/>
        <v>24.307861258832734</v>
      </c>
      <c r="G9">
        <f t="shared" si="1"/>
        <v>112.37057086206953</v>
      </c>
      <c r="H9">
        <f t="shared" si="2"/>
        <v>375.85829881230336</v>
      </c>
      <c r="I9">
        <f t="shared" si="3"/>
        <v>42.284058616384129</v>
      </c>
      <c r="J9">
        <f t="shared" si="4"/>
        <v>187.92914940615168</v>
      </c>
      <c r="K9">
        <f t="shared" si="5"/>
        <v>758.50135331896934</v>
      </c>
      <c r="L9">
        <v>8</v>
      </c>
      <c r="M9">
        <f t="shared" si="21"/>
        <v>42.284058616384129</v>
      </c>
      <c r="N9">
        <f t="shared" si="6"/>
        <v>-11.240077842189628</v>
      </c>
      <c r="O9">
        <f t="shared" si="7"/>
        <v>-141.45591029828748</v>
      </c>
      <c r="P9">
        <f t="shared" si="8"/>
        <v>-294.82100586066178</v>
      </c>
      <c r="Q9">
        <f t="shared" si="9"/>
        <v>-33.167363159324452</v>
      </c>
      <c r="R9">
        <f t="shared" si="10"/>
        <v>-147.41050293033089</v>
      </c>
      <c r="S9">
        <f t="shared" si="11"/>
        <v>-954.82739451344059</v>
      </c>
      <c r="T9">
        <f t="shared" si="12"/>
        <v>-33.167363159324452</v>
      </c>
      <c r="U9">
        <f t="shared" si="22"/>
        <v>0.53606767605350492</v>
      </c>
      <c r="V9">
        <f t="shared" si="13"/>
        <v>15.064378058900385</v>
      </c>
      <c r="W9">
        <f t="shared" si="14"/>
        <v>80.281406003612005</v>
      </c>
      <c r="X9">
        <f t="shared" si="15"/>
        <v>249.53090924541047</v>
      </c>
      <c r="Y9">
        <f t="shared" si="16"/>
        <v>28.072227290108682</v>
      </c>
      <c r="Z9">
        <f t="shared" si="17"/>
        <v>124.76545462270524</v>
      </c>
      <c r="AA9">
        <f t="shared" si="18"/>
        <v>541.89949052438101</v>
      </c>
      <c r="AB9">
        <f t="shared" si="19"/>
        <v>28.072227290108682</v>
      </c>
      <c r="AC9">
        <f t="shared" si="23"/>
        <v>-24.879513726232048</v>
      </c>
      <c r="AD9">
        <f t="shared" si="24"/>
        <v>-158.60898446749241</v>
      </c>
      <c r="AE9">
        <f t="shared" si="25"/>
        <v>-450.47635096297631</v>
      </c>
      <c r="AF9">
        <f t="shared" si="26"/>
        <v>-50.678589483334832</v>
      </c>
      <c r="AG9">
        <f t="shared" si="27"/>
        <v>-225.23817548148816</v>
      </c>
      <c r="AH9">
        <f t="shared" si="28"/>
        <v>-1070.6106451555736</v>
      </c>
      <c r="AI9">
        <f t="shared" si="29"/>
        <v>-50.678589483334832</v>
      </c>
    </row>
    <row r="10" spans="1:35" ht="15.75" thickBot="1" x14ac:dyDescent="0.3">
      <c r="A10" s="7" t="s">
        <v>16</v>
      </c>
      <c r="B10" s="8">
        <v>3.5</v>
      </c>
      <c r="C10" s="9" t="s">
        <v>23</v>
      </c>
      <c r="E10">
        <f t="shared" si="20"/>
        <v>1.2034315773182354</v>
      </c>
      <c r="F10">
        <f t="shared" si="0"/>
        <v>21.263087912495557</v>
      </c>
      <c r="G10">
        <f t="shared" si="1"/>
        <v>95.252830589737101</v>
      </c>
      <c r="H10">
        <f t="shared" si="2"/>
        <v>323.87439982244877</v>
      </c>
      <c r="I10">
        <f t="shared" si="3"/>
        <v>36.435869980025487</v>
      </c>
      <c r="J10">
        <f t="shared" si="4"/>
        <v>161.93719991122438</v>
      </c>
      <c r="K10">
        <f t="shared" si="5"/>
        <v>642.95660648072533</v>
      </c>
      <c r="L10">
        <v>9</v>
      </c>
      <c r="M10">
        <f t="shared" si="21"/>
        <v>36.435869980025487</v>
      </c>
      <c r="N10">
        <f t="shared" si="6"/>
        <v>-11.600388426707321</v>
      </c>
      <c r="O10">
        <f t="shared" si="7"/>
        <v>-143.01316267512721</v>
      </c>
      <c r="P10">
        <f t="shared" si="8"/>
        <v>-300.57302198038968</v>
      </c>
      <c r="Q10">
        <f t="shared" si="9"/>
        <v>-33.814464972793843</v>
      </c>
      <c r="R10">
        <f t="shared" si="10"/>
        <v>-150.28651099019484</v>
      </c>
      <c r="S10">
        <f t="shared" si="11"/>
        <v>-965.33884805710863</v>
      </c>
      <c r="T10">
        <f t="shared" si="12"/>
        <v>-33.814464972793843</v>
      </c>
      <c r="U10">
        <f t="shared" si="22"/>
        <v>0.54142835281404</v>
      </c>
      <c r="V10">
        <f t="shared" si="13"/>
        <v>13.180018954528531</v>
      </c>
      <c r="W10">
        <f t="shared" si="14"/>
        <v>69.53351618507331</v>
      </c>
      <c r="X10">
        <f t="shared" si="15"/>
        <v>217.24252567796793</v>
      </c>
      <c r="Y10">
        <f t="shared" si="16"/>
        <v>24.43978413877139</v>
      </c>
      <c r="Z10">
        <f t="shared" si="17"/>
        <v>108.62126283898397</v>
      </c>
      <c r="AA10">
        <f t="shared" si="18"/>
        <v>469.3512342492449</v>
      </c>
      <c r="AB10">
        <f t="shared" si="19"/>
        <v>24.43978413877139</v>
      </c>
      <c r="AC10">
        <f t="shared" si="23"/>
        <v>-27.286865827448867</v>
      </c>
      <c r="AD10">
        <f t="shared" si="24"/>
        <v>-172.31234202239494</v>
      </c>
      <c r="AE10">
        <f t="shared" si="25"/>
        <v>-491.70548181037941</v>
      </c>
      <c r="AF10">
        <f t="shared" si="26"/>
        <v>-55.316866703667678</v>
      </c>
      <c r="AG10">
        <f t="shared" si="27"/>
        <v>-245.85274090518971</v>
      </c>
      <c r="AH10">
        <f t="shared" si="28"/>
        <v>-1163.1083086511658</v>
      </c>
      <c r="AI10">
        <f t="shared" si="29"/>
        <v>-55.316866703667678</v>
      </c>
    </row>
    <row r="11" spans="1:35" ht="15.75" thickBot="1" x14ac:dyDescent="0.3">
      <c r="A11" s="10" t="s">
        <v>18</v>
      </c>
      <c r="B11" s="11">
        <v>6.2750000000000004</v>
      </c>
      <c r="C11" s="12" t="s">
        <v>19</v>
      </c>
      <c r="E11">
        <f t="shared" si="20"/>
        <v>1.2395345246377825</v>
      </c>
      <c r="F11">
        <f t="shared" si="0"/>
        <v>18.894931968869752</v>
      </c>
      <c r="G11">
        <f t="shared" si="1"/>
        <v>82.000696120890169</v>
      </c>
      <c r="H11">
        <f t="shared" si="2"/>
        <v>283.48950821213765</v>
      </c>
      <c r="I11">
        <f t="shared" si="3"/>
        <v>31.892569673865484</v>
      </c>
      <c r="J11">
        <f t="shared" si="4"/>
        <v>141.74475410606883</v>
      </c>
      <c r="K11">
        <f t="shared" si="5"/>
        <v>553.50469881600873</v>
      </c>
      <c r="L11">
        <v>10</v>
      </c>
      <c r="M11">
        <f t="shared" si="21"/>
        <v>31.892569673865484</v>
      </c>
      <c r="N11">
        <f t="shared" si="6"/>
        <v>-11.984798886622407</v>
      </c>
      <c r="O11">
        <f t="shared" si="7"/>
        <v>-144.70317713580698</v>
      </c>
      <c r="P11">
        <f t="shared" si="8"/>
        <v>-306.73705764601516</v>
      </c>
      <c r="Q11">
        <f t="shared" si="9"/>
        <v>-34.507918985176715</v>
      </c>
      <c r="R11">
        <f t="shared" si="10"/>
        <v>-153.36852882300758</v>
      </c>
      <c r="S11">
        <f t="shared" si="11"/>
        <v>-976.74644566669735</v>
      </c>
      <c r="T11">
        <f t="shared" si="12"/>
        <v>-34.507918985176715</v>
      </c>
      <c r="U11">
        <f t="shared" si="22"/>
        <v>0.54684263634218044</v>
      </c>
      <c r="V11">
        <f t="shared" si="13"/>
        <v>11.714406395186623</v>
      </c>
      <c r="W11">
        <f t="shared" si="14"/>
        <v>61.178457474361608</v>
      </c>
      <c r="X11">
        <f t="shared" si="15"/>
        <v>192.13265312942602</v>
      </c>
      <c r="Y11">
        <f t="shared" si="16"/>
        <v>21.614923477060426</v>
      </c>
      <c r="Z11">
        <f t="shared" si="17"/>
        <v>96.066326564713009</v>
      </c>
      <c r="AA11">
        <f t="shared" si="18"/>
        <v>412.95458795194082</v>
      </c>
      <c r="AB11">
        <f t="shared" si="19"/>
        <v>21.614923477060426</v>
      </c>
      <c r="AC11">
        <f t="shared" si="23"/>
        <v>-30.210641902309959</v>
      </c>
      <c r="AD11">
        <f t="shared" si="24"/>
        <v>-188.96667208902932</v>
      </c>
      <c r="AE11">
        <f t="shared" si="25"/>
        <v>-541.78759099847662</v>
      </c>
      <c r="AF11">
        <f t="shared" si="26"/>
        <v>-60.951103987328615</v>
      </c>
      <c r="AG11">
        <f t="shared" si="27"/>
        <v>-270.89379549923831</v>
      </c>
      <c r="AH11">
        <f t="shared" si="28"/>
        <v>-1275.5250366009477</v>
      </c>
      <c r="AI11">
        <f t="shared" si="29"/>
        <v>-60.951103987328615</v>
      </c>
    </row>
    <row r="12" spans="1:35" ht="15.75" thickBot="1" x14ac:dyDescent="0.3">
      <c r="A12" s="7" t="s">
        <v>20</v>
      </c>
      <c r="B12" s="8">
        <v>0.1</v>
      </c>
      <c r="C12" s="9" t="s">
        <v>21</v>
      </c>
      <c r="E12">
        <f t="shared" si="20"/>
        <v>1.2767205603769161</v>
      </c>
      <c r="F12">
        <f t="shared" si="0"/>
        <v>17.000408207142421</v>
      </c>
      <c r="G12">
        <f t="shared" si="1"/>
        <v>71.454158585969466</v>
      </c>
      <c r="H12">
        <f t="shared" si="2"/>
        <v>251.22385902285941</v>
      </c>
      <c r="I12">
        <f t="shared" si="3"/>
        <v>28.262684140071684</v>
      </c>
      <c r="J12">
        <f t="shared" si="4"/>
        <v>125.61192951142971</v>
      </c>
      <c r="K12">
        <f t="shared" si="5"/>
        <v>482.31557045529388</v>
      </c>
      <c r="L12">
        <v>11</v>
      </c>
      <c r="M12">
        <f t="shared" si="21"/>
        <v>28.262684140071684</v>
      </c>
      <c r="N12">
        <f t="shared" si="6"/>
        <v>-12.395810739464782</v>
      </c>
      <c r="O12">
        <f t="shared" si="7"/>
        <v>-146.5403331277555</v>
      </c>
      <c r="P12">
        <f t="shared" si="8"/>
        <v>-313.35602780597731</v>
      </c>
      <c r="Q12">
        <f t="shared" si="9"/>
        <v>-35.252553128172444</v>
      </c>
      <c r="R12">
        <f t="shared" si="10"/>
        <v>-156.67801390298865</v>
      </c>
      <c r="S12">
        <f t="shared" si="11"/>
        <v>-989.14724861234981</v>
      </c>
      <c r="T12">
        <f t="shared" si="12"/>
        <v>-35.252553128172444</v>
      </c>
      <c r="U12">
        <f t="shared" si="22"/>
        <v>0.55231106270560226</v>
      </c>
      <c r="V12">
        <f t="shared" si="13"/>
        <v>10.541916417364053</v>
      </c>
      <c r="W12">
        <f t="shared" si="14"/>
        <v>54.498377868661656</v>
      </c>
      <c r="X12">
        <f t="shared" si="15"/>
        <v>172.04773779210842</v>
      </c>
      <c r="Y12">
        <f t="shared" si="16"/>
        <v>19.3553705016122</v>
      </c>
      <c r="Z12">
        <f t="shared" si="17"/>
        <v>86.023868896054211</v>
      </c>
      <c r="AA12">
        <f t="shared" si="18"/>
        <v>367.86405061346619</v>
      </c>
      <c r="AB12">
        <f t="shared" si="19"/>
        <v>19.3553705016122</v>
      </c>
      <c r="AC12">
        <f t="shared" si="23"/>
        <v>-33.836981702838614</v>
      </c>
      <c r="AD12">
        <f t="shared" si="24"/>
        <v>-209.6356324758535</v>
      </c>
      <c r="AE12">
        <f t="shared" si="25"/>
        <v>-603.91364609802929</v>
      </c>
      <c r="AF12">
        <f t="shared" si="26"/>
        <v>-67.940285186028305</v>
      </c>
      <c r="AG12">
        <f t="shared" si="27"/>
        <v>-301.95682304901464</v>
      </c>
      <c r="AH12">
        <f t="shared" si="28"/>
        <v>-1415.0405192120111</v>
      </c>
      <c r="AI12">
        <f t="shared" si="29"/>
        <v>-67.940285186028305</v>
      </c>
    </row>
    <row r="13" spans="1:35" ht="15.75" thickBot="1" x14ac:dyDescent="0.3">
      <c r="A13" s="10" t="s">
        <v>26</v>
      </c>
      <c r="B13" s="11">
        <v>0.52200000000000002</v>
      </c>
      <c r="C13" s="12" t="s">
        <v>27</v>
      </c>
      <c r="E13">
        <f t="shared" si="20"/>
        <v>1.3150221771882236</v>
      </c>
      <c r="F13">
        <f t="shared" si="0"/>
        <v>15.450344214068046</v>
      </c>
      <c r="G13">
        <f t="shared" si="1"/>
        <v>62.874998000092937</v>
      </c>
      <c r="H13">
        <f t="shared" si="2"/>
        <v>224.8630497803301</v>
      </c>
      <c r="I13">
        <f t="shared" si="3"/>
        <v>25.297093100287132</v>
      </c>
      <c r="J13">
        <f t="shared" si="4"/>
        <v>112.43152489016505</v>
      </c>
      <c r="K13">
        <f t="shared" si="5"/>
        <v>424.40623650062741</v>
      </c>
      <c r="L13">
        <v>12</v>
      </c>
      <c r="M13">
        <f t="shared" si="21"/>
        <v>25.297093100287132</v>
      </c>
      <c r="N13">
        <f t="shared" si="6"/>
        <v>-12.836284113624512</v>
      </c>
      <c r="O13">
        <f t="shared" si="7"/>
        <v>-148.54106527570676</v>
      </c>
      <c r="P13">
        <f t="shared" si="8"/>
        <v>-320.47899544391908</v>
      </c>
      <c r="Q13">
        <f t="shared" si="9"/>
        <v>-36.053886987440897</v>
      </c>
      <c r="R13">
        <f t="shared" si="10"/>
        <v>-160.23949772195954</v>
      </c>
      <c r="S13">
        <f t="shared" si="11"/>
        <v>-1002.6521906110206</v>
      </c>
      <c r="T13">
        <f t="shared" si="12"/>
        <v>-36.053886987440897</v>
      </c>
      <c r="U13">
        <f t="shared" si="22"/>
        <v>0.55783417333265828</v>
      </c>
      <c r="V13">
        <f t="shared" si="13"/>
        <v>9.582606498830323</v>
      </c>
      <c r="W13">
        <f t="shared" si="14"/>
        <v>49.036462173779647</v>
      </c>
      <c r="X13">
        <f t="shared" si="15"/>
        <v>155.61733628027508</v>
      </c>
      <c r="Y13">
        <f t="shared" si="16"/>
        <v>17.506950331530945</v>
      </c>
      <c r="Z13">
        <f t="shared" si="17"/>
        <v>77.808668140137542</v>
      </c>
      <c r="AA13">
        <f t="shared" si="18"/>
        <v>330.99611967301269</v>
      </c>
      <c r="AB13">
        <f t="shared" si="19"/>
        <v>17.506950331530945</v>
      </c>
      <c r="AC13">
        <f t="shared" si="23"/>
        <v>-38.453696728163621</v>
      </c>
      <c r="AD13">
        <f t="shared" si="24"/>
        <v>-235.96386240698484</v>
      </c>
      <c r="AE13">
        <f t="shared" si="25"/>
        <v>-683.0175589159312</v>
      </c>
      <c r="AF13">
        <f t="shared" si="26"/>
        <v>-76.839475378042266</v>
      </c>
      <c r="AG13">
        <f t="shared" si="27"/>
        <v>-341.5087794579656</v>
      </c>
      <c r="AH13">
        <f t="shared" si="28"/>
        <v>-1592.7560712471477</v>
      </c>
      <c r="AI13">
        <f t="shared" si="29"/>
        <v>-76.839475378042266</v>
      </c>
    </row>
    <row r="14" spans="1:35" ht="15.75" thickBot="1" x14ac:dyDescent="0.3">
      <c r="A14" s="10" t="s">
        <v>32</v>
      </c>
      <c r="B14" s="11">
        <v>20.37</v>
      </c>
      <c r="C14" s="12" t="s">
        <v>33</v>
      </c>
      <c r="E14">
        <f t="shared" si="20"/>
        <v>1.3544728425038703</v>
      </c>
      <c r="F14">
        <f t="shared" si="0"/>
        <v>14.158625047481678</v>
      </c>
      <c r="G14">
        <f t="shared" si="1"/>
        <v>55.771038622022125</v>
      </c>
      <c r="H14">
        <f t="shared" si="2"/>
        <v>202.93080616213334</v>
      </c>
      <c r="I14">
        <f t="shared" si="3"/>
        <v>22.829715693240001</v>
      </c>
      <c r="J14">
        <f t="shared" si="4"/>
        <v>101.46540308106667</v>
      </c>
      <c r="K14">
        <f t="shared" si="5"/>
        <v>376.4545106986493</v>
      </c>
      <c r="L14">
        <v>13</v>
      </c>
      <c r="M14">
        <f t="shared" si="21"/>
        <v>22.829715693240001</v>
      </c>
      <c r="N14">
        <f t="shared" si="6"/>
        <v>-13.309504398931097</v>
      </c>
      <c r="O14">
        <f t="shared" si="7"/>
        <v>-150.72424425131447</v>
      </c>
      <c r="P14">
        <f t="shared" si="8"/>
        <v>-328.16231414963448</v>
      </c>
      <c r="Q14">
        <f t="shared" si="9"/>
        <v>-36.918260341833872</v>
      </c>
      <c r="R14">
        <f t="shared" si="10"/>
        <v>-164.08115707481724</v>
      </c>
      <c r="S14">
        <f t="shared" si="11"/>
        <v>-1017.3886486963727</v>
      </c>
      <c r="T14">
        <f t="shared" si="12"/>
        <v>-36.918260341833872</v>
      </c>
      <c r="U14">
        <f t="shared" si="22"/>
        <v>0.56341251506598489</v>
      </c>
      <c r="V14">
        <f t="shared" si="13"/>
        <v>8.7831816247620882</v>
      </c>
      <c r="W14">
        <f t="shared" si="14"/>
        <v>44.488166667917639</v>
      </c>
      <c r="X14">
        <f t="shared" si="15"/>
        <v>141.927819621015</v>
      </c>
      <c r="Y14">
        <f t="shared" si="16"/>
        <v>15.966879707364189</v>
      </c>
      <c r="Z14">
        <f t="shared" si="17"/>
        <v>70.963909810507502</v>
      </c>
      <c r="AA14">
        <f t="shared" si="18"/>
        <v>300.29512500844407</v>
      </c>
      <c r="AB14">
        <f t="shared" si="19"/>
        <v>15.966879707364189</v>
      </c>
      <c r="AC14">
        <f t="shared" si="23"/>
        <v>-44.530666468014985</v>
      </c>
      <c r="AD14">
        <f t="shared" si="24"/>
        <v>-270.63638962761769</v>
      </c>
      <c r="AE14">
        <f t="shared" si="25"/>
        <v>-787.15440681261134</v>
      </c>
      <c r="AF14">
        <f t="shared" si="26"/>
        <v>-88.554870766418773</v>
      </c>
      <c r="AG14">
        <f t="shared" si="27"/>
        <v>-393.57720340630567</v>
      </c>
      <c r="AH14">
        <f t="shared" si="28"/>
        <v>-1826.7956299864197</v>
      </c>
      <c r="AI14">
        <f t="shared" si="29"/>
        <v>-88.554870766418773</v>
      </c>
    </row>
    <row r="15" spans="1:35" ht="15.75" thickBot="1" x14ac:dyDescent="0.3">
      <c r="A15" s="7" t="s">
        <v>24</v>
      </c>
      <c r="B15" s="8">
        <v>0.03</v>
      </c>
      <c r="C15" s="9" t="s">
        <v>25</v>
      </c>
      <c r="E15">
        <f t="shared" si="20"/>
        <v>1.3951070277789865</v>
      </c>
      <c r="F15">
        <f t="shared" si="0"/>
        <v>13.065632670501914</v>
      </c>
      <c r="G15">
        <f t="shared" si="1"/>
        <v>49.801517283041875</v>
      </c>
      <c r="H15">
        <f t="shared" si="2"/>
        <v>184.40508659134449</v>
      </c>
      <c r="I15">
        <f t="shared" si="3"/>
        <v>20.745572241526254</v>
      </c>
      <c r="J15">
        <f t="shared" si="4"/>
        <v>92.202543295672243</v>
      </c>
      <c r="K15">
        <f t="shared" si="5"/>
        <v>336.16024166053268</v>
      </c>
      <c r="L15">
        <v>14</v>
      </c>
      <c r="M15">
        <f t="shared" si="21"/>
        <v>20.745572241526254</v>
      </c>
      <c r="N15">
        <f t="shared" si="6"/>
        <v>-13.819264336145794</v>
      </c>
      <c r="O15">
        <f t="shared" si="7"/>
        <v>-153.11164585077071</v>
      </c>
      <c r="P15">
        <f t="shared" si="8"/>
        <v>-336.47103535676479</v>
      </c>
      <c r="Q15">
        <f t="shared" si="9"/>
        <v>-37.852991477636039</v>
      </c>
      <c r="R15">
        <f t="shared" si="10"/>
        <v>-168.23551767838239</v>
      </c>
      <c r="S15">
        <f t="shared" si="11"/>
        <v>-1033.5036094927023</v>
      </c>
      <c r="T15">
        <f t="shared" si="12"/>
        <v>-37.852991477636039</v>
      </c>
      <c r="U15">
        <f t="shared" si="22"/>
        <v>0.56904664021664475</v>
      </c>
      <c r="V15">
        <f t="shared" si="13"/>
        <v>8.1067452464372565</v>
      </c>
      <c r="W15">
        <f t="shared" si="14"/>
        <v>40.642653151465026</v>
      </c>
      <c r="X15">
        <f t="shared" si="15"/>
        <v>130.34667540319234</v>
      </c>
      <c r="Y15">
        <f t="shared" si="16"/>
        <v>14.664000982859138</v>
      </c>
      <c r="Z15">
        <f t="shared" si="17"/>
        <v>65.173337701596168</v>
      </c>
      <c r="AA15">
        <f t="shared" si="18"/>
        <v>274.33790877238897</v>
      </c>
      <c r="AB15">
        <f t="shared" si="19"/>
        <v>14.664000982859138</v>
      </c>
      <c r="AC15">
        <f t="shared" si="23"/>
        <v>-52.890853185405994</v>
      </c>
      <c r="AD15">
        <f t="shared" si="24"/>
        <v>-318.35585773309265</v>
      </c>
      <c r="AE15">
        <f t="shared" si="25"/>
        <v>-930.43211469039989</v>
      </c>
      <c r="AF15">
        <f t="shared" si="26"/>
        <v>-104.67361290266997</v>
      </c>
      <c r="AG15">
        <f t="shared" si="27"/>
        <v>-465.21605734519994</v>
      </c>
      <c r="AH15">
        <f t="shared" si="28"/>
        <v>-2148.9020396983751</v>
      </c>
      <c r="AI15">
        <f t="shared" si="29"/>
        <v>-104.67361290266997</v>
      </c>
    </row>
    <row r="16" spans="1:35" ht="15.75" thickBot="1" x14ac:dyDescent="0.3">
      <c r="A16" s="59" t="s">
        <v>30</v>
      </c>
      <c r="B16" s="60"/>
      <c r="C16" s="61"/>
      <c r="E16">
        <f t="shared" si="20"/>
        <v>1.4369602386123561</v>
      </c>
      <c r="F16">
        <f t="shared" si="0"/>
        <v>12.128782771068973</v>
      </c>
      <c r="G16">
        <f t="shared" si="1"/>
        <v>44.723008197667156</v>
      </c>
      <c r="H16">
        <f t="shared" si="2"/>
        <v>168.55585629310414</v>
      </c>
      <c r="I16">
        <f t="shared" si="3"/>
        <v>18.962533832974216</v>
      </c>
      <c r="J16">
        <f t="shared" si="4"/>
        <v>84.277928146552071</v>
      </c>
      <c r="K16">
        <f t="shared" si="5"/>
        <v>301.88030533425331</v>
      </c>
      <c r="L16">
        <v>15</v>
      </c>
      <c r="M16">
        <f t="shared" si="21"/>
        <v>18.962533832974216</v>
      </c>
      <c r="N16">
        <f t="shared" si="6"/>
        <v>-14.36996588522309</v>
      </c>
      <c r="O16">
        <f t="shared" si="7"/>
        <v>-155.7285330791301</v>
      </c>
      <c r="P16">
        <f t="shared" si="8"/>
        <v>-345.48065464476463</v>
      </c>
      <c r="Q16">
        <f t="shared" si="9"/>
        <v>-38.866573647536022</v>
      </c>
      <c r="R16">
        <f t="shared" si="10"/>
        <v>-172.74032732238231</v>
      </c>
      <c r="S16">
        <f t="shared" si="11"/>
        <v>-1051.1675982841284</v>
      </c>
      <c r="T16">
        <f t="shared" si="12"/>
        <v>-38.866573647536022</v>
      </c>
      <c r="U16">
        <f t="shared" si="22"/>
        <v>0.57473710661881117</v>
      </c>
      <c r="V16">
        <f t="shared" si="13"/>
        <v>7.5269426861964535</v>
      </c>
      <c r="W16">
        <f t="shared" si="14"/>
        <v>37.349322689798058</v>
      </c>
      <c r="X16">
        <f t="shared" si="15"/>
        <v>120.42210900541767</v>
      </c>
      <c r="Y16">
        <f t="shared" si="16"/>
        <v>13.547487263109486</v>
      </c>
      <c r="Z16">
        <f t="shared" si="17"/>
        <v>60.211054502708834</v>
      </c>
      <c r="AA16">
        <f t="shared" si="18"/>
        <v>252.10792815613692</v>
      </c>
      <c r="AB16">
        <f t="shared" si="19"/>
        <v>13.547487263109486</v>
      </c>
      <c r="AC16">
        <f t="shared" si="23"/>
        <v>-65.118663326093895</v>
      </c>
      <c r="AD16">
        <f t="shared" si="24"/>
        <v>-388.17601993694512</v>
      </c>
      <c r="AE16">
        <f t="shared" si="25"/>
        <v>-1140.011936298833</v>
      </c>
      <c r="AF16">
        <f t="shared" si="26"/>
        <v>-128.25134283361871</v>
      </c>
      <c r="AG16">
        <f t="shared" si="27"/>
        <v>-570.0059681494165</v>
      </c>
      <c r="AH16">
        <f t="shared" si="28"/>
        <v>-2620.1881345743795</v>
      </c>
      <c r="AI16">
        <f t="shared" si="29"/>
        <v>-128.25134283361871</v>
      </c>
    </row>
    <row r="17" spans="1:35" x14ac:dyDescent="0.25">
      <c r="A17" s="1" t="s">
        <v>0</v>
      </c>
      <c r="B17" s="2">
        <v>0.15</v>
      </c>
      <c r="C17" s="3" t="s">
        <v>9</v>
      </c>
      <c r="E17">
        <f t="shared" si="20"/>
        <v>1.4800690457707268</v>
      </c>
      <c r="F17">
        <f t="shared" si="0"/>
        <v>11.316846853673114</v>
      </c>
      <c r="G17">
        <f t="shared" si="1"/>
        <v>40.356977894884913</v>
      </c>
      <c r="H17">
        <f t="shared" si="2"/>
        <v>154.84775173138939</v>
      </c>
      <c r="I17">
        <f t="shared" si="3"/>
        <v>17.420372069781308</v>
      </c>
      <c r="J17">
        <f t="shared" si="4"/>
        <v>77.423875865694697</v>
      </c>
      <c r="K17">
        <f t="shared" si="5"/>
        <v>272.40960079047318</v>
      </c>
      <c r="L17">
        <v>16</v>
      </c>
      <c r="M17">
        <f t="shared" si="21"/>
        <v>17.420372069781308</v>
      </c>
      <c r="N17">
        <f t="shared" si="6"/>
        <v>-14.966747664726466</v>
      </c>
      <c r="O17">
        <f t="shared" si="7"/>
        <v>-158.60438434027134</v>
      </c>
      <c r="P17">
        <f t="shared" si="8"/>
        <v>-355.27929640318655</v>
      </c>
      <c r="Q17">
        <f t="shared" si="9"/>
        <v>-39.968920845358483</v>
      </c>
      <c r="R17">
        <f t="shared" si="10"/>
        <v>-177.63964820159327</v>
      </c>
      <c r="S17">
        <f t="shared" si="11"/>
        <v>-1070.5795942968316</v>
      </c>
      <c r="T17">
        <f t="shared" si="12"/>
        <v>-39.968920845358483</v>
      </c>
      <c r="U17">
        <f t="shared" si="22"/>
        <v>0.58048447768499933</v>
      </c>
      <c r="V17">
        <f t="shared" si="13"/>
        <v>7.0244471804218174</v>
      </c>
      <c r="W17">
        <f t="shared" si="14"/>
        <v>34.497735859016558</v>
      </c>
      <c r="X17">
        <f t="shared" si="15"/>
        <v>111.82280433283368</v>
      </c>
      <c r="Y17">
        <f t="shared" si="16"/>
        <v>12.580065487443791</v>
      </c>
      <c r="Z17">
        <f t="shared" si="17"/>
        <v>55.911402166416842</v>
      </c>
      <c r="AA17">
        <f t="shared" si="18"/>
        <v>232.85971704836174</v>
      </c>
      <c r="AB17">
        <f t="shared" si="19"/>
        <v>12.580065487443791</v>
      </c>
      <c r="AC17">
        <f t="shared" si="23"/>
        <v>-84.705608536060083</v>
      </c>
      <c r="AD17">
        <f t="shared" si="24"/>
        <v>-500.04837345614618</v>
      </c>
      <c r="AE17">
        <f t="shared" si="25"/>
        <v>-1475.748357391531</v>
      </c>
      <c r="AF17">
        <f t="shared" si="26"/>
        <v>-166.02169020654725</v>
      </c>
      <c r="AG17">
        <f t="shared" si="27"/>
        <v>-737.87417869576552</v>
      </c>
      <c r="AH17">
        <f t="shared" si="28"/>
        <v>-3375.3265208289868</v>
      </c>
      <c r="AI17">
        <f t="shared" si="29"/>
        <v>-166.02169020654725</v>
      </c>
    </row>
    <row r="18" spans="1:35" ht="15.75" thickBot="1" x14ac:dyDescent="0.3">
      <c r="A18" s="4" t="s">
        <v>1</v>
      </c>
      <c r="B18" s="5">
        <v>0.5</v>
      </c>
      <c r="C18" s="6" t="s">
        <v>10</v>
      </c>
      <c r="E18">
        <f t="shared" si="20"/>
        <v>1.5244711171438488</v>
      </c>
      <c r="F18">
        <f t="shared" si="0"/>
        <v>10.606403546681845</v>
      </c>
      <c r="G18">
        <f t="shared" si="1"/>
        <v>36.569507089134348</v>
      </c>
      <c r="H18">
        <f t="shared" si="2"/>
        <v>142.87924588460552</v>
      </c>
      <c r="I18">
        <f t="shared" si="3"/>
        <v>16.073915162018121</v>
      </c>
      <c r="J18">
        <f t="shared" si="4"/>
        <v>71.439622942302762</v>
      </c>
      <c r="K18">
        <f t="shared" si="5"/>
        <v>246.84417285165685</v>
      </c>
      <c r="L18">
        <v>17</v>
      </c>
      <c r="M18">
        <f t="shared" si="21"/>
        <v>16.073915162018121</v>
      </c>
      <c r="N18">
        <f t="shared" si="6"/>
        <v>-15.615645778121026</v>
      </c>
      <c r="O18">
        <f t="shared" si="7"/>
        <v>-161.77381239340806</v>
      </c>
      <c r="P18">
        <f t="shared" si="8"/>
        <v>-365.97047084211124</v>
      </c>
      <c r="Q18">
        <f t="shared" si="9"/>
        <v>-41.171677969737516</v>
      </c>
      <c r="R18">
        <f t="shared" si="10"/>
        <v>-182.98523542105562</v>
      </c>
      <c r="S18">
        <f t="shared" si="11"/>
        <v>-1091.9732336555046</v>
      </c>
      <c r="T18">
        <f t="shared" si="12"/>
        <v>-41.171677969737516</v>
      </c>
      <c r="U18">
        <f t="shared" si="22"/>
        <v>0.58628932246184928</v>
      </c>
      <c r="V18">
        <f t="shared" si="13"/>
        <v>6.584763656402072</v>
      </c>
      <c r="W18">
        <f t="shared" si="14"/>
        <v>32.005062899582747</v>
      </c>
      <c r="X18">
        <f t="shared" si="15"/>
        <v>104.30027427760984</v>
      </c>
      <c r="Y18">
        <f t="shared" si="16"/>
        <v>11.733780856231107</v>
      </c>
      <c r="Z18">
        <f t="shared" si="17"/>
        <v>52.150137138804922</v>
      </c>
      <c r="AA18">
        <f t="shared" si="18"/>
        <v>216.03417457218359</v>
      </c>
      <c r="AB18">
        <f t="shared" si="19"/>
        <v>11.733780856231107</v>
      </c>
      <c r="AC18">
        <f t="shared" si="23"/>
        <v>-121.15484617407299</v>
      </c>
      <c r="AD18">
        <f t="shared" si="24"/>
        <v>-708.27667672534153</v>
      </c>
      <c r="AE18">
        <f t="shared" si="25"/>
        <v>-2100.5526473700884</v>
      </c>
      <c r="AF18">
        <f t="shared" si="26"/>
        <v>-236.31217282913497</v>
      </c>
      <c r="AG18">
        <f t="shared" si="27"/>
        <v>-1050.2763236850442</v>
      </c>
      <c r="AH18">
        <f t="shared" si="28"/>
        <v>-4780.8675678960544</v>
      </c>
      <c r="AI18">
        <f t="shared" si="29"/>
        <v>-236.31217282913497</v>
      </c>
    </row>
    <row r="19" spans="1:35" x14ac:dyDescent="0.25">
      <c r="A19" s="1" t="s">
        <v>11</v>
      </c>
      <c r="B19" s="2" t="s">
        <v>5</v>
      </c>
      <c r="C19" s="3" t="s">
        <v>12</v>
      </c>
      <c r="E19">
        <f t="shared" si="20"/>
        <v>1.5702052506581643</v>
      </c>
      <c r="F19">
        <f t="shared" si="0"/>
        <v>9.979542389434517</v>
      </c>
      <c r="G19">
        <f t="shared" si="1"/>
        <v>33.258169571656722</v>
      </c>
      <c r="H19">
        <f t="shared" si="2"/>
        <v>132.34328460279295</v>
      </c>
      <c r="I19">
        <f t="shared" si="3"/>
        <v>14.888619517814208</v>
      </c>
      <c r="J19">
        <f t="shared" si="4"/>
        <v>66.171642301396474</v>
      </c>
      <c r="K19">
        <f t="shared" si="5"/>
        <v>224.49264460868287</v>
      </c>
      <c r="L19">
        <v>18</v>
      </c>
      <c r="M19">
        <f t="shared" si="21"/>
        <v>14.888619517814208</v>
      </c>
      <c r="N19">
        <f t="shared" si="6"/>
        <v>-16.323798697424394</v>
      </c>
      <c r="O19">
        <f t="shared" si="7"/>
        <v>-165.27773505002759</v>
      </c>
      <c r="P19">
        <f t="shared" si="8"/>
        <v>-377.67658627126252</v>
      </c>
      <c r="Q19">
        <f t="shared" si="9"/>
        <v>-42.488615955517034</v>
      </c>
      <c r="R19">
        <f t="shared" si="10"/>
        <v>-188.83829313563126</v>
      </c>
      <c r="S19">
        <f t="shared" si="11"/>
        <v>-1115.6247115876863</v>
      </c>
      <c r="T19">
        <f t="shared" si="12"/>
        <v>-42.488615955517034</v>
      </c>
      <c r="U19">
        <f t="shared" si="22"/>
        <v>0.59215221568646781</v>
      </c>
      <c r="V19">
        <f t="shared" si="13"/>
        <v>6.1968076467683337</v>
      </c>
      <c r="W19">
        <f t="shared" si="14"/>
        <v>29.807963227548719</v>
      </c>
      <c r="X19">
        <f t="shared" si="15"/>
        <v>97.664499252204237</v>
      </c>
      <c r="Y19">
        <f t="shared" si="16"/>
        <v>10.987256165872976</v>
      </c>
      <c r="Z19">
        <f t="shared" si="17"/>
        <v>48.832249626102119</v>
      </c>
      <c r="AA19">
        <f t="shared" si="18"/>
        <v>201.20375178595387</v>
      </c>
      <c r="AB19">
        <f t="shared" si="19"/>
        <v>10.987256165872976</v>
      </c>
      <c r="AC19">
        <f t="shared" si="23"/>
        <v>-212.69809084385807</v>
      </c>
      <c r="AD19">
        <f t="shared" si="24"/>
        <v>-1231.3278724369802</v>
      </c>
      <c r="AE19">
        <f t="shared" si="25"/>
        <v>-3669.8256284056256</v>
      </c>
      <c r="AF19">
        <f t="shared" si="26"/>
        <v>-412.85538319563284</v>
      </c>
      <c r="AG19">
        <f t="shared" si="27"/>
        <v>-1834.9128142028128</v>
      </c>
      <c r="AH19">
        <f t="shared" si="28"/>
        <v>-8311.4631389496153</v>
      </c>
      <c r="AI19">
        <f t="shared" si="29"/>
        <v>-412.85538319563284</v>
      </c>
    </row>
    <row r="20" spans="1:35" x14ac:dyDescent="0.25">
      <c r="A20" s="4" t="s">
        <v>14</v>
      </c>
      <c r="B20" s="5">
        <v>1E-4</v>
      </c>
      <c r="C20" s="6" t="s">
        <v>28</v>
      </c>
      <c r="E20">
        <f t="shared" si="20"/>
        <v>1.6173114081779092</v>
      </c>
      <c r="F20">
        <f t="shared" si="0"/>
        <v>9.4223330236402045</v>
      </c>
      <c r="G20">
        <f t="shared" si="1"/>
        <v>30.343284833581528</v>
      </c>
      <c r="H20">
        <f t="shared" si="2"/>
        <v>123.00104418133513</v>
      </c>
      <c r="I20">
        <f t="shared" si="3"/>
        <v>13.837617470400204</v>
      </c>
      <c r="J20">
        <f t="shared" si="4"/>
        <v>61.500522090667566</v>
      </c>
      <c r="K20">
        <f t="shared" si="5"/>
        <v>204.8171726266753</v>
      </c>
      <c r="L20">
        <v>19</v>
      </c>
      <c r="M20">
        <f t="shared" si="21"/>
        <v>13.837617470400204</v>
      </c>
      <c r="N20">
        <f t="shared" si="6"/>
        <v>-17.099710958640678</v>
      </c>
      <c r="O20">
        <f t="shared" si="7"/>
        <v>-169.16488192202058</v>
      </c>
      <c r="P20">
        <f t="shared" si="8"/>
        <v>-390.54346958080725</v>
      </c>
      <c r="Q20">
        <f t="shared" si="9"/>
        <v>-43.936140327840818</v>
      </c>
      <c r="R20">
        <f t="shared" si="10"/>
        <v>-195.27173479040363</v>
      </c>
      <c r="S20">
        <f t="shared" si="11"/>
        <v>-1141.862952973639</v>
      </c>
      <c r="T20">
        <f t="shared" si="12"/>
        <v>-43.936140327840818</v>
      </c>
      <c r="U20">
        <f t="shared" si="22"/>
        <v>0.59807373784333251</v>
      </c>
      <c r="V20">
        <f t="shared" si="13"/>
        <v>5.851957899123053</v>
      </c>
      <c r="W20">
        <f t="shared" si="14"/>
        <v>27.857171775421417</v>
      </c>
      <c r="X20">
        <f t="shared" si="15"/>
        <v>91.767686211542312</v>
      </c>
      <c r="Y20">
        <f t="shared" si="16"/>
        <v>10.323864698798511</v>
      </c>
      <c r="Z20">
        <f t="shared" si="17"/>
        <v>45.883843105771156</v>
      </c>
      <c r="AA20">
        <f t="shared" si="18"/>
        <v>188.03590948409456</v>
      </c>
      <c r="AB20">
        <f t="shared" si="19"/>
        <v>10.323864698798511</v>
      </c>
      <c r="AC20">
        <f t="shared" si="23"/>
        <v>-870.7826802321847</v>
      </c>
      <c r="AD20">
        <f t="shared" si="24"/>
        <v>-4991.7581780418941</v>
      </c>
      <c r="AE20">
        <f t="shared" si="25"/>
        <v>-14951.235946941648</v>
      </c>
      <c r="AF20">
        <f t="shared" si="26"/>
        <v>-1682.0140440309351</v>
      </c>
      <c r="AG20">
        <f t="shared" si="27"/>
        <v>-7475.6179734708239</v>
      </c>
      <c r="AH20">
        <f t="shared" si="28"/>
        <v>-33694.367701782779</v>
      </c>
      <c r="AI20">
        <f t="shared" si="29"/>
        <v>-1682.0140440309351</v>
      </c>
    </row>
    <row r="21" spans="1:35" ht="15.75" thickBot="1" x14ac:dyDescent="0.3">
      <c r="A21" s="7" t="s">
        <v>13</v>
      </c>
      <c r="B21" s="8">
        <v>0.6</v>
      </c>
      <c r="C21" s="9" t="s">
        <v>15</v>
      </c>
      <c r="E21">
        <f t="shared" si="20"/>
        <v>1.6658307504232466</v>
      </c>
      <c r="F21">
        <f t="shared" si="0"/>
        <v>8.9237777980160757</v>
      </c>
      <c r="G21">
        <f t="shared" si="1"/>
        <v>27.761933043047581</v>
      </c>
      <c r="H21">
        <f t="shared" si="2"/>
        <v>114.66397601872907</v>
      </c>
      <c r="I21">
        <f t="shared" si="3"/>
        <v>12.89969730210702</v>
      </c>
      <c r="J21">
        <f t="shared" si="4"/>
        <v>57.331988009364537</v>
      </c>
      <c r="K21">
        <f t="shared" si="5"/>
        <v>187.39304804057116</v>
      </c>
      <c r="L21">
        <v>20</v>
      </c>
      <c r="M21">
        <f t="shared" si="21"/>
        <v>12.89969730210702</v>
      </c>
      <c r="N21">
        <f t="shared" si="6"/>
        <v>-17.953596354140643</v>
      </c>
      <c r="O21">
        <f t="shared" si="7"/>
        <v>-173.49375542177677</v>
      </c>
      <c r="P21">
        <f t="shared" si="8"/>
        <v>-404.74624952666795</v>
      </c>
      <c r="Q21">
        <f t="shared" si="9"/>
        <v>-45.533953071750148</v>
      </c>
      <c r="R21">
        <f t="shared" si="10"/>
        <v>-202.37312476333398</v>
      </c>
      <c r="S21">
        <f t="shared" si="11"/>
        <v>-1171.0828490969932</v>
      </c>
      <c r="T21">
        <f t="shared" si="12"/>
        <v>-45.533953071750148</v>
      </c>
      <c r="U21">
        <f t="shared" si="22"/>
        <v>0.60405447522176581</v>
      </c>
      <c r="V21">
        <f t="shared" si="13"/>
        <v>5.5434081615731072</v>
      </c>
      <c r="W21">
        <f t="shared" si="14"/>
        <v>26.113794909640148</v>
      </c>
      <c r="X21">
        <f t="shared" si="15"/>
        <v>86.493156405034711</v>
      </c>
      <c r="Y21">
        <f t="shared" si="16"/>
        <v>9.7304800955664064</v>
      </c>
      <c r="Z21">
        <f t="shared" si="17"/>
        <v>43.246578202517355</v>
      </c>
      <c r="AA21">
        <f t="shared" si="18"/>
        <v>176.26811564007102</v>
      </c>
      <c r="AB21">
        <f t="shared" si="19"/>
        <v>1E-4</v>
      </c>
      <c r="AC21">
        <f t="shared" si="23"/>
        <v>415.72738246317533</v>
      </c>
      <c r="AD21">
        <f t="shared" si="24"/>
        <v>2359.7809575021015</v>
      </c>
      <c r="AE21">
        <f t="shared" si="25"/>
        <v>7103.2620560588084</v>
      </c>
      <c r="AF21">
        <f t="shared" si="26"/>
        <v>799.11698130661603</v>
      </c>
      <c r="AG21">
        <f t="shared" si="27"/>
        <v>3551.6310280294042</v>
      </c>
      <c r="AH21">
        <f t="shared" si="28"/>
        <v>15928.521463139185</v>
      </c>
      <c r="AI21">
        <f t="shared" si="29"/>
        <v>799.11698130661603</v>
      </c>
    </row>
    <row r="22" spans="1:35" ht="15.75" thickBot="1" x14ac:dyDescent="0.3">
      <c r="A22" s="10" t="s">
        <v>32</v>
      </c>
      <c r="B22" s="11">
        <v>1.8</v>
      </c>
      <c r="C22" s="12" t="s">
        <v>34</v>
      </c>
      <c r="E22">
        <f t="shared" si="20"/>
        <v>1.7158056729359441</v>
      </c>
      <c r="F22">
        <f t="shared" si="0"/>
        <v>8.4750785915360076</v>
      </c>
      <c r="G22">
        <f t="shared" si="1"/>
        <v>25.463765549688684</v>
      </c>
      <c r="H22">
        <f t="shared" si="2"/>
        <v>107.18123787895414</v>
      </c>
      <c r="I22">
        <f t="shared" si="3"/>
        <v>12.057889261382341</v>
      </c>
      <c r="J22">
        <f t="shared" si="4"/>
        <v>53.590618939477068</v>
      </c>
      <c r="K22">
        <f t="shared" si="5"/>
        <v>171.88041746039863</v>
      </c>
      <c r="L22">
        <v>21</v>
      </c>
      <c r="M22">
        <f t="shared" si="21"/>
        <v>12.057889261382341</v>
      </c>
      <c r="N22">
        <f t="shared" si="6"/>
        <v>-18.897830061711186</v>
      </c>
      <c r="O22">
        <f t="shared" si="7"/>
        <v>-178.33521424113223</v>
      </c>
      <c r="P22">
        <f t="shared" si="8"/>
        <v>-420.49710750128924</v>
      </c>
      <c r="Q22">
        <f t="shared" si="9"/>
        <v>-47.305924593895035</v>
      </c>
      <c r="R22">
        <f t="shared" si="10"/>
        <v>-210.24855375064462</v>
      </c>
      <c r="S22">
        <f t="shared" si="11"/>
        <v>-1203.7626961276428</v>
      </c>
      <c r="T22">
        <f t="shared" si="12"/>
        <v>-47.305924593895035</v>
      </c>
      <c r="U22">
        <f t="shared" si="22"/>
        <v>0.61009501997398352</v>
      </c>
      <c r="V22">
        <f t="shared" si="13"/>
        <v>5.2657134326040618</v>
      </c>
      <c r="W22">
        <f t="shared" si="14"/>
        <v>24.546717572851936</v>
      </c>
      <c r="X22">
        <f t="shared" si="15"/>
        <v>81.747566802992395</v>
      </c>
      <c r="Y22">
        <f t="shared" si="16"/>
        <v>9.1966012653366445</v>
      </c>
      <c r="Z22">
        <f t="shared" si="17"/>
        <v>40.873783401496198</v>
      </c>
      <c r="AA22">
        <f t="shared" si="18"/>
        <v>165.69034361675057</v>
      </c>
      <c r="AB22">
        <f t="shared" si="19"/>
        <v>1E-4</v>
      </c>
      <c r="AC22">
        <f t="shared" si="23"/>
        <v>167.7867984348203</v>
      </c>
      <c r="AD22">
        <f t="shared" si="24"/>
        <v>943.03068177965315</v>
      </c>
      <c r="AE22">
        <f t="shared" si="25"/>
        <v>2852.8918292605672</v>
      </c>
      <c r="AF22">
        <f t="shared" si="26"/>
        <v>320.95033079181383</v>
      </c>
      <c r="AG22">
        <f t="shared" si="27"/>
        <v>1426.4459146302836</v>
      </c>
      <c r="AH22">
        <f t="shared" si="28"/>
        <v>6365.4571020126587</v>
      </c>
      <c r="AI22">
        <f t="shared" si="29"/>
        <v>320.95033079181383</v>
      </c>
    </row>
    <row r="23" spans="1:35" ht="15.75" thickBot="1" x14ac:dyDescent="0.3">
      <c r="A23" s="7" t="s">
        <v>24</v>
      </c>
      <c r="B23" s="8">
        <v>0.01</v>
      </c>
      <c r="C23" s="9" t="s">
        <v>25</v>
      </c>
      <c r="E23">
        <f t="shared" si="20"/>
        <v>1.7672798431240224</v>
      </c>
      <c r="F23">
        <f t="shared" si="0"/>
        <v>8.0691131157501363</v>
      </c>
      <c r="G23">
        <f t="shared" si="1"/>
        <v>23.408012404705179</v>
      </c>
      <c r="H23">
        <f t="shared" si="2"/>
        <v>100.43071622353021</v>
      </c>
      <c r="I23">
        <f t="shared" si="3"/>
        <v>11.298455575147148</v>
      </c>
      <c r="J23">
        <f t="shared" si="4"/>
        <v>50.215358111765106</v>
      </c>
      <c r="K23">
        <f t="shared" si="5"/>
        <v>158.00408373175998</v>
      </c>
      <c r="L23">
        <v>22</v>
      </c>
      <c r="M23">
        <f t="shared" si="21"/>
        <v>11.298455575147148</v>
      </c>
      <c r="N23">
        <f t="shared" si="6"/>
        <v>-19.947552305714854</v>
      </c>
      <c r="O23">
        <f t="shared" si="7"/>
        <v>-183.77592271168427</v>
      </c>
      <c r="P23">
        <f t="shared" si="8"/>
        <v>-438.05562599746531</v>
      </c>
      <c r="Q23">
        <f t="shared" si="9"/>
        <v>-49.281257924714851</v>
      </c>
      <c r="R23">
        <f t="shared" si="10"/>
        <v>-219.02781299873266</v>
      </c>
      <c r="S23">
        <f t="shared" si="11"/>
        <v>-1240.4874783038688</v>
      </c>
      <c r="T23">
        <f t="shared" si="12"/>
        <v>-49.281257924714851</v>
      </c>
      <c r="U23">
        <f t="shared" si="22"/>
        <v>0.61619597017372341</v>
      </c>
      <c r="V23">
        <f t="shared" si="13"/>
        <v>5.0144658538476667</v>
      </c>
      <c r="W23">
        <f t="shared" si="14"/>
        <v>23.130751242718414</v>
      </c>
      <c r="X23">
        <f t="shared" si="15"/>
        <v>77.455353972639429</v>
      </c>
      <c r="Y23">
        <f t="shared" si="16"/>
        <v>8.7137273219219367</v>
      </c>
      <c r="Z23">
        <f t="shared" si="17"/>
        <v>38.727676986319715</v>
      </c>
      <c r="AA23">
        <f t="shared" si="18"/>
        <v>156.13257088834931</v>
      </c>
      <c r="AB23">
        <f t="shared" si="19"/>
        <v>1E-4</v>
      </c>
      <c r="AC23">
        <f t="shared" si="23"/>
        <v>105.09529454179872</v>
      </c>
      <c r="AD23">
        <f t="shared" si="24"/>
        <v>584.84657473444929</v>
      </c>
      <c r="AE23">
        <f t="shared" si="25"/>
        <v>1778.220118404859</v>
      </c>
      <c r="AF23">
        <f t="shared" si="26"/>
        <v>200.04976332054665</v>
      </c>
      <c r="AG23">
        <f t="shared" si="27"/>
        <v>889.11005920242951</v>
      </c>
      <c r="AH23">
        <f t="shared" si="28"/>
        <v>3947.7143794575322</v>
      </c>
      <c r="AI23">
        <f t="shared" si="29"/>
        <v>200.04976332054665</v>
      </c>
    </row>
    <row r="24" spans="1:35" ht="15.75" thickBot="1" x14ac:dyDescent="0.3">
      <c r="E24">
        <f t="shared" si="20"/>
        <v>1.8202982384177431</v>
      </c>
      <c r="F24">
        <f t="shared" si="0"/>
        <v>7.7000540437450065</v>
      </c>
      <c r="G24">
        <f t="shared" si="1"/>
        <v>21.561306025377181</v>
      </c>
      <c r="H24">
        <f t="shared" si="2"/>
        <v>94.312497000139388</v>
      </c>
      <c r="I24">
        <f t="shared" si="3"/>
        <v>10.610155912515681</v>
      </c>
      <c r="J24">
        <f t="shared" si="4"/>
        <v>47.156248500069694</v>
      </c>
      <c r="K24">
        <f t="shared" si="5"/>
        <v>145.53881567129599</v>
      </c>
      <c r="L24">
        <v>23</v>
      </c>
      <c r="M24">
        <f t="shared" si="21"/>
        <v>10.610155912515681</v>
      </c>
      <c r="N24">
        <f t="shared" si="6"/>
        <v>-21.121486306576237</v>
      </c>
      <c r="O24">
        <f t="shared" si="7"/>
        <v>-189.9230246534801</v>
      </c>
      <c r="P24">
        <f t="shared" si="8"/>
        <v>-457.74281058606982</v>
      </c>
      <c r="Q24">
        <f t="shared" si="9"/>
        <v>-51.496066190932865</v>
      </c>
      <c r="R24">
        <f t="shared" si="10"/>
        <v>-228.87140529303491</v>
      </c>
      <c r="S24">
        <f t="shared" si="11"/>
        <v>-1281.9804164109905</v>
      </c>
      <c r="T24">
        <f t="shared" si="12"/>
        <v>-51.496066190932865</v>
      </c>
      <c r="U24">
        <f t="shared" si="22"/>
        <v>0.62235792987546068</v>
      </c>
      <c r="V24">
        <f t="shared" si="13"/>
        <v>4.7860589957288751</v>
      </c>
      <c r="W24">
        <f t="shared" si="14"/>
        <v>21.845286992902853</v>
      </c>
      <c r="X24">
        <f t="shared" si="15"/>
        <v>73.554693260669339</v>
      </c>
      <c r="Y24">
        <f t="shared" si="16"/>
        <v>8.2749029918253001</v>
      </c>
      <c r="Z24">
        <f t="shared" si="17"/>
        <v>36.777346630334669</v>
      </c>
      <c r="AA24">
        <f t="shared" si="18"/>
        <v>147.45568720209428</v>
      </c>
      <c r="AB24">
        <f t="shared" si="19"/>
        <v>1E-4</v>
      </c>
      <c r="AC24">
        <f t="shared" si="23"/>
        <v>76.504591779509781</v>
      </c>
      <c r="AD24">
        <f t="shared" si="24"/>
        <v>421.52418281151381</v>
      </c>
      <c r="AE24">
        <f t="shared" si="25"/>
        <v>1288.1335687348194</v>
      </c>
      <c r="AF24">
        <f t="shared" si="26"/>
        <v>144.91502648266717</v>
      </c>
      <c r="AG24">
        <f t="shared" si="27"/>
        <v>644.0667843674097</v>
      </c>
      <c r="AH24">
        <f t="shared" si="28"/>
        <v>2845.2882339777184</v>
      </c>
      <c r="AI24">
        <f t="shared" si="29"/>
        <v>144.91502648266717</v>
      </c>
    </row>
    <row r="25" spans="1:35" ht="15.75" thickBot="1" x14ac:dyDescent="0.3">
      <c r="A25" s="59" t="s">
        <v>40</v>
      </c>
      <c r="B25" s="60"/>
      <c r="C25" s="61"/>
      <c r="E25">
        <f t="shared" si="20"/>
        <v>1.8749071855702755</v>
      </c>
      <c r="F25">
        <f t="shared" si="0"/>
        <v>7.3630874967659752</v>
      </c>
      <c r="G25">
        <f t="shared" si="1"/>
        <v>19.896072609798154</v>
      </c>
      <c r="H25">
        <f t="shared" si="2"/>
        <v>88.744039705336974</v>
      </c>
      <c r="I25">
        <f t="shared" si="3"/>
        <v>9.9837044668504102</v>
      </c>
      <c r="J25">
        <f t="shared" si="4"/>
        <v>44.372019852668487</v>
      </c>
      <c r="K25">
        <f t="shared" si="5"/>
        <v>134.29849011613754</v>
      </c>
      <c r="L25">
        <v>24</v>
      </c>
      <c r="M25">
        <f t="shared" si="21"/>
        <v>9.9837044668504102</v>
      </c>
      <c r="N25">
        <f t="shared" si="6"/>
        <v>-22.443064845684802</v>
      </c>
      <c r="O25">
        <f t="shared" si="7"/>
        <v>-196.91058072416229</v>
      </c>
      <c r="P25">
        <f t="shared" si="8"/>
        <v>-479.96040244351718</v>
      </c>
      <c r="Q25">
        <f t="shared" si="9"/>
        <v>-53.995545274895683</v>
      </c>
      <c r="R25">
        <f t="shared" si="10"/>
        <v>-239.98020122175859</v>
      </c>
      <c r="S25">
        <f t="shared" si="11"/>
        <v>-1329.1464198880951</v>
      </c>
      <c r="T25">
        <f t="shared" si="12"/>
        <v>-53.995545274895683</v>
      </c>
      <c r="U25">
        <f t="shared" si="22"/>
        <v>0.62858150917421529</v>
      </c>
      <c r="V25">
        <f t="shared" si="13"/>
        <v>4.5775136338173512</v>
      </c>
      <c r="W25">
        <f t="shared" si="14"/>
        <v>20.673299929486451</v>
      </c>
      <c r="X25">
        <f t="shared" si="15"/>
        <v>69.99451210209304</v>
      </c>
      <c r="Y25">
        <f t="shared" si="16"/>
        <v>7.8743826114854665</v>
      </c>
      <c r="Z25">
        <f t="shared" si="17"/>
        <v>34.99725605104652</v>
      </c>
      <c r="AA25">
        <f t="shared" si="18"/>
        <v>139.54477452403353</v>
      </c>
      <c r="AB25">
        <f t="shared" si="19"/>
        <v>1E-4</v>
      </c>
      <c r="AC25">
        <f t="shared" si="23"/>
        <v>60.14040775940839</v>
      </c>
      <c r="AD25">
        <f t="shared" si="24"/>
        <v>328.06760454836933</v>
      </c>
      <c r="AE25">
        <f t="shared" si="25"/>
        <v>1007.6444817680142</v>
      </c>
      <c r="AF25">
        <f t="shared" si="26"/>
        <v>113.36000419890161</v>
      </c>
      <c r="AG25">
        <f t="shared" si="27"/>
        <v>503.8222408840071</v>
      </c>
      <c r="AH25">
        <f t="shared" si="28"/>
        <v>2214.4563307014928</v>
      </c>
      <c r="AI25">
        <f t="shared" si="29"/>
        <v>113.36000419890161</v>
      </c>
    </row>
    <row r="26" spans="1:35" ht="15.75" thickBot="1" x14ac:dyDescent="0.3">
      <c r="A26" s="59" t="s">
        <v>29</v>
      </c>
      <c r="B26" s="60"/>
      <c r="C26" s="61"/>
      <c r="E26">
        <f t="shared" si="20"/>
        <v>1.9311544011373838</v>
      </c>
      <c r="F26">
        <f t="shared" si="0"/>
        <v>7.0542019091840649</v>
      </c>
      <c r="G26">
        <f t="shared" si="1"/>
        <v>18.389325705698127</v>
      </c>
      <c r="H26">
        <f t="shared" si="2"/>
        <v>83.656557933033156</v>
      </c>
      <c r="I26">
        <f t="shared" si="3"/>
        <v>9.4113627674662297</v>
      </c>
      <c r="J26">
        <f t="shared" si="4"/>
        <v>41.828278966516578</v>
      </c>
      <c r="K26">
        <f t="shared" si="5"/>
        <v>124.12794851346237</v>
      </c>
      <c r="L26">
        <v>25</v>
      </c>
      <c r="M26">
        <f t="shared" si="21"/>
        <v>9.4113627674662297</v>
      </c>
      <c r="N26">
        <f t="shared" si="6"/>
        <v>-23.942010410381428</v>
      </c>
      <c r="O26">
        <f t="shared" si="7"/>
        <v>-204.9085976383291</v>
      </c>
      <c r="P26">
        <f t="shared" si="8"/>
        <v>-505.21796653756792</v>
      </c>
      <c r="Q26">
        <f t="shared" si="9"/>
        <v>-56.837021235476385</v>
      </c>
      <c r="R26">
        <f t="shared" si="10"/>
        <v>-252.60898326878396</v>
      </c>
      <c r="S26">
        <f t="shared" si="11"/>
        <v>-1383.1330340587215</v>
      </c>
      <c r="T26">
        <f t="shared" si="12"/>
        <v>-56.837021235476385</v>
      </c>
      <c r="U26">
        <f t="shared" si="22"/>
        <v>0.63486732426595749</v>
      </c>
      <c r="V26">
        <f t="shared" si="13"/>
        <v>4.386347081086714</v>
      </c>
      <c r="W26">
        <f t="shared" si="14"/>
        <v>19.600602518313281</v>
      </c>
      <c r="X26">
        <f t="shared" si="15"/>
        <v>66.732250001876352</v>
      </c>
      <c r="Y26">
        <f t="shared" si="16"/>
        <v>7.5073781252110887</v>
      </c>
      <c r="Z26">
        <f t="shared" si="17"/>
        <v>33.366125000938176</v>
      </c>
      <c r="AA26">
        <f t="shared" si="18"/>
        <v>132.30406699861464</v>
      </c>
      <c r="AB26">
        <f t="shared" si="19"/>
        <v>1E-4</v>
      </c>
      <c r="AC26">
        <f t="shared" si="23"/>
        <v>49.541473478044551</v>
      </c>
      <c r="AD26">
        <f t="shared" si="24"/>
        <v>267.55530068424366</v>
      </c>
      <c r="AE26">
        <f t="shared" si="25"/>
        <v>825.98824562281413</v>
      </c>
      <c r="AF26">
        <f t="shared" si="26"/>
        <v>92.92367763256658</v>
      </c>
      <c r="AG26">
        <f t="shared" si="27"/>
        <v>412.99412281140707</v>
      </c>
      <c r="AH26">
        <f t="shared" si="28"/>
        <v>1805.9982796186448</v>
      </c>
      <c r="AI26">
        <f t="shared" si="29"/>
        <v>92.92367763256658</v>
      </c>
    </row>
    <row r="27" spans="1:35" x14ac:dyDescent="0.25">
      <c r="A27" s="1" t="s">
        <v>0</v>
      </c>
      <c r="B27" s="2">
        <v>1.5</v>
      </c>
      <c r="C27" s="3" t="s">
        <v>9</v>
      </c>
      <c r="E27">
        <f t="shared" si="20"/>
        <v>1.9890890331715054</v>
      </c>
      <c r="F27">
        <f t="shared" si="0"/>
        <v>6.770027565870981</v>
      </c>
      <c r="G27">
        <f t="shared" si="1"/>
        <v>17.021749328016938</v>
      </c>
      <c r="H27">
        <f t="shared" si="2"/>
        <v>78.992268592687935</v>
      </c>
      <c r="I27">
        <f t="shared" si="3"/>
        <v>8.8866302166773927</v>
      </c>
      <c r="J27">
        <f t="shared" si="4"/>
        <v>39.496134296343968</v>
      </c>
      <c r="K27">
        <f t="shared" si="5"/>
        <v>114.89680796411434</v>
      </c>
      <c r="L27">
        <v>26</v>
      </c>
      <c r="M27">
        <f t="shared" si="21"/>
        <v>8.8866302166773927</v>
      </c>
      <c r="N27">
        <f t="shared" si="6"/>
        <v>-25.656597302757582</v>
      </c>
      <c r="O27">
        <f t="shared" si="7"/>
        <v>-214.13595430729953</v>
      </c>
      <c r="P27">
        <f t="shared" si="8"/>
        <v>-534.17167062113128</v>
      </c>
      <c r="Q27">
        <f t="shared" si="9"/>
        <v>-60.094312944877274</v>
      </c>
      <c r="R27">
        <f t="shared" si="10"/>
        <v>-267.08583531056564</v>
      </c>
      <c r="S27">
        <f t="shared" si="11"/>
        <v>-1445.4176915742719</v>
      </c>
      <c r="T27">
        <f t="shared" si="12"/>
        <v>-60.094312944877274</v>
      </c>
      <c r="U27">
        <f t="shared" si="22"/>
        <v>0.64121599750861702</v>
      </c>
      <c r="V27">
        <f t="shared" si="13"/>
        <v>4.210473880435452</v>
      </c>
      <c r="W27">
        <f t="shared" si="14"/>
        <v>18.615277113803671</v>
      </c>
      <c r="X27">
        <f t="shared" si="15"/>
        <v>63.732156120986353</v>
      </c>
      <c r="Y27">
        <f t="shared" si="16"/>
        <v>7.1698675636109641</v>
      </c>
      <c r="Z27">
        <f t="shared" si="17"/>
        <v>31.866078060493177</v>
      </c>
      <c r="AA27">
        <f t="shared" si="18"/>
        <v>125.65312051817477</v>
      </c>
      <c r="AB27">
        <f t="shared" si="19"/>
        <v>1E-4</v>
      </c>
      <c r="AC27">
        <f t="shared" si="23"/>
        <v>42.117377470051039</v>
      </c>
      <c r="AD27">
        <f t="shared" si="24"/>
        <v>225.18491789197492</v>
      </c>
      <c r="AE27">
        <f t="shared" si="25"/>
        <v>698.75780621295917</v>
      </c>
      <c r="AF27">
        <f t="shared" si="26"/>
        <v>78.610253198957906</v>
      </c>
      <c r="AG27">
        <f t="shared" si="27"/>
        <v>349.37890310647958</v>
      </c>
      <c r="AH27">
        <f t="shared" si="28"/>
        <v>1519.9981957708308</v>
      </c>
      <c r="AI27">
        <f t="shared" si="29"/>
        <v>78.610253198957906</v>
      </c>
    </row>
    <row r="28" spans="1:35" ht="15.75" thickBot="1" x14ac:dyDescent="0.3">
      <c r="A28" s="4" t="s">
        <v>1</v>
      </c>
      <c r="B28" s="5">
        <v>3</v>
      </c>
      <c r="C28" s="6" t="s">
        <v>10</v>
      </c>
      <c r="E28">
        <f t="shared" si="20"/>
        <v>2.0487617041666506</v>
      </c>
      <c r="F28">
        <f t="shared" si="0"/>
        <v>6.5077131694105317</v>
      </c>
      <c r="G28">
        <f t="shared" si="1"/>
        <v>15.776992667724336</v>
      </c>
      <c r="H28">
        <f t="shared" si="2"/>
        <v>74.702275924562812</v>
      </c>
      <c r="I28">
        <f t="shared" si="3"/>
        <v>8.4040060415133162</v>
      </c>
      <c r="J28">
        <f t="shared" si="4"/>
        <v>37.351137962281406</v>
      </c>
      <c r="K28">
        <f t="shared" si="5"/>
        <v>106.49470050713927</v>
      </c>
      <c r="L28">
        <v>27</v>
      </c>
      <c r="M28">
        <f t="shared" si="21"/>
        <v>8.4040060415133162</v>
      </c>
      <c r="N28">
        <f t="shared" si="6"/>
        <v>-27.636965703999305</v>
      </c>
      <c r="O28">
        <f t="shared" si="7"/>
        <v>-224.8793391381343</v>
      </c>
      <c r="P28">
        <f t="shared" si="8"/>
        <v>-567.68109774945856</v>
      </c>
      <c r="Q28">
        <f t="shared" si="9"/>
        <v>-63.864123496814102</v>
      </c>
      <c r="R28">
        <f t="shared" si="10"/>
        <v>-283.84054887472928</v>
      </c>
      <c r="S28">
        <f t="shared" si="11"/>
        <v>-1517.9355391824065</v>
      </c>
      <c r="T28">
        <f t="shared" si="12"/>
        <v>-63.864123496814102</v>
      </c>
      <c r="U28">
        <f t="shared" si="22"/>
        <v>0.64762815748370317</v>
      </c>
      <c r="V28">
        <f t="shared" si="13"/>
        <v>4.0481294143157758</v>
      </c>
      <c r="W28">
        <f t="shared" si="14"/>
        <v>17.70723944268601</v>
      </c>
      <c r="X28">
        <f t="shared" si="15"/>
        <v>60.963979727197497</v>
      </c>
      <c r="Y28">
        <f t="shared" si="16"/>
        <v>6.8584477193097184</v>
      </c>
      <c r="Z28">
        <f t="shared" si="17"/>
        <v>30.481989863598749</v>
      </c>
      <c r="AA28">
        <f t="shared" si="18"/>
        <v>119.52386623813057</v>
      </c>
      <c r="AB28">
        <f t="shared" si="19"/>
        <v>1E-4</v>
      </c>
      <c r="AC28">
        <f t="shared" si="23"/>
        <v>36.627437193053296</v>
      </c>
      <c r="AD28">
        <f t="shared" si="24"/>
        <v>193.86683954970843</v>
      </c>
      <c r="AE28">
        <f t="shared" si="25"/>
        <v>604.68431956147901</v>
      </c>
      <c r="AF28">
        <f t="shared" si="26"/>
        <v>68.026985950666386</v>
      </c>
      <c r="AG28">
        <f t="shared" si="27"/>
        <v>302.34215978073951</v>
      </c>
      <c r="AH28">
        <f t="shared" si="28"/>
        <v>1308.6011669605321</v>
      </c>
      <c r="AI28">
        <f t="shared" si="29"/>
        <v>68.026985950666386</v>
      </c>
    </row>
    <row r="29" spans="1:35" x14ac:dyDescent="0.25">
      <c r="A29" s="1" t="s">
        <v>11</v>
      </c>
      <c r="B29" s="2" t="s">
        <v>5</v>
      </c>
      <c r="C29" s="3" t="s">
        <v>12</v>
      </c>
      <c r="E29">
        <f t="shared" si="20"/>
        <v>2.1102245552916501</v>
      </c>
      <c r="F29">
        <f t="shared" si="0"/>
        <v>6.2648298368182784</v>
      </c>
      <c r="G29">
        <f t="shared" si="1"/>
        <v>14.641121532952193</v>
      </c>
      <c r="H29">
        <f t="shared" si="2"/>
        <v>70.744925734973108</v>
      </c>
      <c r="I29">
        <f t="shared" si="3"/>
        <v>7.958804145184474</v>
      </c>
      <c r="J29">
        <f t="shared" si="4"/>
        <v>35.372462867486554</v>
      </c>
      <c r="K29">
        <f t="shared" si="5"/>
        <v>98.827570347427297</v>
      </c>
      <c r="L29">
        <v>28</v>
      </c>
      <c r="M29">
        <f t="shared" si="21"/>
        <v>7.958804145184474</v>
      </c>
      <c r="N29">
        <f t="shared" si="6"/>
        <v>-29.950106371743672</v>
      </c>
      <c r="O29">
        <f t="shared" si="7"/>
        <v>-237.52173379220238</v>
      </c>
      <c r="P29">
        <f t="shared" si="8"/>
        <v>-606.89469822017952</v>
      </c>
      <c r="Q29">
        <f t="shared" si="9"/>
        <v>-68.275653549770198</v>
      </c>
      <c r="R29">
        <f t="shared" si="10"/>
        <v>-303.44734911008976</v>
      </c>
      <c r="S29">
        <f t="shared" si="11"/>
        <v>-1603.2717030973658</v>
      </c>
      <c r="T29">
        <f t="shared" si="12"/>
        <v>-68.275653549770198</v>
      </c>
      <c r="U29">
        <f t="shared" si="22"/>
        <v>0.65410443905854021</v>
      </c>
      <c r="V29">
        <f t="shared" si="13"/>
        <v>3.8978104900021489</v>
      </c>
      <c r="W29">
        <f t="shared" si="14"/>
        <v>16.867899091371903</v>
      </c>
      <c r="X29">
        <f t="shared" si="15"/>
        <v>58.401951656831486</v>
      </c>
      <c r="Y29">
        <f t="shared" si="16"/>
        <v>6.5702195613935421</v>
      </c>
      <c r="Z29">
        <f t="shared" si="17"/>
        <v>29.200975828415743</v>
      </c>
      <c r="AA29">
        <f t="shared" si="18"/>
        <v>113.85831886676034</v>
      </c>
      <c r="AB29">
        <f t="shared" si="19"/>
        <v>1E-4</v>
      </c>
      <c r="AC29">
        <f t="shared" si="23"/>
        <v>32.402921781606196</v>
      </c>
      <c r="AD29">
        <f t="shared" si="24"/>
        <v>169.77974433481762</v>
      </c>
      <c r="AE29">
        <f t="shared" si="25"/>
        <v>532.30382758129701</v>
      </c>
      <c r="AF29">
        <f t="shared" si="26"/>
        <v>59.884180602895903</v>
      </c>
      <c r="AG29">
        <f t="shared" si="27"/>
        <v>266.15191379064851</v>
      </c>
      <c r="AH29">
        <f t="shared" si="28"/>
        <v>1146.013274260019</v>
      </c>
      <c r="AI29">
        <f t="shared" si="29"/>
        <v>59.884180602895903</v>
      </c>
    </row>
    <row r="30" spans="1:35" x14ac:dyDescent="0.25">
      <c r="A30" s="4" t="s">
        <v>14</v>
      </c>
      <c r="B30" s="5">
        <v>0.15</v>
      </c>
      <c r="C30" s="6" t="s">
        <v>28</v>
      </c>
      <c r="E30">
        <f t="shared" si="20"/>
        <v>2.1735312919503995</v>
      </c>
      <c r="F30">
        <f t="shared" si="0"/>
        <v>6.0392956683935592</v>
      </c>
      <c r="G30">
        <f t="shared" si="1"/>
        <v>13.602187337541952</v>
      </c>
      <c r="H30">
        <f t="shared" si="2"/>
        <v>67.084512296500719</v>
      </c>
      <c r="I30">
        <f t="shared" si="3"/>
        <v>7.5470076333563298</v>
      </c>
      <c r="J30">
        <f t="shared" si="4"/>
        <v>33.54225614825036</v>
      </c>
      <c r="K30">
        <f t="shared" si="5"/>
        <v>91.81476452840819</v>
      </c>
      <c r="L30">
        <v>29</v>
      </c>
      <c r="M30">
        <f t="shared" si="21"/>
        <v>7.5470076333563298</v>
      </c>
      <c r="N30">
        <f t="shared" si="6"/>
        <v>-32.687588627053813</v>
      </c>
      <c r="O30">
        <f t="shared" si="7"/>
        <v>-252.58657287019264</v>
      </c>
      <c r="P30">
        <f t="shared" si="8"/>
        <v>-653.38226933522571</v>
      </c>
      <c r="Q30">
        <f t="shared" si="9"/>
        <v>-73.505505300212889</v>
      </c>
      <c r="R30">
        <f t="shared" si="10"/>
        <v>-326.69113466761286</v>
      </c>
      <c r="S30">
        <f t="shared" si="11"/>
        <v>-1704.9593668738003</v>
      </c>
      <c r="T30">
        <f t="shared" si="12"/>
        <v>-73.505505300212889</v>
      </c>
      <c r="U30">
        <f t="shared" si="22"/>
        <v>0.66064548344912566</v>
      </c>
      <c r="V30">
        <f t="shared" si="13"/>
        <v>3.7582286565865095</v>
      </c>
      <c r="W30">
        <f t="shared" si="14"/>
        <v>16.089892746063118</v>
      </c>
      <c r="X30">
        <f t="shared" si="15"/>
        <v>56.023984034697015</v>
      </c>
      <c r="Y30">
        <f t="shared" si="16"/>
        <v>6.3026982039034145</v>
      </c>
      <c r="Z30">
        <f t="shared" si="17"/>
        <v>28.011992017348508</v>
      </c>
      <c r="AA30">
        <f t="shared" si="18"/>
        <v>108.60677603592605</v>
      </c>
      <c r="AB30">
        <f t="shared" si="19"/>
        <v>1E-4</v>
      </c>
      <c r="AC30">
        <f t="shared" si="23"/>
        <v>29.051525827405911</v>
      </c>
      <c r="AD30">
        <f t="shared" si="24"/>
        <v>150.68188496858411</v>
      </c>
      <c r="AE30">
        <f t="shared" si="25"/>
        <v>474.8910943081155</v>
      </c>
      <c r="AF30">
        <f t="shared" si="26"/>
        <v>53.425248109662995</v>
      </c>
      <c r="AG30">
        <f t="shared" si="27"/>
        <v>237.44554715405775</v>
      </c>
      <c r="AH30">
        <f t="shared" si="28"/>
        <v>1017.1027235379427</v>
      </c>
      <c r="AI30">
        <f t="shared" si="29"/>
        <v>53.425248109662995</v>
      </c>
    </row>
    <row r="31" spans="1:35" ht="15.75" thickBot="1" x14ac:dyDescent="0.3">
      <c r="A31" s="7" t="s">
        <v>13</v>
      </c>
      <c r="B31" s="8">
        <v>15</v>
      </c>
      <c r="C31" s="9" t="s">
        <v>15</v>
      </c>
      <c r="E31">
        <f t="shared" si="20"/>
        <v>2.2387372307089115</v>
      </c>
      <c r="F31">
        <f t="shared" si="0"/>
        <v>5.8293159230148417</v>
      </c>
      <c r="G31">
        <f t="shared" si="1"/>
        <v>12.649885261800042</v>
      </c>
      <c r="H31">
        <f t="shared" si="2"/>
        <v>63.690252787101699</v>
      </c>
      <c r="I31">
        <f t="shared" si="3"/>
        <v>7.1651534385489413</v>
      </c>
      <c r="J31">
        <f t="shared" si="4"/>
        <v>31.845126393550849</v>
      </c>
      <c r="K31">
        <f t="shared" si="5"/>
        <v>85.386725517150268</v>
      </c>
      <c r="L31">
        <v>30</v>
      </c>
      <c r="M31">
        <f t="shared" si="21"/>
        <v>7.1651534385489413</v>
      </c>
      <c r="N31">
        <f t="shared" si="6"/>
        <v>-35.977970878954061</v>
      </c>
      <c r="O31">
        <f t="shared" si="7"/>
        <v>-270.80866094099156</v>
      </c>
      <c r="P31">
        <f t="shared" si="8"/>
        <v>-709.34770723499935</v>
      </c>
      <c r="Q31">
        <f t="shared" si="9"/>
        <v>-79.801617063937442</v>
      </c>
      <c r="R31">
        <f t="shared" si="10"/>
        <v>-354.67385361749967</v>
      </c>
      <c r="S31">
        <f t="shared" si="11"/>
        <v>-1827.9584613516931</v>
      </c>
      <c r="T31">
        <f t="shared" si="12"/>
        <v>-79.801617063937442</v>
      </c>
      <c r="U31">
        <f t="shared" si="22"/>
        <v>0.66725193828361695</v>
      </c>
      <c r="V31">
        <f t="shared" si="13"/>
        <v>3.6282731805280299</v>
      </c>
      <c r="W31">
        <f t="shared" si="14"/>
        <v>15.366872624585834</v>
      </c>
      <c r="X31">
        <f t="shared" si="15"/>
        <v>53.811035569215811</v>
      </c>
      <c r="Y31">
        <f t="shared" si="16"/>
        <v>6.0537415015367797</v>
      </c>
      <c r="Z31">
        <f t="shared" si="17"/>
        <v>26.905517784607905</v>
      </c>
      <c r="AA31">
        <f t="shared" si="18"/>
        <v>103.72639021595438</v>
      </c>
      <c r="AB31">
        <f t="shared" si="19"/>
        <v>1E-4</v>
      </c>
      <c r="AC31">
        <f t="shared" si="23"/>
        <v>26.327918346129707</v>
      </c>
      <c r="AD31">
        <f t="shared" si="24"/>
        <v>135.17136802703098</v>
      </c>
      <c r="AE31">
        <f t="shared" si="25"/>
        <v>428.24044533175777</v>
      </c>
      <c r="AF31">
        <f t="shared" si="26"/>
        <v>48.177050099822743</v>
      </c>
      <c r="AG31">
        <f t="shared" si="27"/>
        <v>214.12022266587888</v>
      </c>
      <c r="AH31">
        <f t="shared" si="28"/>
        <v>912.40673418245899</v>
      </c>
      <c r="AI31">
        <f t="shared" si="29"/>
        <v>48.177050099822743</v>
      </c>
    </row>
    <row r="32" spans="1:35" ht="15.75" thickBot="1" x14ac:dyDescent="0.3">
      <c r="A32" s="59" t="s">
        <v>30</v>
      </c>
      <c r="B32" s="60"/>
      <c r="C32" s="61"/>
      <c r="E32">
        <f t="shared" si="20"/>
        <v>2.305899347630179</v>
      </c>
      <c r="F32">
        <f t="shared" si="0"/>
        <v>5.6333351583769415</v>
      </c>
      <c r="G32">
        <f t="shared" si="1"/>
        <v>11.775280777044278</v>
      </c>
      <c r="H32">
        <f t="shared" si="2"/>
        <v>60.535466842327359</v>
      </c>
      <c r="I32">
        <f t="shared" si="3"/>
        <v>6.8102400197618271</v>
      </c>
      <c r="J32">
        <f t="shared" si="4"/>
        <v>30.26773342116368</v>
      </c>
      <c r="K32">
        <f t="shared" si="5"/>
        <v>79.483145245048874</v>
      </c>
      <c r="L32">
        <v>31</v>
      </c>
      <c r="M32">
        <f t="shared" si="21"/>
        <v>6.8102400197618271</v>
      </c>
      <c r="N32">
        <f t="shared" si="6"/>
        <v>-40.007575627052127</v>
      </c>
      <c r="O32">
        <f t="shared" si="7"/>
        <v>-293.25288657530393</v>
      </c>
      <c r="P32">
        <f t="shared" si="8"/>
        <v>-777.98514978528613</v>
      </c>
      <c r="Q32">
        <f t="shared" si="9"/>
        <v>-87.523329350844691</v>
      </c>
      <c r="R32">
        <f t="shared" si="10"/>
        <v>-388.99257489264306</v>
      </c>
      <c r="S32">
        <f t="shared" si="11"/>
        <v>-1979.4569843833019</v>
      </c>
      <c r="T32">
        <f t="shared" si="12"/>
        <v>-87.523329350844691</v>
      </c>
      <c r="U32">
        <f t="shared" si="22"/>
        <v>0.67392445766645315</v>
      </c>
      <c r="V32">
        <f t="shared" si="13"/>
        <v>3.5069814260907752</v>
      </c>
      <c r="W32">
        <f t="shared" si="14"/>
        <v>14.693337221882102</v>
      </c>
      <c r="X32">
        <f t="shared" si="15"/>
        <v>51.746603788524766</v>
      </c>
      <c r="Y32">
        <f t="shared" si="16"/>
        <v>5.8214929262090358</v>
      </c>
      <c r="Z32">
        <f t="shared" si="17"/>
        <v>25.873301894262383</v>
      </c>
      <c r="AA32">
        <f t="shared" si="18"/>
        <v>99.180026247704191</v>
      </c>
      <c r="AB32">
        <f t="shared" si="19"/>
        <v>1E-4</v>
      </c>
      <c r="AC32">
        <f t="shared" si="23"/>
        <v>24.070808588739816</v>
      </c>
      <c r="AD32">
        <f t="shared" si="24"/>
        <v>122.32653000583662</v>
      </c>
      <c r="AE32">
        <f t="shared" si="25"/>
        <v>389.58689598976139</v>
      </c>
      <c r="AF32">
        <f t="shared" si="26"/>
        <v>43.828525798848155</v>
      </c>
      <c r="AG32">
        <f t="shared" si="27"/>
        <v>194.79344799488069</v>
      </c>
      <c r="AH32">
        <f t="shared" si="28"/>
        <v>825.7040775393973</v>
      </c>
      <c r="AI32">
        <f t="shared" si="29"/>
        <v>43.828525798848155</v>
      </c>
    </row>
    <row r="33" spans="1:35" x14ac:dyDescent="0.25">
      <c r="A33" s="1" t="s">
        <v>0</v>
      </c>
      <c r="B33" s="2">
        <v>0.4</v>
      </c>
      <c r="C33" s="3" t="s">
        <v>9</v>
      </c>
      <c r="E33">
        <f t="shared" si="20"/>
        <v>2.3750763280590843</v>
      </c>
      <c r="F33">
        <f t="shared" si="0"/>
        <v>5.4499986344074154</v>
      </c>
      <c r="G33">
        <f t="shared" si="1"/>
        <v>10.970589095510451</v>
      </c>
      <c r="H33">
        <f t="shared" si="2"/>
        <v>57.596914904755138</v>
      </c>
      <c r="I33">
        <f t="shared" si="3"/>
        <v>6.4796529267849525</v>
      </c>
      <c r="J33">
        <f t="shared" si="4"/>
        <v>28.798457452377569</v>
      </c>
      <c r="K33">
        <f t="shared" si="5"/>
        <v>74.051476394695541</v>
      </c>
      <c r="L33">
        <v>32</v>
      </c>
      <c r="M33">
        <f t="shared" si="21"/>
        <v>6.4796529267849525</v>
      </c>
      <c r="N33">
        <f t="shared" si="6"/>
        <v>-45.057038341893382</v>
      </c>
      <c r="O33">
        <f t="shared" si="7"/>
        <v>-321.52307281135711</v>
      </c>
      <c r="P33">
        <f t="shared" si="8"/>
        <v>-864.10552879657143</v>
      </c>
      <c r="Q33">
        <f t="shared" si="9"/>
        <v>-97.211871989614295</v>
      </c>
      <c r="R33">
        <f t="shared" si="10"/>
        <v>-432.05276439828572</v>
      </c>
      <c r="S33">
        <f t="shared" si="11"/>
        <v>-2170.2807414766603</v>
      </c>
      <c r="T33">
        <f t="shared" si="12"/>
        <v>-97.211871989614295</v>
      </c>
      <c r="U33">
        <f t="shared" si="22"/>
        <v>0.68066370224311767</v>
      </c>
      <c r="V33">
        <f t="shared" si="13"/>
        <v>3.3935149686016715</v>
      </c>
      <c r="W33">
        <f t="shared" si="14"/>
        <v>14.064494814461243</v>
      </c>
      <c r="X33">
        <f t="shared" si="15"/>
        <v>49.816315553462829</v>
      </c>
      <c r="Y33">
        <f t="shared" si="16"/>
        <v>5.6043354997645682</v>
      </c>
      <c r="Z33">
        <f t="shared" si="17"/>
        <v>24.908157776731414</v>
      </c>
      <c r="AA33">
        <f t="shared" si="18"/>
        <v>94.935339997613383</v>
      </c>
      <c r="AB33">
        <f t="shared" si="19"/>
        <v>1E-4</v>
      </c>
      <c r="AC33">
        <f t="shared" si="23"/>
        <v>22.16979887297579</v>
      </c>
      <c r="AD33">
        <f t="shared" si="24"/>
        <v>111.51652492938945</v>
      </c>
      <c r="AE33">
        <f t="shared" si="25"/>
        <v>357.03791419339717</v>
      </c>
      <c r="AF33">
        <f t="shared" si="26"/>
        <v>40.166765346757181</v>
      </c>
      <c r="AG33">
        <f t="shared" si="27"/>
        <v>178.51895709669859</v>
      </c>
      <c r="AH33">
        <f t="shared" si="28"/>
        <v>752.73654327337886</v>
      </c>
      <c r="AI33">
        <f t="shared" si="29"/>
        <v>40.166765346757181</v>
      </c>
    </row>
    <row r="34" spans="1:35" ht="15.75" thickBot="1" x14ac:dyDescent="0.3">
      <c r="A34" s="4" t="s">
        <v>1</v>
      </c>
      <c r="B34" s="5">
        <v>0.6</v>
      </c>
      <c r="C34" s="6" t="s">
        <v>10</v>
      </c>
      <c r="E34">
        <f t="shared" si="20"/>
        <v>2.446328617900857</v>
      </c>
      <c r="F34">
        <f t="shared" si="0"/>
        <v>5.2781209535429801</v>
      </c>
      <c r="G34">
        <f t="shared" si="1"/>
        <v>10.228995966871354</v>
      </c>
      <c r="H34">
        <f t="shared" si="2"/>
        <v>54.854260633701521</v>
      </c>
      <c r="I34">
        <f t="shared" si="3"/>
        <v>6.1711043212914216</v>
      </c>
      <c r="J34">
        <f t="shared" si="4"/>
        <v>27.427130316850761</v>
      </c>
      <c r="K34">
        <f t="shared" si="5"/>
        <v>69.045722776381652</v>
      </c>
      <c r="L34">
        <v>33</v>
      </c>
      <c r="M34">
        <f t="shared" si="21"/>
        <v>6.1711043212914216</v>
      </c>
      <c r="N34">
        <f t="shared" si="6"/>
        <v>-51.569627360373019</v>
      </c>
      <c r="O34">
        <f t="shared" si="7"/>
        <v>-358.1523762668495</v>
      </c>
      <c r="P34">
        <f t="shared" si="8"/>
        <v>-975.30776821566906</v>
      </c>
      <c r="Q34">
        <f t="shared" si="9"/>
        <v>-109.72212392426276</v>
      </c>
      <c r="R34">
        <f t="shared" si="10"/>
        <v>-487.65388410783453</v>
      </c>
      <c r="S34">
        <f t="shared" si="11"/>
        <v>-2417.5285398012338</v>
      </c>
      <c r="T34">
        <f t="shared" si="12"/>
        <v>-109.72212392426276</v>
      </c>
      <c r="U34">
        <f t="shared" si="22"/>
        <v>0.6874703392655489</v>
      </c>
      <c r="V34">
        <f t="shared" si="13"/>
        <v>3.2871401864720267</v>
      </c>
      <c r="W34">
        <f t="shared" si="14"/>
        <v>13.476152557788451</v>
      </c>
      <c r="X34">
        <f t="shared" si="15"/>
        <v>48.007594349374045</v>
      </c>
      <c r="Y34">
        <f t="shared" si="16"/>
        <v>5.4008543643045801</v>
      </c>
      <c r="Z34">
        <f t="shared" si="17"/>
        <v>24.003797174687023</v>
      </c>
      <c r="AA34">
        <f t="shared" si="18"/>
        <v>90.964029765072041</v>
      </c>
      <c r="AB34">
        <f t="shared" si="19"/>
        <v>1E-4</v>
      </c>
      <c r="AC34">
        <f t="shared" si="23"/>
        <v>20.546779011312363</v>
      </c>
      <c r="AD34">
        <f t="shared" si="24"/>
        <v>102.29500679655497</v>
      </c>
      <c r="AE34">
        <f t="shared" si="25"/>
        <v>329.25446776383075</v>
      </c>
      <c r="AF34">
        <f t="shared" si="26"/>
        <v>37.04112762343096</v>
      </c>
      <c r="AG34">
        <f t="shared" si="27"/>
        <v>164.62723388191537</v>
      </c>
      <c r="AH34">
        <f t="shared" si="28"/>
        <v>690.49129587674611</v>
      </c>
      <c r="AI34">
        <f t="shared" si="29"/>
        <v>37.04112762343096</v>
      </c>
    </row>
    <row r="35" spans="1:35" x14ac:dyDescent="0.25">
      <c r="A35" s="1" t="s">
        <v>11</v>
      </c>
      <c r="B35" s="2" t="s">
        <v>5</v>
      </c>
      <c r="C35" s="3" t="s">
        <v>12</v>
      </c>
      <c r="E35">
        <f t="shared" si="20"/>
        <v>2.5197184764378826</v>
      </c>
      <c r="F35">
        <f t="shared" si="0"/>
        <v>5.1166604027734106</v>
      </c>
      <c r="G35">
        <f t="shared" si="1"/>
        <v>9.5445110496671486</v>
      </c>
      <c r="H35">
        <f t="shared" si="2"/>
        <v>52.289631059361547</v>
      </c>
      <c r="I35">
        <f t="shared" si="3"/>
        <v>5.8825834941781734</v>
      </c>
      <c r="J35">
        <f t="shared" si="4"/>
        <v>26.144815529680773</v>
      </c>
      <c r="K35">
        <f t="shared" si="5"/>
        <v>64.425449585253261</v>
      </c>
      <c r="L35">
        <v>34</v>
      </c>
      <c r="M35">
        <f t="shared" si="21"/>
        <v>5.8825834941781734</v>
      </c>
      <c r="N35">
        <f t="shared" si="6"/>
        <v>-60.289014490981941</v>
      </c>
      <c r="O35">
        <f t="shared" si="7"/>
        <v>-407.3905474396073</v>
      </c>
      <c r="P35">
        <f t="shared" si="8"/>
        <v>-1124.3405659142725</v>
      </c>
      <c r="Q35">
        <f t="shared" si="9"/>
        <v>-126.48831366535563</v>
      </c>
      <c r="R35">
        <f t="shared" si="10"/>
        <v>-562.17028295713624</v>
      </c>
      <c r="S35">
        <f t="shared" si="11"/>
        <v>-2749.8861952173497</v>
      </c>
      <c r="T35">
        <f t="shared" si="12"/>
        <v>-126.48831366535563</v>
      </c>
      <c r="U35">
        <f t="shared" si="22"/>
        <v>0.6943450426582044</v>
      </c>
      <c r="V35">
        <f t="shared" si="13"/>
        <v>3.1872123819416376</v>
      </c>
      <c r="W35">
        <f t="shared" si="14"/>
        <v>12.924625747805244</v>
      </c>
      <c r="X35">
        <f t="shared" si="15"/>
        <v>46.309388070311343</v>
      </c>
      <c r="Y35">
        <f t="shared" si="16"/>
        <v>5.2098061579100259</v>
      </c>
      <c r="Z35">
        <f t="shared" si="17"/>
        <v>23.154694035155671</v>
      </c>
      <c r="AA35">
        <f t="shared" si="18"/>
        <v>87.241223797685393</v>
      </c>
      <c r="AB35">
        <f t="shared" si="19"/>
        <v>1E-4</v>
      </c>
      <c r="AC35">
        <f t="shared" si="23"/>
        <v>19.144926836158071</v>
      </c>
      <c r="AD35">
        <f t="shared" si="24"/>
        <v>94.337275439350194</v>
      </c>
      <c r="AE35">
        <f t="shared" si="25"/>
        <v>305.26246200701127</v>
      </c>
      <c r="AF35">
        <f t="shared" si="26"/>
        <v>34.34202697578877</v>
      </c>
      <c r="AG35">
        <f t="shared" si="27"/>
        <v>152.63123100350563</v>
      </c>
      <c r="AH35">
        <f t="shared" si="28"/>
        <v>636.7766092156138</v>
      </c>
      <c r="AI35">
        <f t="shared" si="29"/>
        <v>34.34202697578877</v>
      </c>
    </row>
    <row r="36" spans="1:35" x14ac:dyDescent="0.25">
      <c r="A36" s="4" t="s">
        <v>14</v>
      </c>
      <c r="B36" s="5">
        <v>0.01</v>
      </c>
      <c r="C36" s="6" t="s">
        <v>28</v>
      </c>
      <c r="E36">
        <f t="shared" si="20"/>
        <v>2.5953100307310191</v>
      </c>
      <c r="F36">
        <f t="shared" si="0"/>
        <v>4.9646978235602859</v>
      </c>
      <c r="G36">
        <f t="shared" si="1"/>
        <v>8.9118471499540952</v>
      </c>
      <c r="H36">
        <f t="shared" si="2"/>
        <v>49.887254357485105</v>
      </c>
      <c r="I36">
        <f t="shared" si="3"/>
        <v>5.6123161152170749</v>
      </c>
      <c r="J36">
        <f t="shared" si="4"/>
        <v>24.943627178742553</v>
      </c>
      <c r="K36">
        <f t="shared" si="5"/>
        <v>60.154968262190138</v>
      </c>
      <c r="L36">
        <v>35</v>
      </c>
      <c r="M36">
        <f t="shared" si="21"/>
        <v>5.6123161152170749</v>
      </c>
      <c r="N36">
        <f t="shared" si="6"/>
        <v>-72.565664949577979</v>
      </c>
      <c r="O36">
        <f t="shared" si="7"/>
        <v>-476.95473003055918</v>
      </c>
      <c r="P36">
        <f t="shared" si="8"/>
        <v>-1334.3547925722962</v>
      </c>
      <c r="Q36">
        <f t="shared" si="9"/>
        <v>-150.11491416438332</v>
      </c>
      <c r="R36">
        <f t="shared" si="10"/>
        <v>-667.17739628614811</v>
      </c>
      <c r="S36">
        <f t="shared" si="11"/>
        <v>-3219.4444277062748</v>
      </c>
      <c r="T36">
        <f t="shared" si="12"/>
        <v>-150.11491416438332</v>
      </c>
      <c r="U36">
        <f t="shared" si="22"/>
        <v>0.70128849308478647</v>
      </c>
      <c r="V36">
        <f t="shared" si="13"/>
        <v>3.0931627040460641</v>
      </c>
      <c r="W36">
        <f t="shared" si="14"/>
        <v>12.406663095142475</v>
      </c>
      <c r="X36">
        <f t="shared" si="15"/>
        <v>44.711944841323003</v>
      </c>
      <c r="Y36">
        <f t="shared" si="16"/>
        <v>5.0300937946488373</v>
      </c>
      <c r="Z36">
        <f t="shared" si="17"/>
        <v>22.355972420661502</v>
      </c>
      <c r="AA36">
        <f t="shared" si="18"/>
        <v>83.744975892211713</v>
      </c>
      <c r="AB36">
        <f t="shared" si="19"/>
        <v>1E-4</v>
      </c>
      <c r="AC36">
        <f t="shared" si="23"/>
        <v>17.921918557583371</v>
      </c>
      <c r="AD36">
        <f t="shared" si="24"/>
        <v>87.401478567507894</v>
      </c>
      <c r="AE36">
        <f t="shared" si="25"/>
        <v>284.3363458462365</v>
      </c>
      <c r="AF36">
        <f t="shared" si="26"/>
        <v>31.987838907701605</v>
      </c>
      <c r="AG36">
        <f t="shared" si="27"/>
        <v>142.16817292311825</v>
      </c>
      <c r="AH36">
        <f t="shared" si="28"/>
        <v>589.95998033067826</v>
      </c>
      <c r="AI36">
        <f t="shared" si="29"/>
        <v>31.987838907701605</v>
      </c>
    </row>
    <row r="37" spans="1:35" ht="15.75" thickBot="1" x14ac:dyDescent="0.3">
      <c r="A37" s="7" t="s">
        <v>13</v>
      </c>
      <c r="B37" s="8">
        <v>0.8</v>
      </c>
      <c r="C37" s="9" t="s">
        <v>15</v>
      </c>
      <c r="E37">
        <f t="shared" si="20"/>
        <v>2.6731693316529497</v>
      </c>
      <c r="F37">
        <f t="shared" si="0"/>
        <v>4.8214191040552627</v>
      </c>
      <c r="G37">
        <f t="shared" si="1"/>
        <v>8.3263201527449624</v>
      </c>
      <c r="H37">
        <f t="shared" si="2"/>
        <v>47.633159720446493</v>
      </c>
      <c r="I37">
        <f t="shared" si="3"/>
        <v>5.3587304685502311</v>
      </c>
      <c r="J37">
        <f t="shared" si="4"/>
        <v>23.816579860223246</v>
      </c>
      <c r="K37">
        <f t="shared" si="5"/>
        <v>56.202661031028484</v>
      </c>
      <c r="L37">
        <v>36</v>
      </c>
      <c r="M37">
        <f t="shared" si="21"/>
        <v>5.3587304685502311</v>
      </c>
      <c r="N37">
        <f t="shared" si="6"/>
        <v>-91.134317825569852</v>
      </c>
      <c r="O37">
        <f t="shared" si="7"/>
        <v>-582.4722061464247</v>
      </c>
      <c r="P37">
        <f t="shared" si="8"/>
        <v>-1652.2317282250656</v>
      </c>
      <c r="Q37">
        <f t="shared" si="9"/>
        <v>-185.87606942531988</v>
      </c>
      <c r="R37">
        <f t="shared" si="10"/>
        <v>-826.11586411253279</v>
      </c>
      <c r="S37">
        <f t="shared" si="11"/>
        <v>-3931.6873914883663</v>
      </c>
      <c r="T37">
        <f t="shared" si="12"/>
        <v>-185.87606942531988</v>
      </c>
      <c r="U37">
        <f t="shared" si="22"/>
        <v>0.70830137801563431</v>
      </c>
      <c r="V37">
        <f t="shared" si="13"/>
        <v>3.004487313359359</v>
      </c>
      <c r="W37">
        <f t="shared" si="14"/>
        <v>11.91938480948707</v>
      </c>
      <c r="X37">
        <f t="shared" si="15"/>
        <v>43.206627271205541</v>
      </c>
      <c r="Y37">
        <f t="shared" si="16"/>
        <v>4.8607455680106231</v>
      </c>
      <c r="Z37">
        <f t="shared" si="17"/>
        <v>21.60331363560277</v>
      </c>
      <c r="AA37">
        <f t="shared" si="18"/>
        <v>80.455847464037717</v>
      </c>
      <c r="AB37">
        <f t="shared" si="19"/>
        <v>1E-4</v>
      </c>
      <c r="AC37">
        <f t="shared" si="23"/>
        <v>16.845581901970114</v>
      </c>
      <c r="AD37">
        <f t="shared" si="24"/>
        <v>81.303772561132817</v>
      </c>
      <c r="AE37">
        <f t="shared" si="25"/>
        <v>265.9245941989995</v>
      </c>
      <c r="AF37">
        <f t="shared" si="26"/>
        <v>29.916516847387438</v>
      </c>
      <c r="AG37">
        <f t="shared" si="27"/>
        <v>132.96229709949975</v>
      </c>
      <c r="AH37">
        <f t="shared" si="28"/>
        <v>548.80046478764655</v>
      </c>
      <c r="AI37">
        <f t="shared" si="29"/>
        <v>29.916516847387438</v>
      </c>
    </row>
    <row r="38" spans="1:35" x14ac:dyDescent="0.25">
      <c r="A38" s="4"/>
      <c r="B38" s="5"/>
      <c r="E38">
        <f t="shared" si="20"/>
        <v>2.7533644116025382</v>
      </c>
      <c r="F38">
        <f t="shared" si="0"/>
        <v>4.6861005892819296</v>
      </c>
      <c r="G38">
        <f t="shared" si="1"/>
        <v>7.783765621765717</v>
      </c>
      <c r="H38">
        <f t="shared" si="2"/>
        <v>45.51492725037231</v>
      </c>
      <c r="I38">
        <f t="shared" si="3"/>
        <v>5.1204293156668843</v>
      </c>
      <c r="J38">
        <f t="shared" si="4"/>
        <v>22.757463625186155</v>
      </c>
      <c r="K38">
        <f t="shared" si="5"/>
        <v>52.540417946918588</v>
      </c>
      <c r="L38">
        <v>37</v>
      </c>
      <c r="M38">
        <f t="shared" si="21"/>
        <v>5.1204293156668843</v>
      </c>
      <c r="N38">
        <f t="shared" si="6"/>
        <v>-122.49876849210466</v>
      </c>
      <c r="O38">
        <f t="shared" si="7"/>
        <v>-761.10772403247984</v>
      </c>
      <c r="P38">
        <f t="shared" si="8"/>
        <v>-2189.4650464221377</v>
      </c>
      <c r="Q38">
        <f t="shared" si="9"/>
        <v>-246.31481772249055</v>
      </c>
      <c r="R38">
        <f t="shared" si="10"/>
        <v>-1094.7325232110688</v>
      </c>
      <c r="S38">
        <f t="shared" si="11"/>
        <v>-5137.477137219239</v>
      </c>
      <c r="T38">
        <f t="shared" si="12"/>
        <v>-246.31481772249055</v>
      </c>
      <c r="U38">
        <f t="shared" si="22"/>
        <v>0.71538439179579061</v>
      </c>
      <c r="V38">
        <f t="shared" si="13"/>
        <v>2.9207383526141268</v>
      </c>
      <c r="W38">
        <f t="shared" si="14"/>
        <v>11.460231003238833</v>
      </c>
      <c r="X38">
        <f t="shared" si="15"/>
        <v>41.785757663132081</v>
      </c>
      <c r="Y38">
        <f t="shared" si="16"/>
        <v>4.700897737102359</v>
      </c>
      <c r="Z38">
        <f t="shared" si="17"/>
        <v>20.892878831566041</v>
      </c>
      <c r="AA38">
        <f t="shared" si="18"/>
        <v>77.356559271862125</v>
      </c>
      <c r="AB38">
        <f t="shared" si="19"/>
        <v>1E-4</v>
      </c>
      <c r="AC38">
        <f t="shared" si="23"/>
        <v>15.8910246940071</v>
      </c>
      <c r="AD38">
        <f t="shared" si="24"/>
        <v>75.901914368171319</v>
      </c>
      <c r="AE38">
        <f t="shared" si="25"/>
        <v>249.60048366828306</v>
      </c>
      <c r="AF38">
        <f t="shared" si="26"/>
        <v>28.080054412681843</v>
      </c>
      <c r="AG38">
        <f t="shared" si="27"/>
        <v>124.80024183414153</v>
      </c>
      <c r="AH38">
        <f t="shared" si="28"/>
        <v>512.33792198515641</v>
      </c>
      <c r="AI38">
        <f t="shared" si="29"/>
        <v>28.080054412681843</v>
      </c>
    </row>
    <row r="39" spans="1:35" x14ac:dyDescent="0.25">
      <c r="E39">
        <f t="shared" si="20"/>
        <v>2.8359653439506145</v>
      </c>
      <c r="F39">
        <f t="shared" si="0"/>
        <v>4.5580968572344078</v>
      </c>
      <c r="G39">
        <f t="shared" si="1"/>
        <v>7.2804689132879892</v>
      </c>
      <c r="H39">
        <f t="shared" si="2"/>
        <v>43.521478410660194</v>
      </c>
      <c r="I39">
        <f t="shared" si="3"/>
        <v>4.8961663211992716</v>
      </c>
      <c r="J39">
        <f t="shared" si="4"/>
        <v>21.760739205330097</v>
      </c>
      <c r="K39">
        <f t="shared" si="5"/>
        <v>49.143165164693926</v>
      </c>
      <c r="L39">
        <v>38</v>
      </c>
      <c r="M39">
        <f t="shared" si="21"/>
        <v>4.8961663211992716</v>
      </c>
      <c r="N39">
        <f t="shared" si="6"/>
        <v>-186.83841201921749</v>
      </c>
      <c r="O39">
        <f t="shared" si="7"/>
        <v>-1128.1723172448023</v>
      </c>
      <c r="P39">
        <f t="shared" si="8"/>
        <v>-3291.987272722562</v>
      </c>
      <c r="Q39">
        <f t="shared" si="9"/>
        <v>-370.34856818128816</v>
      </c>
      <c r="R39">
        <f t="shared" si="10"/>
        <v>-1645.993636361281</v>
      </c>
      <c r="S39">
        <f t="shared" si="11"/>
        <v>-7615.1631414024159</v>
      </c>
      <c r="T39">
        <f t="shared" si="12"/>
        <v>-370.34856818128816</v>
      </c>
      <c r="U39">
        <f t="shared" si="22"/>
        <v>0.72253823571374853</v>
      </c>
      <c r="V39">
        <f t="shared" si="13"/>
        <v>2.8415163815448579</v>
      </c>
      <c r="W39">
        <f t="shared" si="14"/>
        <v>11.026918462158822</v>
      </c>
      <c r="X39">
        <f t="shared" si="15"/>
        <v>40.442488326261021</v>
      </c>
      <c r="Y39">
        <f t="shared" si="16"/>
        <v>4.5497799367043656</v>
      </c>
      <c r="Z39">
        <f t="shared" si="17"/>
        <v>20.22124416313051</v>
      </c>
      <c r="AA39">
        <f t="shared" si="18"/>
        <v>74.431699619572044</v>
      </c>
      <c r="AB39">
        <f t="shared" si="19"/>
        <v>1E-4</v>
      </c>
      <c r="AC39">
        <f t="shared" si="23"/>
        <v>15.038685891985455</v>
      </c>
      <c r="AD39">
        <f t="shared" si="24"/>
        <v>71.084124563663224</v>
      </c>
      <c r="AE39">
        <f t="shared" si="25"/>
        <v>235.02868171920878</v>
      </c>
      <c r="AF39">
        <f t="shared" si="26"/>
        <v>26.440726693410991</v>
      </c>
      <c r="AG39">
        <f t="shared" si="27"/>
        <v>117.51434085960439</v>
      </c>
      <c r="AH39">
        <f t="shared" si="28"/>
        <v>479.81784080472676</v>
      </c>
      <c r="AI39">
        <f t="shared" si="29"/>
        <v>26.440726693410991</v>
      </c>
    </row>
    <row r="40" spans="1:35" x14ac:dyDescent="0.25">
      <c r="E40">
        <f t="shared" si="20"/>
        <v>2.9210443042691332</v>
      </c>
      <c r="F40">
        <f t="shared" si="0"/>
        <v>4.436830425065212</v>
      </c>
      <c r="G40">
        <f t="shared" si="1"/>
        <v>6.8131063139239068</v>
      </c>
      <c r="H40">
        <f t="shared" si="2"/>
        <v>41.642899564571387</v>
      </c>
      <c r="I40">
        <f t="shared" si="3"/>
        <v>4.6848262010142809</v>
      </c>
      <c r="J40">
        <f t="shared" si="4"/>
        <v>20.821449782285693</v>
      </c>
      <c r="K40">
        <f t="shared" si="5"/>
        <v>45.98846761898637</v>
      </c>
      <c r="L40">
        <v>39</v>
      </c>
      <c r="M40">
        <f t="shared" si="21"/>
        <v>4.6848262010142809</v>
      </c>
      <c r="N40">
        <f t="shared" si="6"/>
        <v>-393.78959061584237</v>
      </c>
      <c r="O40">
        <f t="shared" si="7"/>
        <v>-2310.1595754112013</v>
      </c>
      <c r="P40">
        <f t="shared" si="8"/>
        <v>-6839.2785979706405</v>
      </c>
      <c r="Q40">
        <f t="shared" si="9"/>
        <v>-769.41884227169703</v>
      </c>
      <c r="R40">
        <f t="shared" si="10"/>
        <v>-3419.6392989853202</v>
      </c>
      <c r="S40">
        <f t="shared" si="11"/>
        <v>-15593.577134025607</v>
      </c>
      <c r="T40">
        <f t="shared" si="12"/>
        <v>-769.41884227169703</v>
      </c>
      <c r="U40">
        <f t="shared" si="22"/>
        <v>0.72976361807088608</v>
      </c>
      <c r="V40">
        <f t="shared" si="13"/>
        <v>2.7664640062297083</v>
      </c>
      <c r="W40">
        <f t="shared" si="14"/>
        <v>10.617404241721054</v>
      </c>
      <c r="X40">
        <f t="shared" si="15"/>
        <v>39.170692364460173</v>
      </c>
      <c r="Y40">
        <f t="shared" si="16"/>
        <v>4.4067028910017694</v>
      </c>
      <c r="Z40">
        <f t="shared" si="17"/>
        <v>19.585346182230086</v>
      </c>
      <c r="AA40">
        <f t="shared" si="18"/>
        <v>71.667478631617115</v>
      </c>
      <c r="AB40">
        <f t="shared" si="19"/>
        <v>1E-4</v>
      </c>
      <c r="AC40">
        <f t="shared" si="23"/>
        <v>14.272980915247141</v>
      </c>
      <c r="AD40">
        <f t="shared" si="24"/>
        <v>66.761346364066696</v>
      </c>
      <c r="AE40">
        <f t="shared" si="25"/>
        <v>221.94202372091232</v>
      </c>
      <c r="AF40">
        <f t="shared" si="26"/>
        <v>24.968477668602638</v>
      </c>
      <c r="AG40">
        <f t="shared" si="27"/>
        <v>110.97101186045616</v>
      </c>
      <c r="AH40">
        <f t="shared" si="28"/>
        <v>450.63908795745022</v>
      </c>
      <c r="AI40">
        <f t="shared" si="29"/>
        <v>24.968477668602638</v>
      </c>
    </row>
    <row r="41" spans="1:35" x14ac:dyDescent="0.25">
      <c r="E41">
        <f t="shared" si="20"/>
        <v>3.0086756333972073</v>
      </c>
      <c r="F41">
        <f t="shared" si="0"/>
        <v>4.3217830389369407</v>
      </c>
      <c r="G41">
        <f t="shared" si="1"/>
        <v>6.3786952231371039</v>
      </c>
      <c r="H41">
        <f t="shared" si="2"/>
        <v>39.870292662157922</v>
      </c>
      <c r="I41">
        <f t="shared" si="3"/>
        <v>4.4854079244927663</v>
      </c>
      <c r="J41">
        <f t="shared" si="4"/>
        <v>19.935146331078961</v>
      </c>
      <c r="K41">
        <f t="shared" si="5"/>
        <v>43.056192756175456</v>
      </c>
      <c r="L41">
        <v>40</v>
      </c>
      <c r="M41">
        <f t="shared" si="21"/>
        <v>4.4854079244927663</v>
      </c>
      <c r="N41">
        <f t="shared" si="6"/>
        <v>3636.0012897310357</v>
      </c>
      <c r="O41">
        <f t="shared" si="7"/>
        <v>20717.80797533958</v>
      </c>
      <c r="P41">
        <f t="shared" si="8"/>
        <v>62243.29397941257</v>
      </c>
      <c r="Q41">
        <f t="shared" si="9"/>
        <v>7002.3705726839144</v>
      </c>
      <c r="R41">
        <f t="shared" si="10"/>
        <v>31121.646989706285</v>
      </c>
      <c r="S41">
        <f t="shared" si="11"/>
        <v>139845.20383354215</v>
      </c>
      <c r="T41">
        <f t="shared" si="12"/>
        <v>7002.3705726839144</v>
      </c>
      <c r="U41">
        <f t="shared" si="22"/>
        <v>0.73706125425159497</v>
      </c>
      <c r="V41">
        <f t="shared" si="13"/>
        <v>2.6952604885337803</v>
      </c>
      <c r="W41">
        <f t="shared" si="14"/>
        <v>10.229854864040854</v>
      </c>
      <c r="X41">
        <f t="shared" si="15"/>
        <v>37.964871266766473</v>
      </c>
      <c r="Y41">
        <f t="shared" si="16"/>
        <v>4.2710480175112284</v>
      </c>
      <c r="Z41">
        <f t="shared" si="17"/>
        <v>18.982435633383236</v>
      </c>
      <c r="AA41">
        <f t="shared" si="18"/>
        <v>69.051520332275757</v>
      </c>
      <c r="AB41">
        <f t="shared" si="19"/>
        <v>1E-4</v>
      </c>
      <c r="AC41">
        <f t="shared" si="23"/>
        <v>13.581340070251549</v>
      </c>
      <c r="AD41">
        <f t="shared" si="24"/>
        <v>62.861750919450685</v>
      </c>
      <c r="AE41">
        <f t="shared" si="25"/>
        <v>210.12502882203023</v>
      </c>
      <c r="AF41">
        <f t="shared" si="26"/>
        <v>23.639065742478401</v>
      </c>
      <c r="AG41">
        <f t="shared" si="27"/>
        <v>105.06251441101512</v>
      </c>
      <c r="AH41">
        <f t="shared" si="28"/>
        <v>424.31681870629222</v>
      </c>
      <c r="AI41">
        <f t="shared" si="29"/>
        <v>23.639065742478401</v>
      </c>
    </row>
    <row r="42" spans="1:35" x14ac:dyDescent="0.25">
      <c r="A42" s="4"/>
      <c r="B42" s="5"/>
      <c r="E42">
        <f t="shared" si="20"/>
        <v>3.0989359023991234</v>
      </c>
      <c r="F42">
        <f t="shared" si="0"/>
        <v>4.2124882703958084</v>
      </c>
      <c r="G42">
        <f t="shared" si="1"/>
        <v>5.9745517971451658</v>
      </c>
      <c r="H42">
        <f t="shared" si="2"/>
        <v>38.195648324533053</v>
      </c>
      <c r="I42">
        <f t="shared" si="3"/>
        <v>4.2970104365099679</v>
      </c>
      <c r="J42">
        <f t="shared" si="4"/>
        <v>19.097824162266527</v>
      </c>
      <c r="K42">
        <f t="shared" si="5"/>
        <v>40.328224630729871</v>
      </c>
      <c r="L42">
        <v>41</v>
      </c>
      <c r="M42">
        <f t="shared" si="21"/>
        <v>4.2970104365099679</v>
      </c>
      <c r="N42">
        <f t="shared" si="6"/>
        <v>323.50457979041107</v>
      </c>
      <c r="O42">
        <f t="shared" si="7"/>
        <v>1789.8464185006997</v>
      </c>
      <c r="P42">
        <f t="shared" si="8"/>
        <v>5458.0792907872083</v>
      </c>
      <c r="Q42">
        <f t="shared" si="9"/>
        <v>614.03392021356092</v>
      </c>
      <c r="R42">
        <f t="shared" si="10"/>
        <v>2729.0396453936041</v>
      </c>
      <c r="S42">
        <f t="shared" si="11"/>
        <v>12081.463324879722</v>
      </c>
      <c r="T42">
        <f t="shared" si="12"/>
        <v>614.03392021356092</v>
      </c>
      <c r="U42">
        <f t="shared" si="22"/>
        <v>0.74443186679411089</v>
      </c>
      <c r="V42">
        <f t="shared" si="13"/>
        <v>2.6276171641356698</v>
      </c>
      <c r="W42">
        <f t="shared" si="14"/>
        <v>9.8626201352786182</v>
      </c>
      <c r="X42">
        <f t="shared" si="15"/>
        <v>36.82007635927787</v>
      </c>
      <c r="Y42">
        <f t="shared" si="16"/>
        <v>4.1422585904187601</v>
      </c>
      <c r="Z42">
        <f t="shared" si="17"/>
        <v>18.410038179638935</v>
      </c>
      <c r="AA42">
        <f t="shared" si="18"/>
        <v>66.572685913130684</v>
      </c>
      <c r="AB42">
        <f t="shared" si="19"/>
        <v>1E-4</v>
      </c>
      <c r="AC42">
        <f t="shared" si="23"/>
        <v>12.953513133750105</v>
      </c>
      <c r="AD42">
        <f t="shared" si="24"/>
        <v>59.326763503431167</v>
      </c>
      <c r="AE42">
        <f t="shared" si="25"/>
        <v>199.40197851942671</v>
      </c>
      <c r="AF42">
        <f t="shared" si="26"/>
        <v>22.432722583435506</v>
      </c>
      <c r="AG42">
        <f t="shared" si="27"/>
        <v>99.700989259713353</v>
      </c>
      <c r="AH42">
        <f t="shared" si="28"/>
        <v>400.45565364816036</v>
      </c>
      <c r="AI42">
        <f t="shared" si="29"/>
        <v>22.432722583435506</v>
      </c>
    </row>
    <row r="43" spans="1:35" x14ac:dyDescent="0.25">
      <c r="E43">
        <f t="shared" si="20"/>
        <v>3.1919039794710971</v>
      </c>
      <c r="F43">
        <f t="shared" si="0"/>
        <v>4.1085251962030975</v>
      </c>
      <c r="G43">
        <f t="shared" si="1"/>
        <v>5.5982547798998192</v>
      </c>
      <c r="H43">
        <f t="shared" si="2"/>
        <v>36.611737501516032</v>
      </c>
      <c r="I43">
        <f t="shared" si="3"/>
        <v>4.1188204689205534</v>
      </c>
      <c r="J43">
        <f t="shared" si="4"/>
        <v>18.305868750758016</v>
      </c>
      <c r="K43">
        <f t="shared" si="5"/>
        <v>37.788219764323784</v>
      </c>
      <c r="L43">
        <v>42</v>
      </c>
      <c r="M43">
        <f t="shared" si="21"/>
        <v>4.1188204689205534</v>
      </c>
      <c r="N43">
        <f t="shared" si="6"/>
        <v>169.23536037829538</v>
      </c>
      <c r="O43">
        <f t="shared" si="7"/>
        <v>908.89886659205843</v>
      </c>
      <c r="P43">
        <f t="shared" si="8"/>
        <v>2813.9072544940677</v>
      </c>
      <c r="Q43">
        <f t="shared" si="9"/>
        <v>316.56456613058265</v>
      </c>
      <c r="R43">
        <f t="shared" si="10"/>
        <v>1406.9536272470339</v>
      </c>
      <c r="S43">
        <f t="shared" si="11"/>
        <v>6135.0673494963949</v>
      </c>
      <c r="T43">
        <f t="shared" si="12"/>
        <v>316.56456613058265</v>
      </c>
      <c r="U43">
        <f t="shared" si="22"/>
        <v>0.75187618546205204</v>
      </c>
      <c r="V43">
        <f t="shared" si="13"/>
        <v>2.5632735310866597</v>
      </c>
      <c r="W43">
        <f t="shared" si="14"/>
        <v>9.5142107946569396</v>
      </c>
      <c r="X43">
        <f t="shared" si="15"/>
        <v>35.731841751891032</v>
      </c>
      <c r="Y43">
        <f t="shared" si="16"/>
        <v>4.0198321970877409</v>
      </c>
      <c r="Z43">
        <f t="shared" si="17"/>
        <v>17.865920875945516</v>
      </c>
      <c r="AA43">
        <f t="shared" si="18"/>
        <v>64.220922863934348</v>
      </c>
      <c r="AB43">
        <f t="shared" si="19"/>
        <v>1E-4</v>
      </c>
      <c r="AC43">
        <f t="shared" si="23"/>
        <v>12.381057934344648</v>
      </c>
      <c r="AD43">
        <f t="shared" si="24"/>
        <v>56.108141122443016</v>
      </c>
      <c r="AE43">
        <f t="shared" si="25"/>
        <v>189.6281494849369</v>
      </c>
      <c r="AF43">
        <f t="shared" si="26"/>
        <v>21.333166817055403</v>
      </c>
      <c r="AG43">
        <f t="shared" si="27"/>
        <v>94.814074742468449</v>
      </c>
      <c r="AH43">
        <f t="shared" si="28"/>
        <v>378.7299525764904</v>
      </c>
      <c r="AI43">
        <f t="shared" si="29"/>
        <v>21.333166817055403</v>
      </c>
    </row>
    <row r="44" spans="1:35" x14ac:dyDescent="0.25">
      <c r="E44">
        <f t="shared" si="20"/>
        <v>3.2876610988552302</v>
      </c>
      <c r="F44">
        <f t="shared" si="0"/>
        <v>4.009512981047501</v>
      </c>
      <c r="G44">
        <f t="shared" si="1"/>
        <v>5.2476144896242989</v>
      </c>
      <c r="H44">
        <f t="shared" si="2"/>
        <v>35.112018607057784</v>
      </c>
      <c r="I44">
        <f t="shared" si="3"/>
        <v>3.9501020932940007</v>
      </c>
      <c r="J44">
        <f t="shared" si="4"/>
        <v>17.556009303528892</v>
      </c>
      <c r="K44">
        <f t="shared" si="5"/>
        <v>35.421397804964016</v>
      </c>
      <c r="L44">
        <v>43</v>
      </c>
      <c r="M44">
        <f t="shared" si="21"/>
        <v>3.9501020932940007</v>
      </c>
      <c r="N44">
        <f t="shared" si="6"/>
        <v>114.56878222201101</v>
      </c>
      <c r="O44">
        <f t="shared" si="7"/>
        <v>597.10883190147342</v>
      </c>
      <c r="P44">
        <f t="shared" si="8"/>
        <v>1877.2089870648906</v>
      </c>
      <c r="Q44">
        <f t="shared" si="9"/>
        <v>211.18601104480021</v>
      </c>
      <c r="R44">
        <f t="shared" si="10"/>
        <v>938.6044935324453</v>
      </c>
      <c r="S44">
        <f t="shared" si="11"/>
        <v>4030.4846153349454</v>
      </c>
      <c r="T44">
        <f t="shared" si="12"/>
        <v>211.18601104480021</v>
      </c>
      <c r="U44">
        <f t="shared" si="22"/>
        <v>0.75939494731667256</v>
      </c>
      <c r="V44">
        <f t="shared" si="13"/>
        <v>2.5019938971475804</v>
      </c>
      <c r="W44">
        <f t="shared" si="14"/>
        <v>9.1832793564885655</v>
      </c>
      <c r="X44">
        <f t="shared" si="15"/>
        <v>34.696126864077613</v>
      </c>
      <c r="Y44">
        <f t="shared" si="16"/>
        <v>3.9033142722087311</v>
      </c>
      <c r="Z44">
        <f t="shared" si="17"/>
        <v>17.348063432038806</v>
      </c>
      <c r="AA44">
        <f t="shared" si="18"/>
        <v>61.987135656297816</v>
      </c>
      <c r="AB44">
        <f t="shared" si="19"/>
        <v>1E-4</v>
      </c>
      <c r="AC44">
        <f t="shared" si="23"/>
        <v>11.856958533746514</v>
      </c>
      <c r="AD44">
        <f t="shared" si="24"/>
        <v>53.165790694715909</v>
      </c>
      <c r="AE44">
        <f t="shared" si="25"/>
        <v>180.68326810123139</v>
      </c>
      <c r="AF44">
        <f t="shared" si="26"/>
        <v>20.326867661388533</v>
      </c>
      <c r="AG44">
        <f t="shared" si="27"/>
        <v>90.341634050615696</v>
      </c>
      <c r="AH44">
        <f t="shared" si="28"/>
        <v>358.86908718933233</v>
      </c>
      <c r="AI44">
        <f t="shared" si="29"/>
        <v>20.326867661388533</v>
      </c>
    </row>
    <row r="45" spans="1:35" x14ac:dyDescent="0.25">
      <c r="E45">
        <f t="shared" si="20"/>
        <v>3.3862909318208874</v>
      </c>
      <c r="F45">
        <f t="shared" si="0"/>
        <v>3.9151062161583083</v>
      </c>
      <c r="G45">
        <f t="shared" si="1"/>
        <v>4.9206461213614654</v>
      </c>
      <c r="H45">
        <f t="shared" si="2"/>
        <v>33.690557612777916</v>
      </c>
      <c r="I45">
        <f t="shared" si="3"/>
        <v>3.790187731437515</v>
      </c>
      <c r="J45">
        <f t="shared" si="4"/>
        <v>16.845278806388958</v>
      </c>
      <c r="K45">
        <f t="shared" si="5"/>
        <v>33.214361319189884</v>
      </c>
      <c r="L45">
        <v>44</v>
      </c>
      <c r="M45">
        <f t="shared" si="21"/>
        <v>3.790187731437515</v>
      </c>
      <c r="N45">
        <f t="shared" si="6"/>
        <v>86.583842317501279</v>
      </c>
      <c r="O45">
        <f t="shared" si="7"/>
        <v>437.78466328227626</v>
      </c>
      <c r="P45">
        <f t="shared" si="8"/>
        <v>1397.9101126049309</v>
      </c>
      <c r="Q45">
        <f t="shared" si="9"/>
        <v>157.26488766805471</v>
      </c>
      <c r="R45">
        <f t="shared" si="10"/>
        <v>698.95505630246544</v>
      </c>
      <c r="S45">
        <f t="shared" si="11"/>
        <v>2955.0464771553652</v>
      </c>
      <c r="T45">
        <f t="shared" si="12"/>
        <v>157.26488766805471</v>
      </c>
      <c r="U45">
        <f t="shared" si="22"/>
        <v>0.76698889678983928</v>
      </c>
      <c r="V45">
        <f t="shared" si="13"/>
        <v>2.4435644949386606</v>
      </c>
      <c r="W45">
        <f t="shared" si="14"/>
        <v>8.8686036254222618</v>
      </c>
      <c r="X45">
        <f t="shared" si="15"/>
        <v>33.709266970320357</v>
      </c>
      <c r="Y45">
        <f t="shared" si="16"/>
        <v>3.7922925341610401</v>
      </c>
      <c r="Z45">
        <f t="shared" si="17"/>
        <v>16.854633485160178</v>
      </c>
      <c r="AA45">
        <f t="shared" si="18"/>
        <v>59.863074471600271</v>
      </c>
      <c r="AB45">
        <f t="shared" si="19"/>
        <v>1E-4</v>
      </c>
      <c r="AC45">
        <f t="shared" si="23"/>
        <v>11.375336244592665</v>
      </c>
      <c r="AD45">
        <f t="shared" si="24"/>
        <v>50.466117723876614</v>
      </c>
      <c r="AE45">
        <f t="shared" si="25"/>
        <v>172.46655648157065</v>
      </c>
      <c r="AF45">
        <f t="shared" si="26"/>
        <v>19.402487604176699</v>
      </c>
      <c r="AG45">
        <f t="shared" si="27"/>
        <v>86.233278240785324</v>
      </c>
      <c r="AH45">
        <f t="shared" si="28"/>
        <v>340.64629463616717</v>
      </c>
      <c r="AI45">
        <f t="shared" si="29"/>
        <v>19.402487604176699</v>
      </c>
    </row>
    <row r="46" spans="1:35" x14ac:dyDescent="0.25">
      <c r="A46" s="4"/>
      <c r="B46" s="5"/>
      <c r="E46">
        <f t="shared" si="20"/>
        <v>3.4878796597755142</v>
      </c>
      <c r="F46">
        <f t="shared" si="0"/>
        <v>3.8249908935621906</v>
      </c>
      <c r="G46">
        <f t="shared" si="1"/>
        <v>4.6155466786912482</v>
      </c>
      <c r="H46">
        <f t="shared" si="2"/>
        <v>32.341959038065774</v>
      </c>
      <c r="I46">
        <f t="shared" si="3"/>
        <v>3.6384703917823997</v>
      </c>
      <c r="J46">
        <f t="shared" si="4"/>
        <v>16.170979519032887</v>
      </c>
      <c r="K46">
        <f t="shared" si="5"/>
        <v>31.154940081165932</v>
      </c>
      <c r="L46">
        <v>45</v>
      </c>
      <c r="M46">
        <f t="shared" si="21"/>
        <v>3.6384703917823997</v>
      </c>
      <c r="N46">
        <f t="shared" si="6"/>
        <v>69.578358109256243</v>
      </c>
      <c r="O46">
        <f t="shared" si="7"/>
        <v>341.19939892322031</v>
      </c>
      <c r="P46">
        <f t="shared" si="8"/>
        <v>1106.8303201007964</v>
      </c>
      <c r="Q46">
        <f t="shared" si="9"/>
        <v>124.51841101133959</v>
      </c>
      <c r="R46">
        <f t="shared" si="10"/>
        <v>553.41516005039819</v>
      </c>
      <c r="S46">
        <f t="shared" si="11"/>
        <v>2303.0959427317375</v>
      </c>
      <c r="T46">
        <f t="shared" si="12"/>
        <v>124.51841101133959</v>
      </c>
      <c r="U46">
        <f t="shared" si="22"/>
        <v>0.77465878575773772</v>
      </c>
      <c r="V46">
        <f t="shared" si="13"/>
        <v>2.3877909904782983</v>
      </c>
      <c r="W46">
        <f t="shared" si="14"/>
        <v>8.569072459621669</v>
      </c>
      <c r="X46">
        <f t="shared" si="15"/>
        <v>32.767930489354285</v>
      </c>
      <c r="Y46">
        <f t="shared" si="16"/>
        <v>3.6863921800523567</v>
      </c>
      <c r="Z46">
        <f t="shared" si="17"/>
        <v>16.383965244677142</v>
      </c>
      <c r="AA46">
        <f t="shared" si="18"/>
        <v>57.841239102446266</v>
      </c>
      <c r="AB46">
        <f t="shared" si="19"/>
        <v>1E-4</v>
      </c>
      <c r="AC46">
        <f t="shared" si="23"/>
        <v>10.931228175791185</v>
      </c>
      <c r="AD46">
        <f t="shared" si="24"/>
        <v>47.980760844118187</v>
      </c>
      <c r="AE46">
        <f t="shared" si="25"/>
        <v>164.89293610426981</v>
      </c>
      <c r="AF46">
        <f t="shared" si="26"/>
        <v>18.550455311730357</v>
      </c>
      <c r="AG46">
        <f t="shared" si="27"/>
        <v>82.446468052134904</v>
      </c>
      <c r="AH46">
        <f t="shared" si="28"/>
        <v>323.87013569779782</v>
      </c>
      <c r="AI46">
        <f t="shared" si="29"/>
        <v>18.550455311730357</v>
      </c>
    </row>
    <row r="47" spans="1:35" x14ac:dyDescent="0.25">
      <c r="E47">
        <f t="shared" si="20"/>
        <v>3.5925160495687796</v>
      </c>
      <c r="F47">
        <f t="shared" si="0"/>
        <v>3.738880917105567</v>
      </c>
      <c r="G47">
        <f t="shared" si="1"/>
        <v>4.3306749699375748</v>
      </c>
      <c r="H47">
        <f t="shared" si="2"/>
        <v>31.061306141695624</v>
      </c>
      <c r="I47">
        <f t="shared" si="3"/>
        <v>3.4943969409407578</v>
      </c>
      <c r="J47">
        <f t="shared" si="4"/>
        <v>15.530653070847812</v>
      </c>
      <c r="K47">
        <f t="shared" si="5"/>
        <v>29.232056047078633</v>
      </c>
      <c r="L47">
        <v>46</v>
      </c>
      <c r="M47">
        <f t="shared" si="21"/>
        <v>3.4943969409407578</v>
      </c>
      <c r="N47">
        <f t="shared" si="6"/>
        <v>58.150554842379833</v>
      </c>
      <c r="O47">
        <f t="shared" si="7"/>
        <v>276.48555155317592</v>
      </c>
      <c r="P47">
        <f t="shared" si="8"/>
        <v>911.36771804409454</v>
      </c>
      <c r="Q47">
        <f t="shared" si="9"/>
        <v>102.52886827996062</v>
      </c>
      <c r="R47">
        <f t="shared" si="10"/>
        <v>455.68385902204727</v>
      </c>
      <c r="S47">
        <f t="shared" si="11"/>
        <v>1866.2774729839377</v>
      </c>
      <c r="T47">
        <f t="shared" si="12"/>
        <v>102.52886827996062</v>
      </c>
      <c r="U47">
        <f t="shared" si="22"/>
        <v>0.78240537361531515</v>
      </c>
      <c r="V47">
        <f t="shared" si="13"/>
        <v>2.3344963239165368</v>
      </c>
      <c r="W47">
        <f t="shared" si="14"/>
        <v>8.2836734321982952</v>
      </c>
      <c r="X47">
        <f t="shared" si="15"/>
        <v>31.869081968176545</v>
      </c>
      <c r="Y47">
        <f t="shared" si="16"/>
        <v>3.5852717214198613</v>
      </c>
      <c r="Z47">
        <f t="shared" si="17"/>
        <v>15.934540984088272</v>
      </c>
      <c r="AA47">
        <f t="shared" si="18"/>
        <v>55.914795667338488</v>
      </c>
      <c r="AB47">
        <f t="shared" si="19"/>
        <v>1E-4</v>
      </c>
      <c r="AC47">
        <f t="shared" si="23"/>
        <v>10.520415586166639</v>
      </c>
      <c r="AD47">
        <f t="shared" si="24"/>
        <v>45.685610984255732</v>
      </c>
      <c r="AE47">
        <f t="shared" si="25"/>
        <v>157.89008530383501</v>
      </c>
      <c r="AF47">
        <f t="shared" si="26"/>
        <v>17.762634596681437</v>
      </c>
      <c r="AG47">
        <f t="shared" si="27"/>
        <v>78.945042651917504</v>
      </c>
      <c r="AH47">
        <f t="shared" si="28"/>
        <v>308.37787414372622</v>
      </c>
      <c r="AI47">
        <f t="shared" si="29"/>
        <v>17.762634596681437</v>
      </c>
    </row>
    <row r="48" spans="1:35" x14ac:dyDescent="0.25">
      <c r="E48">
        <f t="shared" si="20"/>
        <v>3.7002915310558429</v>
      </c>
      <c r="F48">
        <f t="shared" si="0"/>
        <v>3.6565150685612897</v>
      </c>
      <c r="G48">
        <f t="shared" si="1"/>
        <v>4.0645342024431619</v>
      </c>
      <c r="H48">
        <f t="shared" si="2"/>
        <v>29.844108914697237</v>
      </c>
      <c r="I48">
        <f t="shared" si="3"/>
        <v>3.357462252903439</v>
      </c>
      <c r="J48">
        <f t="shared" si="4"/>
        <v>14.922054457348619</v>
      </c>
      <c r="K48">
        <f t="shared" si="5"/>
        <v>27.43560586649134</v>
      </c>
      <c r="L48">
        <v>47</v>
      </c>
      <c r="M48">
        <f t="shared" si="21"/>
        <v>3.357462252903439</v>
      </c>
      <c r="N48">
        <f t="shared" si="6"/>
        <v>49.942900072972591</v>
      </c>
      <c r="O48">
        <f t="shared" si="7"/>
        <v>230.17130597380168</v>
      </c>
      <c r="P48">
        <f t="shared" si="8"/>
        <v>771.10742605416306</v>
      </c>
      <c r="Q48">
        <f t="shared" si="9"/>
        <v>86.749585431093351</v>
      </c>
      <c r="R48">
        <f t="shared" si="10"/>
        <v>385.55371302708153</v>
      </c>
      <c r="S48">
        <f t="shared" si="11"/>
        <v>1553.6563153231614</v>
      </c>
      <c r="T48">
        <f t="shared" si="12"/>
        <v>86.749585431093351</v>
      </c>
      <c r="U48">
        <f t="shared" si="22"/>
        <v>0.79022942735146828</v>
      </c>
      <c r="V48">
        <f t="shared" si="13"/>
        <v>2.2835188319121786</v>
      </c>
      <c r="W48">
        <f t="shared" si="14"/>
        <v>8.011482102033499</v>
      </c>
      <c r="X48">
        <f t="shared" si="15"/>
        <v>31.009949894229663</v>
      </c>
      <c r="Y48">
        <f t="shared" si="16"/>
        <v>3.4886193631008369</v>
      </c>
      <c r="Z48">
        <f t="shared" si="17"/>
        <v>15.504974947114832</v>
      </c>
      <c r="AA48">
        <f t="shared" si="18"/>
        <v>54.077504188726117</v>
      </c>
      <c r="AB48">
        <f t="shared" si="19"/>
        <v>1E-4</v>
      </c>
      <c r="AC48">
        <f t="shared" si="23"/>
        <v>10.139289448944616</v>
      </c>
      <c r="AD48">
        <f t="shared" si="24"/>
        <v>43.560043165117229</v>
      </c>
      <c r="AE48">
        <f t="shared" si="25"/>
        <v>151.39613466211537</v>
      </c>
      <c r="AF48">
        <f t="shared" si="26"/>
        <v>17.03206514948798</v>
      </c>
      <c r="AG48">
        <f t="shared" si="27"/>
        <v>75.698067331057686</v>
      </c>
      <c r="AH48">
        <f t="shared" si="28"/>
        <v>294.03029136454126</v>
      </c>
      <c r="AI48">
        <f t="shared" si="29"/>
        <v>17.03206514948798</v>
      </c>
    </row>
    <row r="49" spans="5:35" x14ac:dyDescent="0.25">
      <c r="E49">
        <f t="shared" si="20"/>
        <v>3.8113002769875184</v>
      </c>
      <c r="F49">
        <f t="shared" si="0"/>
        <v>3.5776543610406728</v>
      </c>
      <c r="G49">
        <f t="shared" si="1"/>
        <v>3.8157567879307419</v>
      </c>
      <c r="H49">
        <f t="shared" si="2"/>
        <v>28.686258712565749</v>
      </c>
      <c r="I49">
        <f t="shared" si="3"/>
        <v>3.2272041051636471</v>
      </c>
      <c r="J49">
        <f t="shared" si="4"/>
        <v>14.343129356282875</v>
      </c>
      <c r="K49">
        <f t="shared" si="5"/>
        <v>25.756358318532506</v>
      </c>
      <c r="L49">
        <v>48</v>
      </c>
      <c r="M49">
        <f t="shared" si="21"/>
        <v>3.2272041051636471</v>
      </c>
      <c r="N49">
        <f t="shared" si="6"/>
        <v>43.762406510131008</v>
      </c>
      <c r="O49">
        <f t="shared" si="7"/>
        <v>195.4393927664043</v>
      </c>
      <c r="P49">
        <f t="shared" si="8"/>
        <v>665.59819504204097</v>
      </c>
      <c r="Q49">
        <f t="shared" si="9"/>
        <v>74.879796942229603</v>
      </c>
      <c r="R49">
        <f t="shared" si="10"/>
        <v>332.79909752102049</v>
      </c>
      <c r="S49">
        <f t="shared" si="11"/>
        <v>1319.215901173229</v>
      </c>
      <c r="T49">
        <f t="shared" si="12"/>
        <v>74.879796942229603</v>
      </c>
      <c r="U49">
        <f t="shared" si="22"/>
        <v>0.79813172162498303</v>
      </c>
      <c r="V49">
        <f t="shared" si="13"/>
        <v>2.2347106097062603</v>
      </c>
      <c r="W49">
        <f t="shared" si="14"/>
        <v>7.7516526542929549</v>
      </c>
      <c r="X49">
        <f t="shared" si="15"/>
        <v>30.187998616668544</v>
      </c>
      <c r="Y49">
        <f t="shared" si="16"/>
        <v>3.3961498443752114</v>
      </c>
      <c r="Z49">
        <f t="shared" si="17"/>
        <v>15.093999308334272</v>
      </c>
      <c r="AA49">
        <f t="shared" si="18"/>
        <v>52.32365541647745</v>
      </c>
      <c r="AB49">
        <f t="shared" si="19"/>
        <v>1E-4</v>
      </c>
      <c r="AC49">
        <f t="shared" si="23"/>
        <v>9.7847441439251455</v>
      </c>
      <c r="AD49">
        <f t="shared" si="24"/>
        <v>41.586309026584559</v>
      </c>
      <c r="AE49">
        <f t="shared" si="25"/>
        <v>145.35784458841806</v>
      </c>
      <c r="AF49">
        <f t="shared" si="26"/>
        <v>16.352757516197034</v>
      </c>
      <c r="AG49">
        <f t="shared" si="27"/>
        <v>72.67892229420903</v>
      </c>
      <c r="AH49">
        <f t="shared" si="28"/>
        <v>280.70758592944571</v>
      </c>
      <c r="AI49">
        <f t="shared" si="29"/>
        <v>16.352757516197034</v>
      </c>
    </row>
    <row r="50" spans="5:35" x14ac:dyDescent="0.25">
      <c r="E50">
        <f t="shared" si="20"/>
        <v>3.925639285297144</v>
      </c>
      <c r="F50">
        <f t="shared" si="0"/>
        <v>3.502079723229051</v>
      </c>
      <c r="G50">
        <f t="shared" si="1"/>
        <v>3.5830910365118469</v>
      </c>
      <c r="H50">
        <f t="shared" si="2"/>
        <v>27.583988558547198</v>
      </c>
      <c r="I50">
        <f t="shared" si="3"/>
        <v>3.1031987128365599</v>
      </c>
      <c r="J50">
        <f t="shared" si="4"/>
        <v>13.791994279273599</v>
      </c>
      <c r="K50">
        <f t="shared" si="5"/>
        <v>24.185864496454965</v>
      </c>
      <c r="L50">
        <v>49</v>
      </c>
      <c r="M50">
        <f t="shared" si="21"/>
        <v>3.1031987128365599</v>
      </c>
      <c r="N50">
        <f t="shared" si="6"/>
        <v>38.940609824364131</v>
      </c>
      <c r="O50">
        <f t="shared" si="7"/>
        <v>168.46981894263786</v>
      </c>
      <c r="P50">
        <f t="shared" si="8"/>
        <v>583.38059822801483</v>
      </c>
      <c r="Q50">
        <f t="shared" si="9"/>
        <v>65.630317300651669</v>
      </c>
      <c r="R50">
        <f t="shared" si="10"/>
        <v>291.69029911400742</v>
      </c>
      <c r="S50">
        <f t="shared" si="11"/>
        <v>1137.1712778628057</v>
      </c>
      <c r="T50">
        <f t="shared" si="12"/>
        <v>65.630317300651669</v>
      </c>
      <c r="U50">
        <f t="shared" si="22"/>
        <v>0.80611303884123287</v>
      </c>
      <c r="V50">
        <f t="shared" si="13"/>
        <v>2.1879360779364028</v>
      </c>
      <c r="W50">
        <f t="shared" si="14"/>
        <v>7.5034097108863911</v>
      </c>
      <c r="X50">
        <f t="shared" si="15"/>
        <v>29.400903777469921</v>
      </c>
      <c r="Y50">
        <f t="shared" si="16"/>
        <v>3.3076016749653658</v>
      </c>
      <c r="Z50">
        <f t="shared" si="17"/>
        <v>14.70045188873496</v>
      </c>
      <c r="AA50">
        <f t="shared" si="18"/>
        <v>50.648015548483137</v>
      </c>
      <c r="AB50">
        <f t="shared" si="19"/>
        <v>1E-4</v>
      </c>
      <c r="AC50">
        <f t="shared" si="23"/>
        <v>9.4540926427453673</v>
      </c>
      <c r="AD50">
        <f t="shared" si="24"/>
        <v>39.749052172304324</v>
      </c>
      <c r="AE50">
        <f t="shared" si="25"/>
        <v>139.72915135264387</v>
      </c>
      <c r="AF50">
        <f t="shared" si="26"/>
        <v>15.719529527172435</v>
      </c>
      <c r="AG50">
        <f t="shared" si="27"/>
        <v>69.864575676321934</v>
      </c>
      <c r="AH50">
        <f t="shared" si="28"/>
        <v>268.30610216305416</v>
      </c>
      <c r="AI50">
        <f t="shared" si="29"/>
        <v>0.01</v>
      </c>
    </row>
    <row r="51" spans="5:35" x14ac:dyDescent="0.25">
      <c r="E51">
        <f t="shared" si="20"/>
        <v>4.0434084638560588</v>
      </c>
      <c r="F51">
        <f t="shared" si="0"/>
        <v>3.4295899671843895</v>
      </c>
      <c r="G51">
        <f t="shared" si="1"/>
        <v>3.3653894695893749</v>
      </c>
      <c r="H51">
        <f t="shared" si="2"/>
        <v>26.533838307820478</v>
      </c>
      <c r="I51">
        <f t="shared" si="3"/>
        <v>2.9850568096298038</v>
      </c>
      <c r="J51">
        <f t="shared" si="4"/>
        <v>13.266919153910239</v>
      </c>
      <c r="K51">
        <f t="shared" si="5"/>
        <v>22.716378919728282</v>
      </c>
      <c r="L51">
        <v>50</v>
      </c>
      <c r="M51">
        <f t="shared" si="21"/>
        <v>2.9850568096298038</v>
      </c>
      <c r="N51">
        <f t="shared" si="6"/>
        <v>35.073844504283876</v>
      </c>
      <c r="O51">
        <f t="shared" si="7"/>
        <v>146.95573029100137</v>
      </c>
      <c r="P51">
        <f t="shared" si="8"/>
        <v>517.53461727189369</v>
      </c>
      <c r="Q51">
        <f t="shared" si="9"/>
        <v>58.222644443088036</v>
      </c>
      <c r="R51">
        <f t="shared" si="10"/>
        <v>258.76730863594685</v>
      </c>
      <c r="S51">
        <f t="shared" si="11"/>
        <v>991.95117946425944</v>
      </c>
      <c r="T51">
        <f t="shared" si="12"/>
        <v>58.222644443088036</v>
      </c>
      <c r="U51">
        <f t="shared" si="22"/>
        <v>0.81417416922964525</v>
      </c>
      <c r="V51">
        <f t="shared" si="13"/>
        <v>2.1430707249431853</v>
      </c>
      <c r="W51">
        <f t="shared" si="14"/>
        <v>7.2660411437372598</v>
      </c>
      <c r="X51">
        <f t="shared" si="15"/>
        <v>28.646530750978002</v>
      </c>
      <c r="Y51">
        <f t="shared" si="16"/>
        <v>3.2227347094850249</v>
      </c>
      <c r="Z51">
        <f t="shared" si="17"/>
        <v>14.323265375489001</v>
      </c>
      <c r="AA51">
        <f t="shared" si="18"/>
        <v>49.045777720226504</v>
      </c>
      <c r="AB51">
        <f t="shared" si="19"/>
        <v>1E-4</v>
      </c>
      <c r="AC51">
        <f t="shared" si="23"/>
        <v>9.1449982828334679</v>
      </c>
      <c r="AD51">
        <f t="shared" si="24"/>
        <v>38.034918306891598</v>
      </c>
      <c r="AE51">
        <f t="shared" si="25"/>
        <v>134.46999749591461</v>
      </c>
      <c r="AF51">
        <f t="shared" si="26"/>
        <v>15.127874718290395</v>
      </c>
      <c r="AG51">
        <f t="shared" si="27"/>
        <v>67.234998747957306</v>
      </c>
      <c r="AH51">
        <f t="shared" si="28"/>
        <v>256.7356985715183</v>
      </c>
      <c r="AI51">
        <f t="shared" si="29"/>
        <v>0.01</v>
      </c>
    </row>
    <row r="52" spans="5:35" x14ac:dyDescent="0.25">
      <c r="E52">
        <f t="shared" si="20"/>
        <v>4.1647107177717411</v>
      </c>
      <c r="F52">
        <f t="shared" si="0"/>
        <v>3.3599999999999968</v>
      </c>
      <c r="G52">
        <f t="shared" si="1"/>
        <v>3.161598525099178</v>
      </c>
      <c r="H52">
        <f t="shared" si="2"/>
        <v>25.532623992025414</v>
      </c>
      <c r="I52">
        <f t="shared" si="3"/>
        <v>2.8724201991028591</v>
      </c>
      <c r="J52">
        <f t="shared" si="4"/>
        <v>12.766311996012707</v>
      </c>
      <c r="K52">
        <f t="shared" si="5"/>
        <v>21.34079004441945</v>
      </c>
      <c r="L52">
        <v>51</v>
      </c>
      <c r="M52">
        <f t="shared" si="21"/>
        <v>2.8724201991028591</v>
      </c>
      <c r="N52">
        <f t="shared" si="6"/>
        <v>31.903940319850101</v>
      </c>
      <c r="O52">
        <f t="shared" si="7"/>
        <v>129.42167717987823</v>
      </c>
      <c r="P52">
        <f t="shared" si="8"/>
        <v>463.634438801334</v>
      </c>
      <c r="Q52">
        <f t="shared" si="9"/>
        <v>52.158874365150062</v>
      </c>
      <c r="R52">
        <f t="shared" si="10"/>
        <v>231.817219400667</v>
      </c>
      <c r="S52">
        <f t="shared" si="11"/>
        <v>873.59632096417818</v>
      </c>
      <c r="T52">
        <f t="shared" si="12"/>
        <v>52.158874365150062</v>
      </c>
      <c r="U52">
        <f t="shared" si="22"/>
        <v>0.82231591092194167</v>
      </c>
      <c r="V52">
        <f t="shared" si="13"/>
        <v>2.0999999999999983</v>
      </c>
      <c r="W52">
        <f t="shared" si="14"/>
        <v>7.0388917504686033</v>
      </c>
      <c r="X52">
        <f t="shared" si="15"/>
        <v>27.922915670705489</v>
      </c>
      <c r="Y52">
        <f t="shared" si="16"/>
        <v>3.1413280129543675</v>
      </c>
      <c r="Z52">
        <f t="shared" si="17"/>
        <v>13.961457835352745</v>
      </c>
      <c r="AA52">
        <f t="shared" si="18"/>
        <v>47.51251931566307</v>
      </c>
      <c r="AB52">
        <f t="shared" si="19"/>
        <v>1E-4</v>
      </c>
      <c r="AC52">
        <f t="shared" si="23"/>
        <v>8.8554194642509465</v>
      </c>
      <c r="AD52">
        <f t="shared" si="24"/>
        <v>36.432239218221476</v>
      </c>
      <c r="AE52">
        <f t="shared" si="25"/>
        <v>129.54538377647694</v>
      </c>
      <c r="AF52">
        <f t="shared" si="26"/>
        <v>14.573855674853654</v>
      </c>
      <c r="AG52">
        <f t="shared" si="27"/>
        <v>64.772691888238469</v>
      </c>
      <c r="AH52">
        <f t="shared" si="28"/>
        <v>245.91761472299495</v>
      </c>
      <c r="AI52">
        <f t="shared" si="29"/>
        <v>0.01</v>
      </c>
    </row>
    <row r="53" spans="5:35" x14ac:dyDescent="0.25">
      <c r="E53">
        <f t="shared" si="20"/>
        <v>4.2896520393048938</v>
      </c>
      <c r="F53">
        <f t="shared" si="0"/>
        <v>3.2931392458598978</v>
      </c>
      <c r="G53">
        <f t="shared" si="1"/>
        <v>2.970749464108875</v>
      </c>
      <c r="H53">
        <f t="shared" si="2"/>
        <v>24.577410770339981</v>
      </c>
      <c r="I53">
        <f t="shared" si="3"/>
        <v>2.7649587116632484</v>
      </c>
      <c r="J53">
        <f t="shared" si="4"/>
        <v>12.28870538516999</v>
      </c>
      <c r="K53">
        <f t="shared" si="5"/>
        <v>20.052558882734907</v>
      </c>
      <c r="L53">
        <v>52</v>
      </c>
      <c r="M53">
        <f t="shared" si="21"/>
        <v>2.7649587116632484</v>
      </c>
      <c r="N53">
        <f t="shared" si="6"/>
        <v>29.258088842903859</v>
      </c>
      <c r="O53">
        <f t="shared" si="7"/>
        <v>114.87999496317647</v>
      </c>
      <c r="P53">
        <f t="shared" si="8"/>
        <v>418.71759477932761</v>
      </c>
      <c r="Q53">
        <f t="shared" si="9"/>
        <v>47.105729412674357</v>
      </c>
      <c r="R53">
        <f t="shared" si="10"/>
        <v>209.35879738966381</v>
      </c>
      <c r="S53">
        <f t="shared" si="11"/>
        <v>775.43996600144112</v>
      </c>
      <c r="T53">
        <f t="shared" si="12"/>
        <v>47.105729412674357</v>
      </c>
      <c r="U53">
        <f t="shared" si="22"/>
        <v>0.83053907003116112</v>
      </c>
      <c r="V53">
        <f t="shared" si="13"/>
        <v>2.0586183367509983</v>
      </c>
      <c r="W53">
        <f t="shared" si="14"/>
        <v>6.8213576741339184</v>
      </c>
      <c r="X53">
        <f t="shared" si="15"/>
        <v>27.228248688276206</v>
      </c>
      <c r="Y53">
        <f t="shared" si="16"/>
        <v>3.063177977431073</v>
      </c>
      <c r="Z53">
        <f t="shared" si="17"/>
        <v>13.614124344138103</v>
      </c>
      <c r="AA53">
        <f t="shared" si="18"/>
        <v>46.044164300403949</v>
      </c>
      <c r="AB53">
        <f t="shared" si="19"/>
        <v>1E-4</v>
      </c>
      <c r="AC53">
        <f t="shared" si="23"/>
        <v>8.583564501099481</v>
      </c>
      <c r="AD53">
        <f t="shared" si="24"/>
        <v>34.930774785784159</v>
      </c>
      <c r="AE53">
        <f t="shared" si="25"/>
        <v>124.92459519380903</v>
      </c>
      <c r="AF53">
        <f t="shared" si="26"/>
        <v>14.054016959303517</v>
      </c>
      <c r="AG53">
        <f t="shared" si="27"/>
        <v>62.462297596904513</v>
      </c>
      <c r="AH53">
        <f t="shared" si="28"/>
        <v>235.7827298040431</v>
      </c>
      <c r="AI53">
        <f t="shared" si="29"/>
        <v>0.01</v>
      </c>
    </row>
    <row r="54" spans="5:35" x14ac:dyDescent="0.25">
      <c r="E54">
        <f t="shared" si="20"/>
        <v>4.418341600484041</v>
      </c>
      <c r="F54">
        <f t="shared" si="0"/>
        <v>3.228850250164681</v>
      </c>
      <c r="G54">
        <f t="shared" si="1"/>
        <v>2.7919503172053535</v>
      </c>
      <c r="H54">
        <f t="shared" si="2"/>
        <v>23.665489001586497</v>
      </c>
      <c r="I54">
        <f t="shared" si="3"/>
        <v>2.6623675126784812</v>
      </c>
      <c r="J54">
        <f t="shared" si="4"/>
        <v>11.832744500793249</v>
      </c>
      <c r="K54">
        <f t="shared" si="5"/>
        <v>18.845664641136135</v>
      </c>
      <c r="L54">
        <v>53</v>
      </c>
      <c r="M54">
        <f t="shared" si="21"/>
        <v>2.6623675126784812</v>
      </c>
      <c r="N54">
        <f t="shared" si="6"/>
        <v>27.016256869407353</v>
      </c>
      <c r="O54">
        <f t="shared" si="7"/>
        <v>102.64459524142504</v>
      </c>
      <c r="P54">
        <f t="shared" si="8"/>
        <v>380.7263354721548</v>
      </c>
      <c r="Q54">
        <f t="shared" si="9"/>
        <v>42.831712740617412</v>
      </c>
      <c r="R54">
        <f t="shared" si="10"/>
        <v>190.3631677360774</v>
      </c>
      <c r="S54">
        <f t="shared" si="11"/>
        <v>692.85101787961901</v>
      </c>
      <c r="T54">
        <f t="shared" si="12"/>
        <v>42.831712740617412</v>
      </c>
      <c r="U54">
        <f t="shared" si="22"/>
        <v>0.83884446073147279</v>
      </c>
      <c r="V54">
        <f t="shared" si="13"/>
        <v>2.0188282893292113</v>
      </c>
      <c r="W54">
        <f t="shared" si="14"/>
        <v>6.6128814668328646</v>
      </c>
      <c r="X54">
        <f t="shared" si="15"/>
        <v>26.56085916402899</v>
      </c>
      <c r="Y54">
        <f t="shared" si="16"/>
        <v>2.9880966559532611</v>
      </c>
      <c r="Z54">
        <f t="shared" si="17"/>
        <v>13.280429582014495</v>
      </c>
      <c r="AA54">
        <f t="shared" si="18"/>
        <v>44.636949901121838</v>
      </c>
      <c r="AB54">
        <f t="shared" si="19"/>
        <v>1E-4</v>
      </c>
      <c r="AC54">
        <f t="shared" si="23"/>
        <v>8.3278545167795581</v>
      </c>
      <c r="AD54">
        <f t="shared" si="24"/>
        <v>33.521500953920153</v>
      </c>
      <c r="AE54">
        <f t="shared" si="25"/>
        <v>120.58056490738198</v>
      </c>
      <c r="AF54">
        <f t="shared" si="26"/>
        <v>13.565313552080472</v>
      </c>
      <c r="AG54">
        <f t="shared" si="27"/>
        <v>60.290282453690992</v>
      </c>
      <c r="AH54">
        <f t="shared" si="28"/>
        <v>226.27013143896102</v>
      </c>
      <c r="AI54">
        <f t="shared" si="29"/>
        <v>0.01</v>
      </c>
    </row>
    <row r="55" spans="5:35" x14ac:dyDescent="0.25">
      <c r="E55">
        <f t="shared" si="20"/>
        <v>4.5508918484985621</v>
      </c>
      <c r="F55">
        <f t="shared" si="0"/>
        <v>3.1669874416809844</v>
      </c>
      <c r="G55">
        <f t="shared" si="1"/>
        <v>2.6243787335183804</v>
      </c>
      <c r="H55">
        <f t="shared" si="2"/>
        <v>22.79435302513301</v>
      </c>
      <c r="I55">
        <f t="shared" si="3"/>
        <v>2.5643647153274634</v>
      </c>
      <c r="J55">
        <f t="shared" si="4"/>
        <v>11.397176512566505</v>
      </c>
      <c r="K55">
        <f t="shared" si="5"/>
        <v>17.714556451249067</v>
      </c>
      <c r="L55">
        <v>54</v>
      </c>
      <c r="M55">
        <f t="shared" si="21"/>
        <v>2.5643647153274634</v>
      </c>
      <c r="N55">
        <f t="shared" si="6"/>
        <v>25.092468739160704</v>
      </c>
      <c r="O55">
        <f t="shared" si="7"/>
        <v>92.224007953349911</v>
      </c>
      <c r="P55">
        <f t="shared" si="8"/>
        <v>348.18675494540827</v>
      </c>
      <c r="Q55">
        <f t="shared" si="9"/>
        <v>39.171009931358427</v>
      </c>
      <c r="R55">
        <f t="shared" si="10"/>
        <v>174.09337747270413</v>
      </c>
      <c r="S55">
        <f t="shared" si="11"/>
        <v>622.51205368511194</v>
      </c>
      <c r="T55">
        <f t="shared" si="12"/>
        <v>39.171009931358427</v>
      </c>
      <c r="U55">
        <f t="shared" si="22"/>
        <v>0.84723290533878748</v>
      </c>
      <c r="V55">
        <f t="shared" si="13"/>
        <v>1.9805397662726407</v>
      </c>
      <c r="W55">
        <f t="shared" si="14"/>
        <v>6.4129477121700065</v>
      </c>
      <c r="X55">
        <f t="shared" si="15"/>
        <v>25.919202534157581</v>
      </c>
      <c r="Y55">
        <f t="shared" si="16"/>
        <v>2.9159102850927279</v>
      </c>
      <c r="Z55">
        <f t="shared" si="17"/>
        <v>12.95960126707879</v>
      </c>
      <c r="AA55">
        <f t="shared" si="18"/>
        <v>43.287397057147537</v>
      </c>
      <c r="AB55">
        <f t="shared" si="19"/>
        <v>1E-4</v>
      </c>
      <c r="AC55">
        <f t="shared" si="23"/>
        <v>8.0868927593412163</v>
      </c>
      <c r="AD55">
        <f t="shared" si="24"/>
        <v>32.196434391285855</v>
      </c>
      <c r="AE55">
        <f t="shared" si="25"/>
        <v>116.4893482141257</v>
      </c>
      <c r="AF55">
        <f t="shared" si="26"/>
        <v>13.10505167408914</v>
      </c>
      <c r="AG55">
        <f t="shared" si="27"/>
        <v>58.244674107062849</v>
      </c>
      <c r="AH55">
        <f t="shared" si="28"/>
        <v>217.32593214117952</v>
      </c>
      <c r="AI55">
        <f t="shared" si="29"/>
        <v>0.01</v>
      </c>
    </row>
    <row r="56" spans="5:35" x14ac:dyDescent="0.25">
      <c r="E56">
        <f t="shared" si="20"/>
        <v>4.6874186039535193</v>
      </c>
      <c r="F56">
        <f t="shared" si="0"/>
        <v>3.107416032229672</v>
      </c>
      <c r="G56">
        <f t="shared" si="1"/>
        <v>2.467275615571666</v>
      </c>
      <c r="H56">
        <f t="shared" si="2"/>
        <v>21.96168229942829</v>
      </c>
      <c r="I56">
        <f t="shared" si="3"/>
        <v>2.4706892586856823</v>
      </c>
      <c r="J56">
        <f t="shared" si="4"/>
        <v>10.980841149714145</v>
      </c>
      <c r="K56">
        <f t="shared" si="5"/>
        <v>16.654110405108749</v>
      </c>
      <c r="L56">
        <v>55</v>
      </c>
      <c r="M56">
        <f t="shared" si="21"/>
        <v>2.4706892586856823</v>
      </c>
      <c r="N56">
        <f t="shared" si="6"/>
        <v>23.423527280587699</v>
      </c>
      <c r="O56">
        <f t="shared" si="7"/>
        <v>83.256929883358225</v>
      </c>
      <c r="P56">
        <f t="shared" si="8"/>
        <v>320.01543584669082</v>
      </c>
      <c r="Q56">
        <f t="shared" si="9"/>
        <v>36.001736532752716</v>
      </c>
      <c r="R56">
        <f t="shared" si="10"/>
        <v>160.00771792334541</v>
      </c>
      <c r="S56">
        <f t="shared" si="11"/>
        <v>561.98427671266802</v>
      </c>
      <c r="T56">
        <f t="shared" si="12"/>
        <v>36.001736532752716</v>
      </c>
      <c r="U56">
        <f t="shared" si="22"/>
        <v>0.85570523439217538</v>
      </c>
      <c r="V56">
        <f t="shared" si="13"/>
        <v>1.9436693495610902</v>
      </c>
      <c r="W56">
        <f t="shared" si="14"/>
        <v>6.2210791341137446</v>
      </c>
      <c r="X56">
        <f t="shared" si="15"/>
        <v>25.30184863705783</v>
      </c>
      <c r="Y56">
        <f t="shared" si="16"/>
        <v>2.8464579716690062</v>
      </c>
      <c r="Z56">
        <f t="shared" si="17"/>
        <v>12.650924318528915</v>
      </c>
      <c r="AA56">
        <f t="shared" si="18"/>
        <v>41.992284155267768</v>
      </c>
      <c r="AB56">
        <f t="shared" si="19"/>
        <v>1E-4</v>
      </c>
      <c r="AC56">
        <f t="shared" si="23"/>
        <v>7.8594390772695322</v>
      </c>
      <c r="AD56">
        <f t="shared" si="24"/>
        <v>30.948486638499602</v>
      </c>
      <c r="AE56">
        <f t="shared" si="25"/>
        <v>112.62968499045041</v>
      </c>
      <c r="AF56">
        <f t="shared" si="26"/>
        <v>12.670839561425673</v>
      </c>
      <c r="AG56">
        <f t="shared" si="27"/>
        <v>56.314842495225207</v>
      </c>
      <c r="AH56">
        <f t="shared" si="28"/>
        <v>208.9022848098723</v>
      </c>
      <c r="AI56">
        <f t="shared" si="29"/>
        <v>0.01</v>
      </c>
    </row>
    <row r="57" spans="5:35" x14ac:dyDescent="0.25">
      <c r="E57">
        <f t="shared" si="20"/>
        <v>4.8280411620721253</v>
      </c>
      <c r="F57">
        <f t="shared" si="0"/>
        <v>3.0500110364083373</v>
      </c>
      <c r="G57">
        <f t="shared" si="1"/>
        <v>2.319939440165113</v>
      </c>
      <c r="H57">
        <f t="shared" si="2"/>
        <v>21.165324598087242</v>
      </c>
      <c r="I57">
        <f t="shared" si="3"/>
        <v>2.3810990172848148</v>
      </c>
      <c r="J57">
        <f t="shared" si="4"/>
        <v>10.582662299043621</v>
      </c>
      <c r="K57">
        <f t="shared" si="5"/>
        <v>15.659591221114514</v>
      </c>
      <c r="L57">
        <v>56</v>
      </c>
      <c r="M57">
        <f t="shared" si="21"/>
        <v>2.3810990172848148</v>
      </c>
      <c r="N57">
        <f t="shared" si="6"/>
        <v>21.961938732386045</v>
      </c>
      <c r="O57">
        <f t="shared" si="7"/>
        <v>75.471795880232889</v>
      </c>
      <c r="P57">
        <f t="shared" si="8"/>
        <v>295.39816236298424</v>
      </c>
      <c r="Q57">
        <f t="shared" si="9"/>
        <v>33.232293265835722</v>
      </c>
      <c r="R57">
        <f t="shared" si="10"/>
        <v>147.69908118149212</v>
      </c>
      <c r="S57">
        <f t="shared" si="11"/>
        <v>509.43462219157192</v>
      </c>
      <c r="T57">
        <f t="shared" si="12"/>
        <v>33.232293265835722</v>
      </c>
      <c r="U57">
        <f t="shared" si="22"/>
        <v>0.86426228673609717</v>
      </c>
      <c r="V57">
        <f t="shared" si="13"/>
        <v>1.9081396879393115</v>
      </c>
      <c r="W57">
        <f t="shared" si="14"/>
        <v>6.0368331303496134</v>
      </c>
      <c r="X57">
        <f t="shared" si="15"/>
        <v>24.707471313164987</v>
      </c>
      <c r="Y57">
        <f t="shared" si="16"/>
        <v>2.7795905227310609</v>
      </c>
      <c r="Z57">
        <f t="shared" si="17"/>
        <v>12.353735656582494</v>
      </c>
      <c r="AA57">
        <f t="shared" si="18"/>
        <v>40.748623629859885</v>
      </c>
      <c r="AB57">
        <f t="shared" si="19"/>
        <v>1E-4</v>
      </c>
      <c r="AC57">
        <f t="shared" si="23"/>
        <v>7.6443885707985206</v>
      </c>
      <c r="AD57">
        <f t="shared" si="24"/>
        <v>29.771342115965798</v>
      </c>
      <c r="AE57">
        <f t="shared" si="25"/>
        <v>108.9826337148169</v>
      </c>
      <c r="AF57">
        <f t="shared" si="26"/>
        <v>12.260546292916901</v>
      </c>
      <c r="AG57">
        <f t="shared" si="27"/>
        <v>54.491316857408449</v>
      </c>
      <c r="AH57">
        <f t="shared" si="28"/>
        <v>200.95655928276915</v>
      </c>
      <c r="AI57">
        <f t="shared" si="29"/>
        <v>0.01</v>
      </c>
    </row>
    <row r="58" spans="5:35" x14ac:dyDescent="0.25">
      <c r="E58">
        <f t="shared" si="20"/>
        <v>4.9728823969342892</v>
      </c>
      <c r="F58">
        <f t="shared" si="0"/>
        <v>2.9946563963432604</v>
      </c>
      <c r="G58">
        <f t="shared" si="1"/>
        <v>2.1817211797677047</v>
      </c>
      <c r="H58">
        <f t="shared" si="2"/>
        <v>20.403281006312923</v>
      </c>
      <c r="I58">
        <f t="shared" si="3"/>
        <v>2.2953691132102039</v>
      </c>
      <c r="J58">
        <f t="shared" si="4"/>
        <v>10.201640503156462</v>
      </c>
      <c r="K58">
        <f t="shared" si="5"/>
        <v>14.726617963432007</v>
      </c>
      <c r="L58">
        <v>57</v>
      </c>
      <c r="M58">
        <f t="shared" si="21"/>
        <v>2.2953691132102039</v>
      </c>
      <c r="N58">
        <f t="shared" si="6"/>
        <v>20.671320483692885</v>
      </c>
      <c r="O58">
        <f t="shared" si="7"/>
        <v>68.660537595828728</v>
      </c>
      <c r="P58">
        <f t="shared" si="8"/>
        <v>273.7111957809139</v>
      </c>
      <c r="Q58">
        <f t="shared" si="9"/>
        <v>30.792509525352813</v>
      </c>
      <c r="R58">
        <f t="shared" si="10"/>
        <v>136.85559789045695</v>
      </c>
      <c r="S58">
        <f t="shared" si="11"/>
        <v>463.45862877184391</v>
      </c>
      <c r="T58">
        <f t="shared" si="12"/>
        <v>30.792509525352813</v>
      </c>
      <c r="U58">
        <f t="shared" si="22"/>
        <v>0.87290490960345812</v>
      </c>
      <c r="V58">
        <f t="shared" si="13"/>
        <v>1.873878955241802</v>
      </c>
      <c r="W58">
        <f t="shared" si="14"/>
        <v>5.8597986770658492</v>
      </c>
      <c r="X58">
        <f t="shared" si="15"/>
        <v>24.134839119094661</v>
      </c>
      <c r="Y58">
        <f t="shared" si="16"/>
        <v>2.7151694008981497</v>
      </c>
      <c r="Z58">
        <f t="shared" si="17"/>
        <v>12.06741955954733</v>
      </c>
      <c r="AA58">
        <f t="shared" si="18"/>
        <v>39.55364107019448</v>
      </c>
      <c r="AB58">
        <f t="shared" si="19"/>
        <v>1E-4</v>
      </c>
      <c r="AC58">
        <f t="shared" si="23"/>
        <v>7.4407536429847241</v>
      </c>
      <c r="AD58">
        <f t="shared" si="24"/>
        <v>28.659355558880822</v>
      </c>
      <c r="AE58">
        <f t="shared" si="25"/>
        <v>105.5312637718668</v>
      </c>
      <c r="AF58">
        <f t="shared" si="26"/>
        <v>11.872267174335015</v>
      </c>
      <c r="AG58">
        <f t="shared" si="27"/>
        <v>52.765631885933402</v>
      </c>
      <c r="AH58">
        <f t="shared" si="28"/>
        <v>193.45065002244556</v>
      </c>
      <c r="AI58">
        <f t="shared" si="29"/>
        <v>0.01</v>
      </c>
    </row>
    <row r="59" spans="5:35" x14ac:dyDescent="0.25">
      <c r="E59">
        <f t="shared" si="20"/>
        <v>5.1220688688423177</v>
      </c>
      <c r="F59">
        <f t="shared" si="0"/>
        <v>2.9412441985729072</v>
      </c>
      <c r="G59">
        <f t="shared" si="1"/>
        <v>2.0520197509198517</v>
      </c>
      <c r="H59">
        <f t="shared" si="2"/>
        <v>19.673692496542103</v>
      </c>
      <c r="I59">
        <f t="shared" si="3"/>
        <v>2.2132904058609864</v>
      </c>
      <c r="J59">
        <f t="shared" si="4"/>
        <v>9.8368462482710513</v>
      </c>
      <c r="K59">
        <f t="shared" si="5"/>
        <v>13.851133318709</v>
      </c>
      <c r="L59">
        <v>58</v>
      </c>
      <c r="M59">
        <f t="shared" si="21"/>
        <v>2.2132904058609864</v>
      </c>
      <c r="N59">
        <f t="shared" si="6"/>
        <v>19.523331304335024</v>
      </c>
      <c r="O59">
        <f t="shared" si="7"/>
        <v>62.66104215221246</v>
      </c>
      <c r="P59">
        <f t="shared" si="8"/>
        <v>254.46864987685052</v>
      </c>
      <c r="Q59">
        <f t="shared" si="9"/>
        <v>28.627723111145684</v>
      </c>
      <c r="R59">
        <f t="shared" si="10"/>
        <v>127.23432493842526</v>
      </c>
      <c r="S59">
        <f t="shared" si="11"/>
        <v>422.96203452743418</v>
      </c>
      <c r="T59">
        <f t="shared" si="12"/>
        <v>28.627723111145684</v>
      </c>
      <c r="U59">
        <f t="shared" si="22"/>
        <v>0.88163395869949268</v>
      </c>
      <c r="V59">
        <f t="shared" si="13"/>
        <v>1.8408203657356559</v>
      </c>
      <c r="W59">
        <f t="shared" si="14"/>
        <v>5.6895935595564371</v>
      </c>
      <c r="X59">
        <f t="shared" si="15"/>
        <v>23.58280701924329</v>
      </c>
      <c r="Y59">
        <f t="shared" si="16"/>
        <v>2.6530657896648702</v>
      </c>
      <c r="Z59">
        <f t="shared" si="17"/>
        <v>11.791403509621645</v>
      </c>
      <c r="AA59">
        <f t="shared" si="18"/>
        <v>38.404756527005944</v>
      </c>
      <c r="AB59">
        <f t="shared" si="19"/>
        <v>1E-4</v>
      </c>
      <c r="AC59">
        <f t="shared" si="23"/>
        <v>7.2476488352271851</v>
      </c>
      <c r="AD59">
        <f t="shared" si="24"/>
        <v>27.60746536335397</v>
      </c>
      <c r="AE59">
        <f t="shared" si="25"/>
        <v>102.26039548991319</v>
      </c>
      <c r="AF59">
        <f t="shared" si="26"/>
        <v>11.504294492615234</v>
      </c>
      <c r="AG59">
        <f t="shared" si="27"/>
        <v>51.130197744956597</v>
      </c>
      <c r="AH59">
        <f t="shared" si="28"/>
        <v>186.35039120263932</v>
      </c>
      <c r="AI59">
        <f t="shared" si="29"/>
        <v>0.01</v>
      </c>
    </row>
    <row r="60" spans="5:35" x14ac:dyDescent="0.25">
      <c r="E60">
        <f t="shared" si="20"/>
        <v>5.2757309349075872</v>
      </c>
      <c r="F60">
        <f t="shared" si="0"/>
        <v>2.8896739719434135</v>
      </c>
      <c r="G60">
        <f t="shared" si="1"/>
        <v>1.9302779262959615</v>
      </c>
      <c r="H60">
        <f t="shared" si="2"/>
        <v>18.974827892700059</v>
      </c>
      <c r="I60">
        <f t="shared" si="3"/>
        <v>2.1346681379287569</v>
      </c>
      <c r="J60">
        <f t="shared" si="4"/>
        <v>9.4874139463500295</v>
      </c>
      <c r="K60">
        <f t="shared" si="5"/>
        <v>13.029376002497742</v>
      </c>
      <c r="L60">
        <v>59</v>
      </c>
      <c r="M60">
        <f t="shared" si="21"/>
        <v>2.1346681379287569</v>
      </c>
      <c r="N60">
        <f t="shared" si="6"/>
        <v>18.495566017116662</v>
      </c>
      <c r="O60">
        <f t="shared" si="7"/>
        <v>57.345121890800897</v>
      </c>
      <c r="P60">
        <f t="shared" si="8"/>
        <v>237.28639959887363</v>
      </c>
      <c r="Q60">
        <f t="shared" si="9"/>
        <v>26.694719954873278</v>
      </c>
      <c r="R60">
        <f t="shared" si="10"/>
        <v>118.64319979943681</v>
      </c>
      <c r="S60">
        <f t="shared" si="11"/>
        <v>387.07957276290608</v>
      </c>
      <c r="T60">
        <f t="shared" si="12"/>
        <v>26.694719954873278</v>
      </c>
      <c r="U60">
        <f t="shared" si="22"/>
        <v>0.89045029828648758</v>
      </c>
      <c r="V60">
        <f t="shared" si="13"/>
        <v>1.808901739600695</v>
      </c>
      <c r="W60">
        <f t="shared" si="14"/>
        <v>5.5258618893185547</v>
      </c>
      <c r="X60">
        <f t="shared" si="15"/>
        <v>23.050308936878753</v>
      </c>
      <c r="Y60">
        <f t="shared" si="16"/>
        <v>2.5931597553988599</v>
      </c>
      <c r="Z60">
        <f t="shared" si="17"/>
        <v>11.525154468439377</v>
      </c>
      <c r="AA60">
        <f t="shared" si="18"/>
        <v>37.299567752900245</v>
      </c>
      <c r="AB60">
        <f t="shared" si="19"/>
        <v>1E-4</v>
      </c>
      <c r="AC60">
        <f t="shared" si="23"/>
        <v>7.0642779559848039</v>
      </c>
      <c r="AD60">
        <f t="shared" si="24"/>
        <v>26.611120036518891</v>
      </c>
      <c r="AE60">
        <f t="shared" si="25"/>
        <v>99.156379490417777</v>
      </c>
      <c r="AF60">
        <f t="shared" si="26"/>
        <v>11.155092692672</v>
      </c>
      <c r="AG60">
        <f t="shared" si="27"/>
        <v>49.578189745208888</v>
      </c>
      <c r="AH60">
        <f t="shared" si="28"/>
        <v>179.6250602465025</v>
      </c>
      <c r="AI60">
        <f t="shared" si="29"/>
        <v>0.01</v>
      </c>
    </row>
    <row r="61" spans="5:35" x14ac:dyDescent="0.25">
      <c r="E61">
        <f t="shared" si="20"/>
        <v>5.4340028629548147</v>
      </c>
      <c r="F61">
        <f t="shared" si="0"/>
        <v>2.8398520569045935</v>
      </c>
      <c r="G61">
        <f t="shared" si="1"/>
        <v>1.8159786556792739</v>
      </c>
      <c r="H61">
        <f t="shared" si="2"/>
        <v>18.30507305829682</v>
      </c>
      <c r="I61">
        <f t="shared" si="3"/>
        <v>2.0593207190583924</v>
      </c>
      <c r="J61">
        <f t="shared" si="4"/>
        <v>9.15253652914841</v>
      </c>
      <c r="K61">
        <f t="shared" si="5"/>
        <v>12.257855925835099</v>
      </c>
      <c r="L61">
        <v>60</v>
      </c>
      <c r="M61">
        <f t="shared" si="21"/>
        <v>2.0593207190583924</v>
      </c>
      <c r="N61">
        <f t="shared" si="6"/>
        <v>17.570078698267732</v>
      </c>
      <c r="O61">
        <f t="shared" si="7"/>
        <v>52.610075695222726</v>
      </c>
      <c r="P61">
        <f t="shared" si="8"/>
        <v>221.856764516889</v>
      </c>
      <c r="Q61">
        <f t="shared" si="9"/>
        <v>24.958886008150014</v>
      </c>
      <c r="R61">
        <f t="shared" si="10"/>
        <v>110.9283822584445</v>
      </c>
      <c r="S61">
        <f t="shared" si="11"/>
        <v>355.11801094275336</v>
      </c>
      <c r="T61">
        <f t="shared" si="12"/>
        <v>24.958886008150014</v>
      </c>
      <c r="U61">
        <f t="shared" si="22"/>
        <v>0.89935480126935252</v>
      </c>
      <c r="V61">
        <f t="shared" si="13"/>
        <v>1.7780651125976352</v>
      </c>
      <c r="W61">
        <f t="shared" si="14"/>
        <v>5.3682718736532697</v>
      </c>
      <c r="X61">
        <f t="shared" si="15"/>
        <v>22.536351062747777</v>
      </c>
      <c r="Y61">
        <f t="shared" si="16"/>
        <v>2.5353394945591252</v>
      </c>
      <c r="Z61">
        <f t="shared" si="17"/>
        <v>11.268175531373888</v>
      </c>
      <c r="AA61">
        <f t="shared" si="18"/>
        <v>36.23583514715957</v>
      </c>
      <c r="AB61">
        <f t="shared" si="19"/>
        <v>1E-4</v>
      </c>
      <c r="AC61">
        <f t="shared" si="23"/>
        <v>6.8899231080629209</v>
      </c>
      <c r="AD61">
        <f t="shared" si="24"/>
        <v>25.666215495592748</v>
      </c>
      <c r="AE61">
        <f t="shared" si="25"/>
        <v>96.206908584327095</v>
      </c>
      <c r="AF61">
        <f t="shared" si="26"/>
        <v>10.823277215736798</v>
      </c>
      <c r="AG61">
        <f t="shared" si="27"/>
        <v>48.103454292163548</v>
      </c>
      <c r="AH61">
        <f t="shared" si="28"/>
        <v>173.24695459525105</v>
      </c>
      <c r="AI61">
        <f t="shared" si="29"/>
        <v>0.01</v>
      </c>
    </row>
    <row r="62" spans="5:35" x14ac:dyDescent="0.25">
      <c r="E62">
        <f t="shared" si="20"/>
        <v>5.5970229488434597</v>
      </c>
      <c r="F62">
        <f t="shared" si="0"/>
        <v>2.7916910378762125</v>
      </c>
      <c r="G62">
        <f t="shared" si="1"/>
        <v>1.7086417484099663</v>
      </c>
      <c r="H62">
        <f t="shared" si="2"/>
        <v>17.662921165566413</v>
      </c>
      <c r="I62">
        <f t="shared" si="3"/>
        <v>1.9870786311262214</v>
      </c>
      <c r="J62">
        <f t="shared" si="4"/>
        <v>8.8314605827832064</v>
      </c>
      <c r="K62">
        <f t="shared" si="5"/>
        <v>11.533331801767272</v>
      </c>
      <c r="L62">
        <v>61</v>
      </c>
      <c r="M62">
        <f t="shared" si="21"/>
        <v>1.9870786311262214</v>
      </c>
      <c r="N62">
        <f t="shared" si="6"/>
        <v>16.732325866795684</v>
      </c>
      <c r="O62">
        <f t="shared" si="7"/>
        <v>48.372650234781133</v>
      </c>
      <c r="P62">
        <f t="shared" si="8"/>
        <v>207.93039208239566</v>
      </c>
      <c r="Q62">
        <f t="shared" si="9"/>
        <v>23.39216910926951</v>
      </c>
      <c r="R62">
        <f t="shared" si="10"/>
        <v>103.96519604119783</v>
      </c>
      <c r="S62">
        <f t="shared" si="11"/>
        <v>326.51538908477261</v>
      </c>
      <c r="T62">
        <f t="shared" si="12"/>
        <v>23.39216910926951</v>
      </c>
      <c r="U62">
        <f t="shared" si="22"/>
        <v>0.90834834928204611</v>
      </c>
      <c r="V62">
        <f t="shared" si="13"/>
        <v>1.7482563847699175</v>
      </c>
      <c r="W62">
        <f t="shared" si="14"/>
        <v>5.2165138083104692</v>
      </c>
      <c r="X62">
        <f t="shared" si="15"/>
        <v>22.040005832823145</v>
      </c>
      <c r="Y62">
        <f t="shared" si="16"/>
        <v>2.4795006561926036</v>
      </c>
      <c r="Z62">
        <f t="shared" si="17"/>
        <v>11.020002916411572</v>
      </c>
      <c r="AA62">
        <f t="shared" si="18"/>
        <v>35.211468206095667</v>
      </c>
      <c r="AB62">
        <f t="shared" si="19"/>
        <v>1E-4</v>
      </c>
      <c r="AC62">
        <f t="shared" si="23"/>
        <v>6.7239352955829803</v>
      </c>
      <c r="AD62">
        <f t="shared" si="24"/>
        <v>24.769041393704146</v>
      </c>
      <c r="AE62">
        <f t="shared" si="25"/>
        <v>93.400856748730803</v>
      </c>
      <c r="AF62">
        <f t="shared" si="26"/>
        <v>10.507596384232215</v>
      </c>
      <c r="AG62">
        <f t="shared" si="27"/>
        <v>46.700428374365401</v>
      </c>
      <c r="AH62">
        <f t="shared" si="28"/>
        <v>167.19102940750301</v>
      </c>
      <c r="AI62">
        <f t="shared" si="29"/>
        <v>0.01</v>
      </c>
    </row>
    <row r="63" spans="5:35" x14ac:dyDescent="0.25">
      <c r="E63">
        <f t="shared" si="20"/>
        <v>5.7649336373087641</v>
      </c>
      <c r="F63">
        <f t="shared" si="0"/>
        <v>2.7451092314472478</v>
      </c>
      <c r="G63">
        <f t="shared" si="1"/>
        <v>1.6078208760963675</v>
      </c>
      <c r="H63">
        <f t="shared" si="2"/>
        <v>17.046963921579071</v>
      </c>
      <c r="I63">
        <f t="shared" si="3"/>
        <v>1.9177834411776455</v>
      </c>
      <c r="J63">
        <f t="shared" si="4"/>
        <v>8.5234819607895353</v>
      </c>
      <c r="K63">
        <f t="shared" si="5"/>
        <v>10.852790913650479</v>
      </c>
      <c r="L63">
        <v>62</v>
      </c>
      <c r="M63">
        <f t="shared" si="21"/>
        <v>1.9177834411776455</v>
      </c>
      <c r="N63">
        <f t="shared" si="6"/>
        <v>15.970396620707751</v>
      </c>
      <c r="O63">
        <f t="shared" si="7"/>
        <v>44.564640888042504</v>
      </c>
      <c r="P63">
        <f t="shared" si="8"/>
        <v>195.30305997709465</v>
      </c>
      <c r="Q63">
        <f t="shared" si="9"/>
        <v>21.971594247423145</v>
      </c>
      <c r="R63">
        <f t="shared" si="10"/>
        <v>97.651529988547324</v>
      </c>
      <c r="S63">
        <f t="shared" si="11"/>
        <v>300.8113259942869</v>
      </c>
      <c r="T63">
        <f t="shared" si="12"/>
        <v>21.971594247423145</v>
      </c>
      <c r="U63">
        <f t="shared" si="22"/>
        <v>0.91743183277486662</v>
      </c>
      <c r="V63">
        <f t="shared" si="13"/>
        <v>1.719425003699057</v>
      </c>
      <c r="W63">
        <f t="shared" si="14"/>
        <v>5.0702982675825217</v>
      </c>
      <c r="X63">
        <f t="shared" si="15"/>
        <v>21.560406498404177</v>
      </c>
      <c r="Y63">
        <f t="shared" si="16"/>
        <v>2.42554573107047</v>
      </c>
      <c r="Z63">
        <f t="shared" si="17"/>
        <v>10.780203249202089</v>
      </c>
      <c r="AA63">
        <f t="shared" si="18"/>
        <v>34.224513306182025</v>
      </c>
      <c r="AB63">
        <f t="shared" si="19"/>
        <v>1E-4</v>
      </c>
      <c r="AC63">
        <f t="shared" si="23"/>
        <v>6.5657263515337094</v>
      </c>
      <c r="AD63">
        <f t="shared" si="24"/>
        <v>23.916234991887151</v>
      </c>
      <c r="AE63">
        <f t="shared" si="25"/>
        <v>90.728140742034299</v>
      </c>
      <c r="AF63">
        <f t="shared" si="26"/>
        <v>10.20691583347886</v>
      </c>
      <c r="AG63">
        <f t="shared" si="27"/>
        <v>45.364070371017149</v>
      </c>
      <c r="AH63">
        <f t="shared" si="28"/>
        <v>161.4345861952383</v>
      </c>
      <c r="AI63">
        <f t="shared" si="29"/>
        <v>0.01</v>
      </c>
    </row>
    <row r="64" spans="5:35" x14ac:dyDescent="0.25">
      <c r="E64">
        <f t="shared" si="20"/>
        <v>5.9378816464280275</v>
      </c>
      <c r="F64">
        <f t="shared" si="0"/>
        <v>2.7000302241041663</v>
      </c>
      <c r="G64">
        <f t="shared" si="1"/>
        <v>1.5131008597018616</v>
      </c>
      <c r="H64">
        <f t="shared" si="2"/>
        <v>16.455883643265665</v>
      </c>
      <c r="I64">
        <f t="shared" si="3"/>
        <v>1.8512869098673872</v>
      </c>
      <c r="J64">
        <f t="shared" si="4"/>
        <v>8.2279418216328324</v>
      </c>
      <c r="K64">
        <f t="shared" si="5"/>
        <v>10.213430802987565</v>
      </c>
      <c r="L64">
        <v>63</v>
      </c>
      <c r="M64">
        <f t="shared" si="21"/>
        <v>1.8512869098673872</v>
      </c>
      <c r="N64">
        <f t="shared" si="6"/>
        <v>15.274442757815509</v>
      </c>
      <c r="O64">
        <f t="shared" si="7"/>
        <v>41.129635419121087</v>
      </c>
      <c r="P64">
        <f t="shared" si="8"/>
        <v>183.80590676841922</v>
      </c>
      <c r="Q64">
        <f t="shared" si="9"/>
        <v>20.678164511447164</v>
      </c>
      <c r="R64">
        <f t="shared" si="10"/>
        <v>91.90295338420961</v>
      </c>
      <c r="S64">
        <f t="shared" si="11"/>
        <v>277.62503907906734</v>
      </c>
      <c r="T64">
        <f t="shared" si="12"/>
        <v>20.678164511447164</v>
      </c>
      <c r="U64">
        <f t="shared" si="22"/>
        <v>0.92660615110261524</v>
      </c>
      <c r="V64">
        <f t="shared" si="13"/>
        <v>1.6915236784129595</v>
      </c>
      <c r="W64">
        <f t="shared" si="14"/>
        <v>4.9293544695537985</v>
      </c>
      <c r="X64">
        <f t="shared" si="15"/>
        <v>21.096742221691859</v>
      </c>
      <c r="Y64">
        <f t="shared" si="16"/>
        <v>2.373383499940334</v>
      </c>
      <c r="Z64">
        <f t="shared" si="17"/>
        <v>10.548371110845929</v>
      </c>
      <c r="AA64">
        <f t="shared" si="18"/>
        <v>33.273142669488145</v>
      </c>
      <c r="AB64">
        <f t="shared" si="19"/>
        <v>1E-4</v>
      </c>
      <c r="AC64">
        <f t="shared" si="23"/>
        <v>6.4147619742553061</v>
      </c>
      <c r="AD64">
        <f t="shared" si="24"/>
        <v>23.104741367831416</v>
      </c>
      <c r="AE64">
        <f t="shared" si="25"/>
        <v>88.179600729416237</v>
      </c>
      <c r="AF64">
        <f t="shared" si="26"/>
        <v>9.9202050820593257</v>
      </c>
      <c r="AG64">
        <f t="shared" si="27"/>
        <v>44.089800364708118</v>
      </c>
      <c r="AH64">
        <f t="shared" si="28"/>
        <v>155.95700423286206</v>
      </c>
      <c r="AI64">
        <f t="shared" si="29"/>
        <v>0.01</v>
      </c>
    </row>
    <row r="65" spans="5:35" x14ac:dyDescent="0.25">
      <c r="E65">
        <f t="shared" si="20"/>
        <v>6.1160180958208681</v>
      </c>
      <c r="F65">
        <f t="shared" si="0"/>
        <v>2.6563824539850329</v>
      </c>
      <c r="G65">
        <f t="shared" si="1"/>
        <v>1.424095209680883</v>
      </c>
      <c r="H65">
        <f t="shared" si="2"/>
        <v>15.888446087016208</v>
      </c>
      <c r="I65">
        <f t="shared" si="3"/>
        <v>1.7874501847893234</v>
      </c>
      <c r="J65">
        <f t="shared" si="4"/>
        <v>7.9442230435081038</v>
      </c>
      <c r="K65">
        <f t="shared" si="5"/>
        <v>9.6126426653459589</v>
      </c>
      <c r="L65">
        <v>64</v>
      </c>
      <c r="M65">
        <f t="shared" si="21"/>
        <v>1.7874501847893234</v>
      </c>
      <c r="N65">
        <f t="shared" si="6"/>
        <v>14.63625078875746</v>
      </c>
      <c r="O65">
        <f t="shared" si="7"/>
        <v>38.02056845021923</v>
      </c>
      <c r="P65">
        <f t="shared" si="8"/>
        <v>173.29809500279723</v>
      </c>
      <c r="Q65">
        <f t="shared" si="9"/>
        <v>19.49603568781469</v>
      </c>
      <c r="R65">
        <f t="shared" si="10"/>
        <v>86.649047501398613</v>
      </c>
      <c r="S65">
        <f t="shared" si="11"/>
        <v>256.63883703897977</v>
      </c>
      <c r="T65">
        <f t="shared" si="12"/>
        <v>19.49603568781469</v>
      </c>
      <c r="U65">
        <f t="shared" si="22"/>
        <v>0.9358722126136414</v>
      </c>
      <c r="V65">
        <f t="shared" si="13"/>
        <v>1.6645081205408772</v>
      </c>
      <c r="W65">
        <f t="shared" si="14"/>
        <v>4.7934287970440099</v>
      </c>
      <c r="X65">
        <f t="shared" si="15"/>
        <v>20.648253638452584</v>
      </c>
      <c r="Y65">
        <f t="shared" si="16"/>
        <v>2.3229285343259156</v>
      </c>
      <c r="Z65">
        <f t="shared" si="17"/>
        <v>10.324126819226292</v>
      </c>
      <c r="AA65">
        <f t="shared" si="18"/>
        <v>32.355644380047067</v>
      </c>
      <c r="AB65">
        <f t="shared" si="19"/>
        <v>1E-4</v>
      </c>
      <c r="AC65">
        <f t="shared" si="23"/>
        <v>6.270555699107887</v>
      </c>
      <c r="AD65">
        <f t="shared" si="24"/>
        <v>22.331778968539734</v>
      </c>
      <c r="AE65">
        <f t="shared" si="25"/>
        <v>85.746896940024769</v>
      </c>
      <c r="AF65">
        <f t="shared" si="26"/>
        <v>9.646525905752787</v>
      </c>
      <c r="AG65">
        <f t="shared" si="27"/>
        <v>42.873448470012384</v>
      </c>
      <c r="AH65">
        <f t="shared" si="28"/>
        <v>150.73950803764319</v>
      </c>
      <c r="AI65">
        <f t="shared" si="29"/>
        <v>0.01</v>
      </c>
    </row>
    <row r="66" spans="5:35" x14ac:dyDescent="0.25">
      <c r="E66">
        <f t="shared" si="20"/>
        <v>6.2994986386954945</v>
      </c>
      <c r="F66">
        <f t="shared" si="0"/>
        <v>2.6140988318443297</v>
      </c>
      <c r="G66">
        <f t="shared" si="1"/>
        <v>1.3404438917553061</v>
      </c>
      <c r="H66">
        <f t="shared" si="2"/>
        <v>15.343493950307025</v>
      </c>
      <c r="I66">
        <f t="shared" si="3"/>
        <v>1.7261430694095405</v>
      </c>
      <c r="J66">
        <f t="shared" si="4"/>
        <v>7.6717469751535123</v>
      </c>
      <c r="K66">
        <f t="shared" si="5"/>
        <v>9.0479962693483156</v>
      </c>
      <c r="L66">
        <v>65</v>
      </c>
      <c r="M66">
        <f t="shared" si="21"/>
        <v>1.7261430694095405</v>
      </c>
      <c r="N66">
        <f t="shared" si="6"/>
        <v>14.048916267067845</v>
      </c>
      <c r="O66">
        <f t="shared" si="7"/>
        <v>35.197860586618717</v>
      </c>
      <c r="P66">
        <f t="shared" si="8"/>
        <v>163.66122830512728</v>
      </c>
      <c r="Q66">
        <f t="shared" si="9"/>
        <v>18.41188818432682</v>
      </c>
      <c r="R66">
        <f t="shared" si="10"/>
        <v>81.830614152563641</v>
      </c>
      <c r="S66">
        <f t="shared" si="11"/>
        <v>237.58555895967635</v>
      </c>
      <c r="T66">
        <f t="shared" si="12"/>
        <v>18.41188818432682</v>
      </c>
      <c r="U66">
        <f t="shared" si="22"/>
        <v>0.94523093473977782</v>
      </c>
      <c r="V66">
        <f t="shared" si="13"/>
        <v>1.6383368097353264</v>
      </c>
      <c r="W66">
        <f t="shared" si="14"/>
        <v>4.6622834572160992</v>
      </c>
      <c r="X66">
        <f t="shared" si="15"/>
        <v>20.214228836682679</v>
      </c>
      <c r="Y66">
        <f t="shared" si="16"/>
        <v>2.2741007441268009</v>
      </c>
      <c r="Z66">
        <f t="shared" si="17"/>
        <v>10.10711441834134</v>
      </c>
      <c r="AA66">
        <f t="shared" si="18"/>
        <v>31.470413336208665</v>
      </c>
      <c r="AB66">
        <f t="shared" si="19"/>
        <v>1E-4</v>
      </c>
      <c r="AC66">
        <f t="shared" si="23"/>
        <v>6.1326636620075305</v>
      </c>
      <c r="AD66">
        <f t="shared" si="24"/>
        <v>21.594809687935516</v>
      </c>
      <c r="AE66">
        <f t="shared" si="25"/>
        <v>83.422419899040506</v>
      </c>
      <c r="AF66">
        <f t="shared" si="26"/>
        <v>9.3850222386420565</v>
      </c>
      <c r="AG66">
        <f t="shared" si="27"/>
        <v>41.711209949520253</v>
      </c>
      <c r="AH66">
        <f t="shared" si="28"/>
        <v>145.76496539356472</v>
      </c>
      <c r="AI66">
        <f t="shared" si="29"/>
        <v>0.01</v>
      </c>
    </row>
    <row r="67" spans="5:35" x14ac:dyDescent="0.25">
      <c r="E67">
        <f t="shared" si="20"/>
        <v>6.4884835978563595</v>
      </c>
      <c r="F67">
        <f t="shared" ref="F67:F130" si="30">((0.14)/(($E67/$B$5)^0.02-1))*$B$4</f>
        <v>2.5731163970054056</v>
      </c>
      <c r="G67">
        <f t="shared" ref="G67:G130" si="31">((80)/(($E67/$B$5)^2-1))*$B$4</f>
        <v>1.261811294296584</v>
      </c>
      <c r="H67">
        <f t="shared" ref="H67:H130" si="32">((120)/(($E67/$B$5)-1))*$B$4</f>
        <v>14.819940972971125</v>
      </c>
      <c r="I67">
        <f t="shared" ref="I67:I130" si="33">((13.5)/(($E67/$B$5)-1))*$B$4</f>
        <v>1.6672433594592515</v>
      </c>
      <c r="J67">
        <f t="shared" ref="J67:J130" si="34">((60)/(($E67/$B$5)-1))*$B$4</f>
        <v>7.4099704864855624</v>
      </c>
      <c r="K67">
        <f t="shared" ref="K67:K130" si="35">((540)/(($E67/$B$5)^2-1))*$B$4</f>
        <v>8.5172262365019424</v>
      </c>
      <c r="L67">
        <v>66</v>
      </c>
      <c r="M67">
        <f t="shared" si="21"/>
        <v>1.6672433594592515</v>
      </c>
      <c r="N67">
        <f t="shared" ref="N67:N130" si="36">((0.14)/(($E67/$B$28)^0.02-1))*$B$27</f>
        <v>13.506592992512804</v>
      </c>
      <c r="O67">
        <f t="shared" ref="O67:O130" si="37">((80)/(($E67/$B$28)^2-1))*$B$27</f>
        <v>32.627985372638108</v>
      </c>
      <c r="P67">
        <f t="shared" ref="P67:P130" si="38">((120)/(($E67/$B$28)-1))*$B$27</f>
        <v>154.79505201968701</v>
      </c>
      <c r="Q67">
        <f t="shared" ref="Q67:Q130" si="39">((13.5)/(($E67/$B$28)-1))*$B$27</f>
        <v>17.414443352214786</v>
      </c>
      <c r="R67">
        <f t="shared" ref="R67:R130" si="40">((60)/(($E67/$B$28)-1))*$B$27</f>
        <v>77.397526009843503</v>
      </c>
      <c r="S67">
        <f t="shared" ref="S67:S130" si="41">((540)/(($E67/$B$28)^2-1))*$B$27</f>
        <v>220.23890126530725</v>
      </c>
      <c r="T67">
        <f t="shared" ref="T67:T130" si="42">IF($E67&lt;$B$31,HLOOKUP($B$29,$N$2:$S$242,$L67,FALSE),$B$30)</f>
        <v>17.414443352214786</v>
      </c>
      <c r="U67">
        <f t="shared" si="22"/>
        <v>0.95468324408717564</v>
      </c>
      <c r="V67">
        <f t="shared" ref="V67:V130" si="43">((0.14)/(($U67/$B$18)^0.02-1))*$B$17</f>
        <v>1.6129707807470481</v>
      </c>
      <c r="W67">
        <f t="shared" ref="W67:W130" si="44">((80)/(($U67/$B$18)^2-1))*$B$17</f>
        <v>4.5356952649153151</v>
      </c>
      <c r="X67">
        <f t="shared" ref="X67:X130" si="45">((120)/(($U67/$B$18)-1))*$B$17</f>
        <v>19.793999706473556</v>
      </c>
      <c r="Y67">
        <f t="shared" ref="Y67:Y130" si="46">((13.5)/(($U67/$B$18)-1))*$B$17</f>
        <v>2.2268249669782754</v>
      </c>
      <c r="Z67">
        <f t="shared" ref="Z67:Z130" si="47">((60)/(($U67/$B$18)-1))*$B$17</f>
        <v>9.8969998532367782</v>
      </c>
      <c r="AA67">
        <f t="shared" ref="AA67:AA130" si="48">((540)/(($U67/$B$18)^2-1))*$B$17</f>
        <v>30.615943038178379</v>
      </c>
      <c r="AB67">
        <f t="shared" ref="AB67:AB130" si="49">IF($U67&lt;$B$21,HLOOKUP($B$19,$V$2:$AA$242,$L67,FALSE),$B$20)</f>
        <v>1E-4</v>
      </c>
      <c r="AC67">
        <f t="shared" si="23"/>
        <v>6.0006800360757264</v>
      </c>
      <c r="AD67">
        <f t="shared" si="24"/>
        <v>20.891512790824333</v>
      </c>
      <c r="AE67">
        <f t="shared" si="25"/>
        <v>81.199212198818756</v>
      </c>
      <c r="AF67">
        <f t="shared" si="26"/>
        <v>9.1349113723671085</v>
      </c>
      <c r="AG67">
        <f t="shared" si="27"/>
        <v>40.599606099409378</v>
      </c>
      <c r="AH67">
        <f t="shared" si="28"/>
        <v>141.01771133806423</v>
      </c>
      <c r="AI67">
        <f t="shared" si="29"/>
        <v>0.01</v>
      </c>
    </row>
    <row r="68" spans="5:35" x14ac:dyDescent="0.25">
      <c r="E68">
        <f t="shared" ref="E68:E131" si="50">E67*(1+$B$15)</f>
        <v>6.6831381057920503</v>
      </c>
      <c r="F68">
        <f t="shared" si="30"/>
        <v>2.533376004590278</v>
      </c>
      <c r="G68">
        <f t="shared" si="31"/>
        <v>1.1878843761916873</v>
      </c>
      <c r="H68">
        <f t="shared" si="32"/>
        <v>14.316766574500718</v>
      </c>
      <c r="I68">
        <f t="shared" si="33"/>
        <v>1.6106362396313307</v>
      </c>
      <c r="J68">
        <f t="shared" si="34"/>
        <v>7.1583832872503592</v>
      </c>
      <c r="K68">
        <f t="shared" si="35"/>
        <v>8.018219539293888</v>
      </c>
      <c r="L68">
        <v>67</v>
      </c>
      <c r="M68">
        <f t="shared" ref="M68:M131" si="51">IF($E68&lt;$B$8,HLOOKUP($B$6,$F$2:$K$242,L68,FALSE),$B$7)</f>
        <v>1.6106362396313307</v>
      </c>
      <c r="N68">
        <f t="shared" si="36"/>
        <v>13.004297746089563</v>
      </c>
      <c r="O68">
        <f t="shared" si="37"/>
        <v>30.282353555279833</v>
      </c>
      <c r="P68">
        <f t="shared" si="38"/>
        <v>146.61410582209876</v>
      </c>
      <c r="Q68">
        <f t="shared" si="39"/>
        <v>16.494086904986112</v>
      </c>
      <c r="R68">
        <f t="shared" si="40"/>
        <v>73.307052911049382</v>
      </c>
      <c r="S68">
        <f t="shared" si="41"/>
        <v>204.40588649813887</v>
      </c>
      <c r="T68">
        <f t="shared" si="42"/>
        <v>16.494086904986112</v>
      </c>
      <c r="U68">
        <f t="shared" ref="U68:U131" si="52">U67*(1+$B$23)</f>
        <v>0.96423007652804738</v>
      </c>
      <c r="V68">
        <f t="shared" si="43"/>
        <v>1.5883734298570744</v>
      </c>
      <c r="W68">
        <f t="shared" si="44"/>
        <v>4.413454536616217</v>
      </c>
      <c r="X68">
        <f t="shared" si="45"/>
        <v>19.386938621707863</v>
      </c>
      <c r="Y68">
        <f t="shared" si="46"/>
        <v>2.1810305949421349</v>
      </c>
      <c r="Z68">
        <f t="shared" si="47"/>
        <v>9.6934693108539314</v>
      </c>
      <c r="AA68">
        <f t="shared" si="48"/>
        <v>29.790818122159465</v>
      </c>
      <c r="AB68">
        <f t="shared" si="49"/>
        <v>1E-4</v>
      </c>
      <c r="AC68">
        <f t="shared" ref="AC68:AC131" si="53">((0.14)/(($U68/$B$34)^0.02-1))*$B$33</f>
        <v>5.8742330425730813</v>
      </c>
      <c r="AD68">
        <f t="shared" ref="AD68:AD131" si="54">((80)/(($U68/$B$34)^2-1))*$B$33</f>
        <v>20.219762118480205</v>
      </c>
      <c r="AE68">
        <f t="shared" ref="AE68:AE131" si="55">((120)/(($U68/$B$34)-1))*$B$33</f>
        <v>79.070900114923006</v>
      </c>
      <c r="AF68">
        <f t="shared" ref="AF68:AF131" si="56">((13.5)/(($U68/$B$34)-1))*$B$33</f>
        <v>8.8954762629288382</v>
      </c>
      <c r="AG68">
        <f t="shared" ref="AG68:AG131" si="57">((60)/(($U68/$B$34)-1))*$B$33</f>
        <v>39.535450057461503</v>
      </c>
      <c r="AH68">
        <f t="shared" ref="AH68:AH131" si="58">((540)/(($U68/$B$34)^2-1))*$B$33</f>
        <v>136.48339429974138</v>
      </c>
      <c r="AI68">
        <f t="shared" ref="AI68:AI131" si="59">IF($U68&lt;$B$37,HLOOKUP($B$35,$AC$2:$AH$242,$L68,FALSE),$B$36)</f>
        <v>0.01</v>
      </c>
    </row>
    <row r="69" spans="5:35" x14ac:dyDescent="0.25">
      <c r="E69">
        <f t="shared" si="50"/>
        <v>6.8836322489658119</v>
      </c>
      <c r="F69">
        <f t="shared" si="30"/>
        <v>2.4948220407583528</v>
      </c>
      <c r="G69">
        <f t="shared" si="31"/>
        <v>1.1183709765912127</v>
      </c>
      <c r="H69">
        <f t="shared" si="32"/>
        <v>13.833010971366811</v>
      </c>
      <c r="I69">
        <f t="shared" si="33"/>
        <v>1.5562137342787661</v>
      </c>
      <c r="J69">
        <f t="shared" si="34"/>
        <v>6.9165054856834054</v>
      </c>
      <c r="K69">
        <f t="shared" si="35"/>
        <v>7.5490040919906845</v>
      </c>
      <c r="L69">
        <v>68</v>
      </c>
      <c r="M69">
        <f t="shared" si="51"/>
        <v>1.5562137342787661</v>
      </c>
      <c r="N69">
        <f t="shared" si="36"/>
        <v>12.537756722042058</v>
      </c>
      <c r="O69">
        <f t="shared" si="37"/>
        <v>28.13643560069486</v>
      </c>
      <c r="P69">
        <f t="shared" si="38"/>
        <v>139.04509113698876</v>
      </c>
      <c r="Q69">
        <f t="shared" si="39"/>
        <v>15.642572752911235</v>
      </c>
      <c r="R69">
        <f t="shared" si="40"/>
        <v>69.52254556849438</v>
      </c>
      <c r="S69">
        <f t="shared" si="41"/>
        <v>189.92094030469033</v>
      </c>
      <c r="T69">
        <f t="shared" si="42"/>
        <v>15.642572752911235</v>
      </c>
      <c r="U69">
        <f t="shared" si="52"/>
        <v>0.97387237729332787</v>
      </c>
      <c r="V69">
        <f t="shared" si="43"/>
        <v>1.5645103386430956</v>
      </c>
      <c r="W69">
        <f t="shared" si="44"/>
        <v>4.2953640834212887</v>
      </c>
      <c r="X69">
        <f t="shared" si="45"/>
        <v>18.992455418917537</v>
      </c>
      <c r="Y69">
        <f t="shared" si="46"/>
        <v>2.1366512346282227</v>
      </c>
      <c r="Z69">
        <f t="shared" si="47"/>
        <v>9.4962277094587684</v>
      </c>
      <c r="AA69">
        <f t="shared" si="48"/>
        <v>28.9937075630937</v>
      </c>
      <c r="AB69">
        <f t="shared" si="49"/>
        <v>1E-4</v>
      </c>
      <c r="AC69">
        <f t="shared" si="53"/>
        <v>5.7529814535339678</v>
      </c>
      <c r="AD69">
        <f t="shared" si="54"/>
        <v>19.577606103939573</v>
      </c>
      <c r="AE69">
        <f t="shared" si="55"/>
        <v>77.031633651299359</v>
      </c>
      <c r="AF69">
        <f t="shared" si="56"/>
        <v>8.6660587857711757</v>
      </c>
      <c r="AG69">
        <f t="shared" si="57"/>
        <v>38.515816825649679</v>
      </c>
      <c r="AH69">
        <f t="shared" si="58"/>
        <v>132.14884120159212</v>
      </c>
      <c r="AI69">
        <f t="shared" si="59"/>
        <v>0.01</v>
      </c>
    </row>
    <row r="70" spans="5:35" x14ac:dyDescent="0.25">
      <c r="E70">
        <f t="shared" si="50"/>
        <v>7.0901412164347866</v>
      </c>
      <c r="F70">
        <f t="shared" si="30"/>
        <v>2.4574021630714844</v>
      </c>
      <c r="G70">
        <f t="shared" si="31"/>
        <v>1.0529982701237366</v>
      </c>
      <c r="H70">
        <f t="shared" si="32"/>
        <v>13.367770724931136</v>
      </c>
      <c r="I70">
        <f t="shared" si="33"/>
        <v>1.5038742065547528</v>
      </c>
      <c r="J70">
        <f t="shared" si="34"/>
        <v>6.6838853624655679</v>
      </c>
      <c r="K70">
        <f t="shared" si="35"/>
        <v>7.107738323335222</v>
      </c>
      <c r="L70">
        <v>69</v>
      </c>
      <c r="M70">
        <f t="shared" si="51"/>
        <v>1.5038742065547528</v>
      </c>
      <c r="N70">
        <f t="shared" si="36"/>
        <v>12.103283625888384</v>
      </c>
      <c r="O70">
        <f t="shared" si="37"/>
        <v>26.169065143745932</v>
      </c>
      <c r="P70">
        <f t="shared" si="38"/>
        <v>132.02478140123887</v>
      </c>
      <c r="Q70">
        <f t="shared" si="39"/>
        <v>14.852787907639373</v>
      </c>
      <c r="R70">
        <f t="shared" si="40"/>
        <v>66.012390700619434</v>
      </c>
      <c r="S70">
        <f t="shared" si="41"/>
        <v>176.64118972028501</v>
      </c>
      <c r="T70">
        <f t="shared" si="42"/>
        <v>14.852787907639373</v>
      </c>
      <c r="U70">
        <f t="shared" si="52"/>
        <v>0.98361110106626115</v>
      </c>
      <c r="V70">
        <f t="shared" si="43"/>
        <v>1.5413491132958319</v>
      </c>
      <c r="W70">
        <f t="shared" si="44"/>
        <v>4.1812382929144603</v>
      </c>
      <c r="X70">
        <f t="shared" si="45"/>
        <v>18.609994642713712</v>
      </c>
      <c r="Y70">
        <f t="shared" si="46"/>
        <v>2.0936243973052928</v>
      </c>
      <c r="Z70">
        <f t="shared" si="47"/>
        <v>9.304997321356856</v>
      </c>
      <c r="AA70">
        <f t="shared" si="48"/>
        <v>28.22335847717261</v>
      </c>
      <c r="AB70">
        <f t="shared" si="49"/>
        <v>1E-4</v>
      </c>
      <c r="AC70">
        <f t="shared" si="53"/>
        <v>5.636611516814523</v>
      </c>
      <c r="AD70">
        <f t="shared" si="54"/>
        <v>18.963250201084204</v>
      </c>
      <c r="AE70">
        <f t="shared" si="55"/>
        <v>75.076033826834887</v>
      </c>
      <c r="AF70">
        <f t="shared" si="56"/>
        <v>8.4460538055189254</v>
      </c>
      <c r="AG70">
        <f t="shared" si="57"/>
        <v>37.538016913417444</v>
      </c>
      <c r="AH70">
        <f t="shared" si="58"/>
        <v>128.00193885731838</v>
      </c>
      <c r="AI70">
        <f t="shared" si="59"/>
        <v>0.01</v>
      </c>
    </row>
    <row r="71" spans="5:35" x14ac:dyDescent="0.25">
      <c r="E71">
        <f t="shared" si="50"/>
        <v>7.3028454529278299</v>
      </c>
      <c r="F71">
        <f t="shared" si="30"/>
        <v>2.4210670634357192</v>
      </c>
      <c r="G71">
        <f t="shared" si="31"/>
        <v>0.99151135306020921</v>
      </c>
      <c r="H71">
        <f t="shared" si="32"/>
        <v>12.92019467625674</v>
      </c>
      <c r="I71">
        <f t="shared" si="33"/>
        <v>1.4535219010788833</v>
      </c>
      <c r="J71">
        <f t="shared" si="34"/>
        <v>6.4600973381283699</v>
      </c>
      <c r="K71">
        <f t="shared" si="35"/>
        <v>6.6927016331564131</v>
      </c>
      <c r="L71">
        <v>70</v>
      </c>
      <c r="M71">
        <f t="shared" si="51"/>
        <v>1.4535219010788833</v>
      </c>
      <c r="N71">
        <f t="shared" si="36"/>
        <v>11.697682073707785</v>
      </c>
      <c r="O71">
        <f t="shared" si="37"/>
        <v>24.361881286737106</v>
      </c>
      <c r="P71">
        <f t="shared" si="38"/>
        <v>125.4983489199135</v>
      </c>
      <c r="Q71">
        <f t="shared" si="39"/>
        <v>14.11856425349027</v>
      </c>
      <c r="R71">
        <f t="shared" si="40"/>
        <v>62.749174459956748</v>
      </c>
      <c r="S71">
        <f t="shared" si="41"/>
        <v>164.44269868547545</v>
      </c>
      <c r="T71">
        <f t="shared" si="42"/>
        <v>14.11856425349027</v>
      </c>
      <c r="U71">
        <f t="shared" si="52"/>
        <v>0.99344721207692377</v>
      </c>
      <c r="V71">
        <f t="shared" si="43"/>
        <v>1.5188592379080945</v>
      </c>
      <c r="W71">
        <f t="shared" si="44"/>
        <v>4.0709022908550043</v>
      </c>
      <c r="X71">
        <f t="shared" si="45"/>
        <v>18.239033030744906</v>
      </c>
      <c r="Y71">
        <f t="shared" si="46"/>
        <v>2.0518912159588019</v>
      </c>
      <c r="Z71">
        <f t="shared" si="47"/>
        <v>9.1195165153724531</v>
      </c>
      <c r="AA71">
        <f t="shared" si="48"/>
        <v>27.478590463271285</v>
      </c>
      <c r="AB71">
        <f t="shared" si="49"/>
        <v>1E-4</v>
      </c>
      <c r="AC71">
        <f t="shared" si="53"/>
        <v>5.5248342452071642</v>
      </c>
      <c r="AD71">
        <f t="shared" si="54"/>
        <v>18.375041394095046</v>
      </c>
      <c r="AE71">
        <f t="shared" si="55"/>
        <v>73.19914620304705</v>
      </c>
      <c r="AF71">
        <f t="shared" si="56"/>
        <v>8.2349039478427937</v>
      </c>
      <c r="AG71">
        <f t="shared" si="57"/>
        <v>36.599573101523525</v>
      </c>
      <c r="AH71">
        <f t="shared" si="58"/>
        <v>124.03152941014156</v>
      </c>
      <c r="AI71">
        <f t="shared" si="59"/>
        <v>0.01</v>
      </c>
    </row>
    <row r="72" spans="5:35" x14ac:dyDescent="0.25">
      <c r="E72">
        <f t="shared" si="50"/>
        <v>7.5219308165156651</v>
      </c>
      <c r="F72">
        <f t="shared" si="30"/>
        <v>2.385770251362485</v>
      </c>
      <c r="G72">
        <f t="shared" si="31"/>
        <v>0.93367194756683969</v>
      </c>
      <c r="H72">
        <f t="shared" si="32"/>
        <v>12.489480229117435</v>
      </c>
      <c r="I72">
        <f t="shared" si="33"/>
        <v>1.4050665257757113</v>
      </c>
      <c r="J72">
        <f t="shared" si="34"/>
        <v>6.2447401145587174</v>
      </c>
      <c r="K72">
        <f t="shared" si="35"/>
        <v>6.3022856460761689</v>
      </c>
      <c r="L72">
        <v>71</v>
      </c>
      <c r="M72">
        <f t="shared" si="51"/>
        <v>1.4050665257757113</v>
      </c>
      <c r="N72">
        <f t="shared" si="36"/>
        <v>11.318166822542832</v>
      </c>
      <c r="O72">
        <f t="shared" si="37"/>
        <v>22.698878489781052</v>
      </c>
      <c r="P72">
        <f t="shared" si="38"/>
        <v>119.41801454098589</v>
      </c>
      <c r="Q72">
        <f t="shared" si="39"/>
        <v>13.434526635860914</v>
      </c>
      <c r="R72">
        <f t="shared" si="40"/>
        <v>59.709007270492947</v>
      </c>
      <c r="S72">
        <f t="shared" si="41"/>
        <v>153.2174298060221</v>
      </c>
      <c r="T72">
        <f t="shared" si="42"/>
        <v>13.434526635860914</v>
      </c>
      <c r="U72">
        <f t="shared" si="52"/>
        <v>1.003381684197693</v>
      </c>
      <c r="V72">
        <f t="shared" si="43"/>
        <v>1.4970119403387014</v>
      </c>
      <c r="W72">
        <f t="shared" si="44"/>
        <v>3.9641911747275493</v>
      </c>
      <c r="X72">
        <f t="shared" si="45"/>
        <v>17.879077214230605</v>
      </c>
      <c r="Y72">
        <f t="shared" si="46"/>
        <v>2.0113961866009431</v>
      </c>
      <c r="Z72">
        <f t="shared" si="47"/>
        <v>8.9395386071153027</v>
      </c>
      <c r="AA72">
        <f t="shared" si="48"/>
        <v>26.758290429410959</v>
      </c>
      <c r="AB72">
        <f t="shared" si="49"/>
        <v>1E-4</v>
      </c>
      <c r="AC72">
        <f t="shared" si="53"/>
        <v>5.4173830203050475</v>
      </c>
      <c r="AD72">
        <f t="shared" si="54"/>
        <v>17.811454505474824</v>
      </c>
      <c r="AE72">
        <f t="shared" si="55"/>
        <v>71.396399807497019</v>
      </c>
      <c r="AF72">
        <f t="shared" si="56"/>
        <v>8.0320949783434141</v>
      </c>
      <c r="AG72">
        <f t="shared" si="57"/>
        <v>35.69819990374851</v>
      </c>
      <c r="AH72">
        <f t="shared" si="58"/>
        <v>120.22731791195504</v>
      </c>
      <c r="AI72">
        <f t="shared" si="59"/>
        <v>0.01</v>
      </c>
    </row>
    <row r="73" spans="5:35" x14ac:dyDescent="0.25">
      <c r="E73">
        <f t="shared" si="50"/>
        <v>7.7475887410111355</v>
      </c>
      <c r="F73">
        <f t="shared" si="30"/>
        <v>2.351467855545629</v>
      </c>
      <c r="G73">
        <f t="shared" si="31"/>
        <v>0.87925721262914203</v>
      </c>
      <c r="H73">
        <f t="shared" si="32"/>
        <v>12.074869946867462</v>
      </c>
      <c r="I73">
        <f t="shared" si="33"/>
        <v>1.3584228690225897</v>
      </c>
      <c r="J73">
        <f t="shared" si="34"/>
        <v>6.0374349734337311</v>
      </c>
      <c r="K73">
        <f t="shared" si="35"/>
        <v>5.9349861852467098</v>
      </c>
      <c r="L73">
        <v>72</v>
      </c>
      <c r="M73">
        <f t="shared" si="51"/>
        <v>1.3584228690225897</v>
      </c>
      <c r="N73">
        <f t="shared" si="36"/>
        <v>10.962299725148664</v>
      </c>
      <c r="O73">
        <f t="shared" si="37"/>
        <v>21.166040586030466</v>
      </c>
      <c r="P73">
        <f t="shared" si="38"/>
        <v>113.74194974710289</v>
      </c>
      <c r="Q73">
        <f t="shared" si="39"/>
        <v>12.795969346549073</v>
      </c>
      <c r="R73">
        <f t="shared" si="40"/>
        <v>56.870974873551447</v>
      </c>
      <c r="S73">
        <f t="shared" si="41"/>
        <v>142.87077395570566</v>
      </c>
      <c r="T73">
        <f t="shared" si="42"/>
        <v>12.795969346549073</v>
      </c>
      <c r="U73">
        <f t="shared" si="52"/>
        <v>1.0134155010396699</v>
      </c>
      <c r="V73">
        <f t="shared" si="43"/>
        <v>1.4757800694122467</v>
      </c>
      <c r="W73">
        <f t="shared" si="44"/>
        <v>3.8609493120635765</v>
      </c>
      <c r="X73">
        <f t="shared" si="45"/>
        <v>17.529661612816398</v>
      </c>
      <c r="Y73">
        <f t="shared" si="46"/>
        <v>1.972086931441845</v>
      </c>
      <c r="Z73">
        <f t="shared" si="47"/>
        <v>8.7648308064081988</v>
      </c>
      <c r="AA73">
        <f t="shared" si="48"/>
        <v>26.061407856429142</v>
      </c>
      <c r="AB73">
        <f t="shared" si="49"/>
        <v>1E-4</v>
      </c>
      <c r="AC73">
        <f t="shared" si="53"/>
        <v>5.3140114692921303</v>
      </c>
      <c r="AD73">
        <f t="shared" si="54"/>
        <v>17.271080063634574</v>
      </c>
      <c r="AE73">
        <f t="shared" si="55"/>
        <v>69.663570735913083</v>
      </c>
      <c r="AF73">
        <f t="shared" si="56"/>
        <v>7.8371517077902215</v>
      </c>
      <c r="AG73">
        <f t="shared" si="57"/>
        <v>34.831785367956542</v>
      </c>
      <c r="AH73">
        <f t="shared" si="58"/>
        <v>116.57979042953338</v>
      </c>
      <c r="AI73">
        <f t="shared" si="59"/>
        <v>0.01</v>
      </c>
    </row>
    <row r="74" spans="5:35" x14ac:dyDescent="0.25">
      <c r="E74">
        <f t="shared" si="50"/>
        <v>7.9800164032414695</v>
      </c>
      <c r="F74">
        <f t="shared" si="30"/>
        <v>2.3181184419738039</v>
      </c>
      <c r="G74">
        <f t="shared" si="31"/>
        <v>0.8280586514928796</v>
      </c>
      <c r="H74">
        <f t="shared" si="32"/>
        <v>11.67564843264857</v>
      </c>
      <c r="I74">
        <f t="shared" si="33"/>
        <v>1.3135104486729641</v>
      </c>
      <c r="J74">
        <f t="shared" si="34"/>
        <v>5.8378242163242851</v>
      </c>
      <c r="K74">
        <f t="shared" si="35"/>
        <v>5.5893958975769378</v>
      </c>
      <c r="L74">
        <v>73</v>
      </c>
      <c r="M74">
        <f t="shared" si="51"/>
        <v>1.3135104486729641</v>
      </c>
      <c r="N74">
        <f t="shared" si="36"/>
        <v>10.62793729496331</v>
      </c>
      <c r="O74">
        <f t="shared" si="37"/>
        <v>19.751041127284719</v>
      </c>
      <c r="P74">
        <f t="shared" si="38"/>
        <v>108.43337777934155</v>
      </c>
      <c r="Q74">
        <f t="shared" si="39"/>
        <v>12.198755000175925</v>
      </c>
      <c r="R74">
        <f t="shared" si="40"/>
        <v>54.216688889670777</v>
      </c>
      <c r="S74">
        <f t="shared" si="41"/>
        <v>133.31952760917184</v>
      </c>
      <c r="T74">
        <f t="shared" si="42"/>
        <v>12.198755000175925</v>
      </c>
      <c r="U74">
        <f t="shared" si="52"/>
        <v>1.0235496560500665</v>
      </c>
      <c r="V74">
        <f t="shared" si="43"/>
        <v>1.4551379823519384</v>
      </c>
      <c r="W74">
        <f t="shared" si="44"/>
        <v>3.7610296972369337</v>
      </c>
      <c r="X74">
        <f t="shared" si="45"/>
        <v>17.190346504858248</v>
      </c>
      <c r="Y74">
        <f t="shared" si="46"/>
        <v>1.9339139817965529</v>
      </c>
      <c r="Z74">
        <f t="shared" si="47"/>
        <v>8.5951732524291238</v>
      </c>
      <c r="AA74">
        <f t="shared" si="48"/>
        <v>25.386950456349304</v>
      </c>
      <c r="AB74">
        <f t="shared" si="49"/>
        <v>1E-4</v>
      </c>
      <c r="AC74">
        <f t="shared" si="53"/>
        <v>5.21449157906497</v>
      </c>
      <c r="AD74">
        <f t="shared" si="54"/>
        <v>16.752613526660245</v>
      </c>
      <c r="AE74">
        <f t="shared" si="55"/>
        <v>67.996749822872331</v>
      </c>
      <c r="AF74">
        <f t="shared" si="56"/>
        <v>7.6496343550731369</v>
      </c>
      <c r="AG74">
        <f t="shared" si="57"/>
        <v>33.998374911436166</v>
      </c>
      <c r="AH74">
        <f t="shared" si="58"/>
        <v>113.08014130495665</v>
      </c>
      <c r="AI74">
        <f t="shared" si="59"/>
        <v>0.01</v>
      </c>
    </row>
    <row r="75" spans="5:35" x14ac:dyDescent="0.25">
      <c r="E75">
        <f t="shared" si="50"/>
        <v>8.2194168953387141</v>
      </c>
      <c r="F75">
        <f t="shared" si="30"/>
        <v>2.2856828469924095</v>
      </c>
      <c r="G75">
        <f t="shared" si="31"/>
        <v>0.77988110657447673</v>
      </c>
      <c r="H75">
        <f t="shared" si="32"/>
        <v>11.291139465757043</v>
      </c>
      <c r="I75">
        <f t="shared" si="33"/>
        <v>1.2702531898976674</v>
      </c>
      <c r="J75">
        <f t="shared" si="34"/>
        <v>5.6455697328785215</v>
      </c>
      <c r="K75">
        <f t="shared" si="35"/>
        <v>5.2641974693777183</v>
      </c>
      <c r="L75">
        <v>74</v>
      </c>
      <c r="M75">
        <f t="shared" si="51"/>
        <v>1.2702531898976674</v>
      </c>
      <c r="N75">
        <f t="shared" si="36"/>
        <v>10.313187497806583</v>
      </c>
      <c r="O75">
        <f t="shared" si="37"/>
        <v>18.442996440589528</v>
      </c>
      <c r="P75">
        <f t="shared" si="38"/>
        <v>103.45983293311095</v>
      </c>
      <c r="Q75">
        <f t="shared" si="39"/>
        <v>11.639231204974983</v>
      </c>
      <c r="R75">
        <f t="shared" si="40"/>
        <v>51.729916466555473</v>
      </c>
      <c r="S75">
        <f t="shared" si="41"/>
        <v>124.49022597397931</v>
      </c>
      <c r="T75">
        <f t="shared" si="42"/>
        <v>11.639231204974983</v>
      </c>
      <c r="U75">
        <f t="shared" si="52"/>
        <v>1.0337851526105672</v>
      </c>
      <c r="V75">
        <f t="shared" si="43"/>
        <v>1.4350614414646248</v>
      </c>
      <c r="W75">
        <f t="shared" si="44"/>
        <v>3.664293361126072</v>
      </c>
      <c r="X75">
        <f t="shared" si="45"/>
        <v>16.860716256313921</v>
      </c>
      <c r="Y75">
        <f t="shared" si="46"/>
        <v>1.8968305788353164</v>
      </c>
      <c r="Z75">
        <f t="shared" si="47"/>
        <v>8.4303581281569606</v>
      </c>
      <c r="AA75">
        <f t="shared" si="48"/>
        <v>24.733980187600988</v>
      </c>
      <c r="AB75">
        <f t="shared" si="49"/>
        <v>1E-4</v>
      </c>
      <c r="AC75">
        <f t="shared" si="53"/>
        <v>5.1186120173031124</v>
      </c>
      <c r="AD75">
        <f t="shared" si="54"/>
        <v>16.254845688633722</v>
      </c>
      <c r="AE75">
        <f t="shared" si="55"/>
        <v>66.39231386016418</v>
      </c>
      <c r="AF75">
        <f t="shared" si="56"/>
        <v>7.46913530926847</v>
      </c>
      <c r="AG75">
        <f t="shared" si="57"/>
        <v>33.19615693008209</v>
      </c>
      <c r="AH75">
        <f t="shared" si="58"/>
        <v>109.72020839827763</v>
      </c>
      <c r="AI75">
        <f t="shared" si="59"/>
        <v>0.01</v>
      </c>
    </row>
    <row r="76" spans="5:35" x14ac:dyDescent="0.25">
      <c r="E76">
        <f t="shared" si="50"/>
        <v>8.4659994021988751</v>
      </c>
      <c r="F76">
        <f t="shared" si="30"/>
        <v>2.2541240239011651</v>
      </c>
      <c r="G76">
        <f t="shared" si="31"/>
        <v>0.73454183376524229</v>
      </c>
      <c r="H76">
        <f t="shared" si="32"/>
        <v>10.92070336993198</v>
      </c>
      <c r="I76">
        <f t="shared" si="33"/>
        <v>1.2285791291173478</v>
      </c>
      <c r="J76">
        <f t="shared" si="34"/>
        <v>5.4603516849659899</v>
      </c>
      <c r="K76">
        <f t="shared" si="35"/>
        <v>4.9581573779153851</v>
      </c>
      <c r="L76">
        <v>75</v>
      </c>
      <c r="M76">
        <f t="shared" si="51"/>
        <v>1.2285791291173478</v>
      </c>
      <c r="N76">
        <f t="shared" si="36"/>
        <v>10.01637393009784</v>
      </c>
      <c r="O76">
        <f t="shared" si="37"/>
        <v>17.232260880948743</v>
      </c>
      <c r="P76">
        <f t="shared" si="38"/>
        <v>98.792546479746676</v>
      </c>
      <c r="Q76">
        <f t="shared" si="39"/>
        <v>11.114161478971502</v>
      </c>
      <c r="R76">
        <f t="shared" si="40"/>
        <v>49.396273239873338</v>
      </c>
      <c r="S76">
        <f t="shared" si="41"/>
        <v>116.31776094640404</v>
      </c>
      <c r="T76">
        <f t="shared" si="42"/>
        <v>11.114161478971502</v>
      </c>
      <c r="U76">
        <f t="shared" si="52"/>
        <v>1.0441230041366729</v>
      </c>
      <c r="V76">
        <f t="shared" si="43"/>
        <v>1.4155275192027779</v>
      </c>
      <c r="W76">
        <f t="shared" si="44"/>
        <v>3.5706088286418693</v>
      </c>
      <c r="X76">
        <f t="shared" si="45"/>
        <v>16.540377693238234</v>
      </c>
      <c r="Y76">
        <f t="shared" si="46"/>
        <v>1.8607924904893012</v>
      </c>
      <c r="Z76">
        <f t="shared" si="47"/>
        <v>8.2701888466191171</v>
      </c>
      <c r="AA76">
        <f t="shared" si="48"/>
        <v>24.101609593332622</v>
      </c>
      <c r="AB76">
        <f t="shared" si="49"/>
        <v>1E-4</v>
      </c>
      <c r="AC76">
        <f t="shared" si="53"/>
        <v>5.026176634468694</v>
      </c>
      <c r="AD76">
        <f t="shared" si="54"/>
        <v>15.776654119830264</v>
      </c>
      <c r="AE76">
        <f t="shared" si="55"/>
        <v>64.846899916801391</v>
      </c>
      <c r="AF76">
        <f t="shared" si="56"/>
        <v>7.2952762406401552</v>
      </c>
      <c r="AG76">
        <f t="shared" si="57"/>
        <v>32.423449958400695</v>
      </c>
      <c r="AH76">
        <f t="shared" si="58"/>
        <v>106.49241530885428</v>
      </c>
      <c r="AI76">
        <f t="shared" si="59"/>
        <v>0.01</v>
      </c>
    </row>
    <row r="77" spans="5:35" x14ac:dyDescent="0.25">
      <c r="E77">
        <f t="shared" si="50"/>
        <v>8.7199793842648408</v>
      </c>
      <c r="F77">
        <f t="shared" si="30"/>
        <v>2.2234069018237737</v>
      </c>
      <c r="G77">
        <f t="shared" si="31"/>
        <v>0.69186964890854008</v>
      </c>
      <c r="H77">
        <f t="shared" si="32"/>
        <v>10.563734591911793</v>
      </c>
      <c r="I77">
        <f t="shared" si="33"/>
        <v>1.1884201415900768</v>
      </c>
      <c r="J77">
        <f t="shared" si="34"/>
        <v>5.2818672959558963</v>
      </c>
      <c r="K77">
        <f t="shared" si="35"/>
        <v>4.6701201301326458</v>
      </c>
      <c r="L77">
        <v>76</v>
      </c>
      <c r="M77">
        <f t="shared" si="51"/>
        <v>1.1884201415900768</v>
      </c>
      <c r="N77">
        <f t="shared" si="36"/>
        <v>9.7360059512144144</v>
      </c>
      <c r="O77">
        <f t="shared" si="37"/>
        <v>16.110256095748024</v>
      </c>
      <c r="P77">
        <f t="shared" si="38"/>
        <v>94.405934658696907</v>
      </c>
      <c r="Q77">
        <f t="shared" si="39"/>
        <v>10.620667649103403</v>
      </c>
      <c r="R77">
        <f t="shared" si="40"/>
        <v>47.202967329348454</v>
      </c>
      <c r="S77">
        <f t="shared" si="41"/>
        <v>108.74422864629915</v>
      </c>
      <c r="T77">
        <f t="shared" si="42"/>
        <v>10.620667649103403</v>
      </c>
      <c r="U77">
        <f t="shared" si="52"/>
        <v>1.0545642341780397</v>
      </c>
      <c r="V77">
        <f t="shared" si="43"/>
        <v>1.3965145108213439</v>
      </c>
      <c r="W77">
        <f t="shared" si="44"/>
        <v>3.4798516196533775</v>
      </c>
      <c r="X77">
        <f t="shared" si="45"/>
        <v>16.22895860447899</v>
      </c>
      <c r="Y77">
        <f t="shared" si="46"/>
        <v>1.8257578430038865</v>
      </c>
      <c r="Z77">
        <f t="shared" si="47"/>
        <v>8.114479302239495</v>
      </c>
      <c r="AA77">
        <f t="shared" si="48"/>
        <v>23.488998432660296</v>
      </c>
      <c r="AB77">
        <f t="shared" si="49"/>
        <v>1E-4</v>
      </c>
      <c r="AC77">
        <f t="shared" si="53"/>
        <v>4.937003124389598</v>
      </c>
      <c r="AD77">
        <f t="shared" si="54"/>
        <v>15.31699551310008</v>
      </c>
      <c r="AE77">
        <f t="shared" si="55"/>
        <v>63.357382377602271</v>
      </c>
      <c r="AF77">
        <f t="shared" si="56"/>
        <v>7.1277055174802548</v>
      </c>
      <c r="AG77">
        <f t="shared" si="57"/>
        <v>31.678691188801135</v>
      </c>
      <c r="AH77">
        <f t="shared" si="58"/>
        <v>103.38971971342554</v>
      </c>
      <c r="AI77">
        <f t="shared" si="59"/>
        <v>0.01</v>
      </c>
    </row>
    <row r="78" spans="5:35" x14ac:dyDescent="0.25">
      <c r="E78">
        <f t="shared" si="50"/>
        <v>8.9815787657927864</v>
      </c>
      <c r="F78">
        <f t="shared" si="30"/>
        <v>2.193498255719545</v>
      </c>
      <c r="G78">
        <f t="shared" si="31"/>
        <v>0.65170413998232501</v>
      </c>
      <c r="H78">
        <f t="shared" si="32"/>
        <v>10.219659470885857</v>
      </c>
      <c r="I78">
        <f t="shared" si="33"/>
        <v>1.1497116904746589</v>
      </c>
      <c r="J78">
        <f t="shared" si="34"/>
        <v>5.1098297354429283</v>
      </c>
      <c r="K78">
        <f t="shared" si="35"/>
        <v>4.3990029448806931</v>
      </c>
      <c r="L78">
        <v>77</v>
      </c>
      <c r="M78">
        <f t="shared" si="51"/>
        <v>1.1497116904746589</v>
      </c>
      <c r="N78">
        <f t="shared" si="36"/>
        <v>9.4707536464957407</v>
      </c>
      <c r="O78">
        <f t="shared" si="37"/>
        <v>15.069327881592208</v>
      </c>
      <c r="P78">
        <f t="shared" si="38"/>
        <v>90.277169480427204</v>
      </c>
      <c r="Q78">
        <f t="shared" si="39"/>
        <v>10.15618156654806</v>
      </c>
      <c r="R78">
        <f t="shared" si="40"/>
        <v>45.138584740213602</v>
      </c>
      <c r="S78">
        <f t="shared" si="41"/>
        <v>101.71796320074742</v>
      </c>
      <c r="T78">
        <f t="shared" si="42"/>
        <v>10.15618156654806</v>
      </c>
      <c r="U78">
        <f t="shared" si="52"/>
        <v>1.0651098765198201</v>
      </c>
      <c r="V78">
        <f t="shared" si="43"/>
        <v>1.3780018539302972</v>
      </c>
      <c r="W78">
        <f t="shared" si="44"/>
        <v>3.3919037893141168</v>
      </c>
      <c r="X78">
        <f t="shared" si="45"/>
        <v>15.926106362581582</v>
      </c>
      <c r="Y78">
        <f t="shared" si="46"/>
        <v>1.791686965790428</v>
      </c>
      <c r="Z78">
        <f t="shared" si="47"/>
        <v>7.9630531812907908</v>
      </c>
      <c r="AA78">
        <f t="shared" si="48"/>
        <v>22.895350577870289</v>
      </c>
      <c r="AB78">
        <f t="shared" si="49"/>
        <v>1E-4</v>
      </c>
      <c r="AC78">
        <f t="shared" si="53"/>
        <v>4.8509218241794185</v>
      </c>
      <c r="AD78">
        <f t="shared" si="54"/>
        <v>14.874898826453657</v>
      </c>
      <c r="AE78">
        <f t="shared" si="55"/>
        <v>61.92085237040267</v>
      </c>
      <c r="AF78">
        <f t="shared" si="56"/>
        <v>6.9660958916702995</v>
      </c>
      <c r="AG78">
        <f t="shared" si="57"/>
        <v>30.960426185201335</v>
      </c>
      <c r="AH78">
        <f t="shared" si="58"/>
        <v>100.40556707856219</v>
      </c>
      <c r="AI78">
        <f t="shared" si="59"/>
        <v>0.01</v>
      </c>
    </row>
    <row r="79" spans="5:35" x14ac:dyDescent="0.25">
      <c r="E79">
        <f t="shared" si="50"/>
        <v>9.2510261287665703</v>
      </c>
      <c r="F79">
        <f t="shared" si="30"/>
        <v>2.1643665865239079</v>
      </c>
      <c r="G79">
        <f t="shared" si="31"/>
        <v>0.61389493918444893</v>
      </c>
      <c r="H79">
        <f t="shared" si="32"/>
        <v>9.8879341814812545</v>
      </c>
      <c r="I79">
        <f t="shared" si="33"/>
        <v>1.1123925954166414</v>
      </c>
      <c r="J79">
        <f t="shared" si="34"/>
        <v>4.9439670907406272</v>
      </c>
      <c r="K79">
        <f t="shared" si="35"/>
        <v>4.14379083949503</v>
      </c>
      <c r="L79">
        <v>78</v>
      </c>
      <c r="M79">
        <f t="shared" si="51"/>
        <v>1.1123925954166414</v>
      </c>
      <c r="N79">
        <f t="shared" si="36"/>
        <v>9.2194267333204802</v>
      </c>
      <c r="O79">
        <f t="shared" si="37"/>
        <v>14.102625562383203</v>
      </c>
      <c r="P79">
        <f t="shared" si="38"/>
        <v>86.385817124483978</v>
      </c>
      <c r="Q79">
        <f t="shared" si="39"/>
        <v>9.7184044265044474</v>
      </c>
      <c r="R79">
        <f t="shared" si="40"/>
        <v>43.192908562241989</v>
      </c>
      <c r="S79">
        <f t="shared" si="41"/>
        <v>95.192722546086614</v>
      </c>
      <c r="T79">
        <f t="shared" si="42"/>
        <v>9.7184044265044474</v>
      </c>
      <c r="U79">
        <f t="shared" si="52"/>
        <v>1.0757609752850184</v>
      </c>
      <c r="V79">
        <f t="shared" si="43"/>
        <v>1.3599700543157591</v>
      </c>
      <c r="W79">
        <f t="shared" si="44"/>
        <v>3.3066535042068552</v>
      </c>
      <c r="X79">
        <f t="shared" si="45"/>
        <v>15.631486652155852</v>
      </c>
      <c r="Y79">
        <f t="shared" si="46"/>
        <v>1.7585422483675333</v>
      </c>
      <c r="Z79">
        <f t="shared" si="47"/>
        <v>7.8157433260779259</v>
      </c>
      <c r="AA79">
        <f t="shared" si="48"/>
        <v>22.319911153396273</v>
      </c>
      <c r="AB79">
        <f t="shared" si="49"/>
        <v>1E-4</v>
      </c>
      <c r="AC79">
        <f t="shared" si="53"/>
        <v>4.7677746368708673</v>
      </c>
      <c r="AD79">
        <f t="shared" si="54"/>
        <v>14.449459126864838</v>
      </c>
      <c r="AE79">
        <f t="shared" si="55"/>
        <v>60.53459929694008</v>
      </c>
      <c r="AF79">
        <f t="shared" si="56"/>
        <v>6.8101424209057591</v>
      </c>
      <c r="AG79">
        <f t="shared" si="57"/>
        <v>30.26729964847004</v>
      </c>
      <c r="AH79">
        <f t="shared" si="58"/>
        <v>97.533849106337655</v>
      </c>
      <c r="AI79">
        <f t="shared" si="59"/>
        <v>0.01</v>
      </c>
    </row>
    <row r="80" spans="5:35" x14ac:dyDescent="0.25">
      <c r="E80">
        <f t="shared" si="50"/>
        <v>9.5285569126295684</v>
      </c>
      <c r="F80">
        <f t="shared" si="30"/>
        <v>2.1359820105089189</v>
      </c>
      <c r="G80">
        <f t="shared" si="31"/>
        <v>0.57830104970623897</v>
      </c>
      <c r="H80">
        <f t="shared" si="32"/>
        <v>9.5680428347056523</v>
      </c>
      <c r="I80">
        <f t="shared" si="33"/>
        <v>1.076404818904386</v>
      </c>
      <c r="J80">
        <f t="shared" si="34"/>
        <v>4.7840214173528262</v>
      </c>
      <c r="K80">
        <f t="shared" si="35"/>
        <v>3.9035320855171132</v>
      </c>
      <c r="L80">
        <v>79</v>
      </c>
      <c r="M80">
        <f t="shared" si="51"/>
        <v>1.076404818904386</v>
      </c>
      <c r="N80">
        <f t="shared" si="36"/>
        <v>8.9809567042937211</v>
      </c>
      <c r="O80">
        <f t="shared" si="37"/>
        <v>13.203999855261387</v>
      </c>
      <c r="P80">
        <f t="shared" si="38"/>
        <v>82.713531830497445</v>
      </c>
      <c r="Q80">
        <f t="shared" si="39"/>
        <v>9.3052723309309631</v>
      </c>
      <c r="R80">
        <f t="shared" si="40"/>
        <v>41.356765915248722</v>
      </c>
      <c r="S80">
        <f t="shared" si="41"/>
        <v>89.126999023014378</v>
      </c>
      <c r="T80">
        <f t="shared" si="42"/>
        <v>9.3052723309309631</v>
      </c>
      <c r="U80">
        <f t="shared" si="52"/>
        <v>1.0865185850378685</v>
      </c>
      <c r="V80">
        <f t="shared" si="43"/>
        <v>1.3424006174670522</v>
      </c>
      <c r="W80">
        <f t="shared" si="44"/>
        <v>3.223994651092184</v>
      </c>
      <c r="X80">
        <f t="shared" si="45"/>
        <v>15.344782296061284</v>
      </c>
      <c r="Y80">
        <f t="shared" si="46"/>
        <v>1.7262880083068948</v>
      </c>
      <c r="Z80">
        <f t="shared" si="47"/>
        <v>7.6723911480306421</v>
      </c>
      <c r="AA80">
        <f t="shared" si="48"/>
        <v>21.761963894872242</v>
      </c>
      <c r="AB80">
        <f t="shared" si="49"/>
        <v>1E-4</v>
      </c>
      <c r="AC80">
        <f t="shared" si="53"/>
        <v>4.687414062370542</v>
      </c>
      <c r="AD80">
        <f t="shared" si="54"/>
        <v>14.039832053039113</v>
      </c>
      <c r="AE80">
        <f t="shared" si="55"/>
        <v>59.1960942206521</v>
      </c>
      <c r="AF80">
        <f t="shared" si="56"/>
        <v>6.6595605998233598</v>
      </c>
      <c r="AG80">
        <f t="shared" si="57"/>
        <v>29.59804711032605</v>
      </c>
      <c r="AH80">
        <f t="shared" si="58"/>
        <v>94.768866358014009</v>
      </c>
      <c r="AI80">
        <f t="shared" si="59"/>
        <v>0.01</v>
      </c>
    </row>
    <row r="81" spans="5:35" x14ac:dyDescent="0.25">
      <c r="E81">
        <f t="shared" si="50"/>
        <v>9.8144136200084553</v>
      </c>
      <c r="F81">
        <f t="shared" si="30"/>
        <v>2.1083161570467945</v>
      </c>
      <c r="G81">
        <f t="shared" si="31"/>
        <v>0.5447902225008292</v>
      </c>
      <c r="H81">
        <f t="shared" si="32"/>
        <v>9.2594957228453101</v>
      </c>
      <c r="I81">
        <f t="shared" si="33"/>
        <v>1.0416932688200973</v>
      </c>
      <c r="J81">
        <f t="shared" si="34"/>
        <v>4.629747861422655</v>
      </c>
      <c r="K81">
        <f t="shared" si="35"/>
        <v>3.6773340018805976</v>
      </c>
      <c r="L81">
        <v>80</v>
      </c>
      <c r="M81">
        <f t="shared" si="51"/>
        <v>1.0416932688200973</v>
      </c>
      <c r="N81">
        <f t="shared" si="36"/>
        <v>8.7543816424300793</v>
      </c>
      <c r="O81">
        <f t="shared" si="37"/>
        <v>12.367915995893966</v>
      </c>
      <c r="P81">
        <f t="shared" si="38"/>
        <v>79.243795594452038</v>
      </c>
      <c r="Q81">
        <f t="shared" si="39"/>
        <v>8.9149270043758548</v>
      </c>
      <c r="R81">
        <f t="shared" si="40"/>
        <v>39.621897797226019</v>
      </c>
      <c r="S81">
        <f t="shared" si="41"/>
        <v>83.483432972284277</v>
      </c>
      <c r="T81">
        <f t="shared" si="42"/>
        <v>8.9149270043758548</v>
      </c>
      <c r="U81">
        <f t="shared" si="52"/>
        <v>1.0973837708882472</v>
      </c>
      <c r="V81">
        <f t="shared" si="43"/>
        <v>1.3252759853044809</v>
      </c>
      <c r="W81">
        <f t="shared" si="44"/>
        <v>3.143826475371772</v>
      </c>
      <c r="X81">
        <f t="shared" si="45"/>
        <v>15.065692170743004</v>
      </c>
      <c r="Y81">
        <f t="shared" si="46"/>
        <v>1.6948903692085882</v>
      </c>
      <c r="Z81">
        <f t="shared" si="47"/>
        <v>7.532846085371502</v>
      </c>
      <c r="AA81">
        <f t="shared" si="48"/>
        <v>21.220828708759463</v>
      </c>
      <c r="AB81">
        <f t="shared" si="49"/>
        <v>1E-4</v>
      </c>
      <c r="AC81">
        <f t="shared" si="53"/>
        <v>4.6097023242359416</v>
      </c>
      <c r="AD81">
        <f t="shared" si="54"/>
        <v>13.645228825739336</v>
      </c>
      <c r="AE81">
        <f t="shared" si="55"/>
        <v>57.902974897166111</v>
      </c>
      <c r="AF81">
        <f t="shared" si="56"/>
        <v>6.514084675931187</v>
      </c>
      <c r="AG81">
        <f t="shared" si="57"/>
        <v>28.951487448583055</v>
      </c>
      <c r="AH81">
        <f t="shared" si="58"/>
        <v>92.105294573740522</v>
      </c>
      <c r="AI81">
        <f t="shared" si="59"/>
        <v>0.01</v>
      </c>
    </row>
    <row r="82" spans="5:35" x14ac:dyDescent="0.25">
      <c r="E82">
        <f t="shared" si="50"/>
        <v>10.10884602860871</v>
      </c>
      <c r="F82">
        <f t="shared" si="30"/>
        <v>2.0813420740411113</v>
      </c>
      <c r="G82">
        <f t="shared" si="31"/>
        <v>0.51323837881500611</v>
      </c>
      <c r="H82">
        <f t="shared" si="32"/>
        <v>8.9618276957177425</v>
      </c>
      <c r="I82">
        <f t="shared" si="33"/>
        <v>1.008205615768246</v>
      </c>
      <c r="J82">
        <f t="shared" si="34"/>
        <v>4.4809138478588713</v>
      </c>
      <c r="K82">
        <f t="shared" si="35"/>
        <v>3.4643590570012912</v>
      </c>
      <c r="L82">
        <v>81</v>
      </c>
      <c r="M82">
        <f t="shared" si="51"/>
        <v>1.008205615768246</v>
      </c>
      <c r="N82">
        <f t="shared" si="36"/>
        <v>8.5388332532228191</v>
      </c>
      <c r="O82">
        <f t="shared" si="37"/>
        <v>11.58937952319479</v>
      </c>
      <c r="P82">
        <f t="shared" si="38"/>
        <v>75.961695868335568</v>
      </c>
      <c r="Q82">
        <f t="shared" si="39"/>
        <v>8.5456907851877517</v>
      </c>
      <c r="R82">
        <f t="shared" si="40"/>
        <v>37.980847934167784</v>
      </c>
      <c r="S82">
        <f t="shared" si="41"/>
        <v>78.228311781564827</v>
      </c>
      <c r="T82">
        <f t="shared" si="42"/>
        <v>8.5456907851877517</v>
      </c>
      <c r="U82">
        <f t="shared" si="52"/>
        <v>1.1083576085971296</v>
      </c>
      <c r="V82">
        <f t="shared" si="43"/>
        <v>1.3085794776522803</v>
      </c>
      <c r="W82">
        <f t="shared" si="44"/>
        <v>3.0660532466660726</v>
      </c>
      <c r="X82">
        <f t="shared" si="45"/>
        <v>14.793930202917929</v>
      </c>
      <c r="Y82">
        <f t="shared" si="46"/>
        <v>1.664317147828267</v>
      </c>
      <c r="Z82">
        <f t="shared" si="47"/>
        <v>7.3969651014589646</v>
      </c>
      <c r="AA82">
        <f t="shared" si="48"/>
        <v>20.69585941499599</v>
      </c>
      <c r="AB82">
        <f t="shared" si="49"/>
        <v>1E-4</v>
      </c>
      <c r="AC82">
        <f t="shared" si="53"/>
        <v>4.5345105814016495</v>
      </c>
      <c r="AD82">
        <f t="shared" si="54"/>
        <v>13.264911743523221</v>
      </c>
      <c r="AE82">
        <f t="shared" si="55"/>
        <v>56.653032261043279</v>
      </c>
      <c r="AF82">
        <f t="shared" si="56"/>
        <v>6.3734661293673689</v>
      </c>
      <c r="AG82">
        <f t="shared" si="57"/>
        <v>28.32651613052164</v>
      </c>
      <c r="AH82">
        <f t="shared" si="58"/>
        <v>89.538154268781739</v>
      </c>
      <c r="AI82">
        <f t="shared" si="59"/>
        <v>0.01</v>
      </c>
    </row>
    <row r="83" spans="5:35" x14ac:dyDescent="0.25">
      <c r="E83">
        <f t="shared" si="50"/>
        <v>10.412111409466972</v>
      </c>
      <c r="F83">
        <f t="shared" si="30"/>
        <v>2.0550341403631842</v>
      </c>
      <c r="G83">
        <f t="shared" si="31"/>
        <v>0.48352907466423894</v>
      </c>
      <c r="H83">
        <f t="shared" si="32"/>
        <v>8.6745966569235105</v>
      </c>
      <c r="I83">
        <f t="shared" si="33"/>
        <v>0.9758921239038949</v>
      </c>
      <c r="J83">
        <f t="shared" si="34"/>
        <v>4.3372983284617552</v>
      </c>
      <c r="K83">
        <f t="shared" si="35"/>
        <v>3.2638212539836129</v>
      </c>
      <c r="L83">
        <v>82</v>
      </c>
      <c r="M83">
        <f t="shared" si="51"/>
        <v>0.9758921239038949</v>
      </c>
      <c r="N83">
        <f t="shared" si="36"/>
        <v>8.3335257449757503</v>
      </c>
      <c r="O83">
        <f t="shared" si="37"/>
        <v>10.863872617771559</v>
      </c>
      <c r="P83">
        <f t="shared" si="38"/>
        <v>72.853734943904882</v>
      </c>
      <c r="Q83">
        <f t="shared" si="39"/>
        <v>8.196045181189298</v>
      </c>
      <c r="R83">
        <f t="shared" si="40"/>
        <v>36.426867471952441</v>
      </c>
      <c r="S83">
        <f t="shared" si="41"/>
        <v>73.331140169958019</v>
      </c>
      <c r="T83">
        <f t="shared" si="42"/>
        <v>8.196045181189298</v>
      </c>
      <c r="U83">
        <f t="shared" si="52"/>
        <v>1.1194411846831009</v>
      </c>
      <c r="V83">
        <f t="shared" si="43"/>
        <v>1.2922952380471282</v>
      </c>
      <c r="W83">
        <f t="shared" si="44"/>
        <v>2.9905839491630735</v>
      </c>
      <c r="X83">
        <f t="shared" si="45"/>
        <v>14.529224440580741</v>
      </c>
      <c r="Y83">
        <f t="shared" si="46"/>
        <v>1.6345377495653335</v>
      </c>
      <c r="Z83">
        <f t="shared" si="47"/>
        <v>7.2646122202903705</v>
      </c>
      <c r="AA83">
        <f t="shared" si="48"/>
        <v>20.186441656850747</v>
      </c>
      <c r="AB83">
        <f t="shared" si="49"/>
        <v>1E-4</v>
      </c>
      <c r="AC83">
        <f t="shared" si="53"/>
        <v>4.4617182153658961</v>
      </c>
      <c r="AD83">
        <f t="shared" si="54"/>
        <v>12.898190109679073</v>
      </c>
      <c r="AE83">
        <f t="shared" si="55"/>
        <v>55.444198206136093</v>
      </c>
      <c r="AF83">
        <f t="shared" si="56"/>
        <v>6.2374722981903119</v>
      </c>
      <c r="AG83">
        <f t="shared" si="57"/>
        <v>27.722099103068047</v>
      </c>
      <c r="AH83">
        <f t="shared" si="58"/>
        <v>87.062783240333729</v>
      </c>
      <c r="AI83">
        <f t="shared" si="59"/>
        <v>0.01</v>
      </c>
    </row>
    <row r="84" spans="5:35" x14ac:dyDescent="0.25">
      <c r="E84">
        <f t="shared" si="50"/>
        <v>10.72447475175098</v>
      </c>
      <c r="F84">
        <f t="shared" si="30"/>
        <v>2.0293679846954542</v>
      </c>
      <c r="G84">
        <f t="shared" si="31"/>
        <v>0.45555300379635155</v>
      </c>
      <c r="H84">
        <f t="shared" si="32"/>
        <v>8.397382169849724</v>
      </c>
      <c r="I84">
        <f t="shared" si="33"/>
        <v>0.94470549410809379</v>
      </c>
      <c r="J84">
        <f t="shared" si="34"/>
        <v>4.198691084924862</v>
      </c>
      <c r="K84">
        <f t="shared" si="35"/>
        <v>3.0749827756253731</v>
      </c>
      <c r="L84">
        <v>83</v>
      </c>
      <c r="M84">
        <f t="shared" si="51"/>
        <v>0.94470549410809379</v>
      </c>
      <c r="N84">
        <f t="shared" si="36"/>
        <v>8.1377462571988346</v>
      </c>
      <c r="O84">
        <f t="shared" si="37"/>
        <v>10.18729927939828</v>
      </c>
      <c r="P84">
        <f t="shared" si="38"/>
        <v>69.907665874316308</v>
      </c>
      <c r="Q84">
        <f t="shared" si="39"/>
        <v>7.8646124108605857</v>
      </c>
      <c r="R84">
        <f t="shared" si="40"/>
        <v>34.953832937158154</v>
      </c>
      <c r="S84">
        <f t="shared" si="41"/>
        <v>68.764270135938389</v>
      </c>
      <c r="T84">
        <f t="shared" si="42"/>
        <v>7.8646124108605857</v>
      </c>
      <c r="U84">
        <f t="shared" si="52"/>
        <v>1.130635596529932</v>
      </c>
      <c r="V84">
        <f t="shared" si="43"/>
        <v>1.276408183511667</v>
      </c>
      <c r="W84">
        <f t="shared" si="44"/>
        <v>2.9173319946233311</v>
      </c>
      <c r="X84">
        <f t="shared" si="45"/>
        <v>14.271316191985415</v>
      </c>
      <c r="Y84">
        <f t="shared" si="46"/>
        <v>1.6055230715983593</v>
      </c>
      <c r="Z84">
        <f t="shared" si="47"/>
        <v>7.1356580959927074</v>
      </c>
      <c r="AA84">
        <f t="shared" si="48"/>
        <v>19.691990963707482</v>
      </c>
      <c r="AB84">
        <f t="shared" si="49"/>
        <v>1E-4</v>
      </c>
      <c r="AC84">
        <f t="shared" si="53"/>
        <v>4.3912121845425158</v>
      </c>
      <c r="AD84">
        <f t="shared" si="54"/>
        <v>12.544416542957505</v>
      </c>
      <c r="AE84">
        <f t="shared" si="55"/>
        <v>54.274534517353018</v>
      </c>
      <c r="AF84">
        <f t="shared" si="56"/>
        <v>6.1058851332022144</v>
      </c>
      <c r="AG84">
        <f t="shared" si="57"/>
        <v>27.137267258676509</v>
      </c>
      <c r="AH84">
        <f t="shared" si="58"/>
        <v>84.674811664963158</v>
      </c>
      <c r="AI84">
        <f t="shared" si="59"/>
        <v>0.01</v>
      </c>
    </row>
    <row r="85" spans="5:35" x14ac:dyDescent="0.25">
      <c r="E85">
        <f t="shared" si="50"/>
        <v>11.046208994303511</v>
      </c>
      <c r="F85">
        <f t="shared" si="30"/>
        <v>2.0043204102416925</v>
      </c>
      <c r="G85">
        <f t="shared" si="31"/>
        <v>0.42920753601548928</v>
      </c>
      <c r="H85">
        <f t="shared" si="32"/>
        <v>8.1297841641660966</v>
      </c>
      <c r="I85">
        <f t="shared" si="33"/>
        <v>0.91460071846868585</v>
      </c>
      <c r="J85">
        <f t="shared" si="34"/>
        <v>4.0648920820830483</v>
      </c>
      <c r="K85">
        <f t="shared" si="35"/>
        <v>2.8971508681045526</v>
      </c>
      <c r="L85">
        <v>84</v>
      </c>
      <c r="M85">
        <f t="shared" si="51"/>
        <v>0.91460071846868585</v>
      </c>
      <c r="N85">
        <f t="shared" si="36"/>
        <v>7.950846591331759</v>
      </c>
      <c r="O85">
        <f t="shared" si="37"/>
        <v>9.5559379400089401</v>
      </c>
      <c r="P85">
        <f t="shared" si="38"/>
        <v>67.112350720979876</v>
      </c>
      <c r="Q85">
        <f t="shared" si="39"/>
        <v>7.5501394561102355</v>
      </c>
      <c r="R85">
        <f t="shared" si="40"/>
        <v>33.556175360489938</v>
      </c>
      <c r="S85">
        <f t="shared" si="41"/>
        <v>64.50258109506035</v>
      </c>
      <c r="T85">
        <f t="shared" si="42"/>
        <v>7.5501394561102355</v>
      </c>
      <c r="U85">
        <f t="shared" si="52"/>
        <v>1.1419419524952312</v>
      </c>
      <c r="V85">
        <f t="shared" si="43"/>
        <v>1.2609039579590517</v>
      </c>
      <c r="W85">
        <f t="shared" si="44"/>
        <v>2.8462149561303289</v>
      </c>
      <c r="X85">
        <f t="shared" si="45"/>
        <v>14.019959226869283</v>
      </c>
      <c r="Y85">
        <f t="shared" si="46"/>
        <v>1.5772454130227942</v>
      </c>
      <c r="Z85">
        <f t="shared" si="47"/>
        <v>7.0099796134346413</v>
      </c>
      <c r="AA85">
        <f t="shared" si="48"/>
        <v>19.211950953879718</v>
      </c>
      <c r="AB85">
        <f t="shared" si="49"/>
        <v>1E-4</v>
      </c>
      <c r="AC85">
        <f t="shared" si="53"/>
        <v>4.3228864385091432</v>
      </c>
      <c r="AD85">
        <f t="shared" si="54"/>
        <v>12.202983630559952</v>
      </c>
      <c r="AE85">
        <f t="shared" si="55"/>
        <v>53.142222829212372</v>
      </c>
      <c r="AF85">
        <f t="shared" si="56"/>
        <v>5.9785000682863911</v>
      </c>
      <c r="AG85">
        <f t="shared" si="57"/>
        <v>26.571111414606186</v>
      </c>
      <c r="AH85">
        <f t="shared" si="58"/>
        <v>82.370139506279671</v>
      </c>
      <c r="AI85">
        <f t="shared" si="59"/>
        <v>0.01</v>
      </c>
    </row>
    <row r="86" spans="5:35" x14ac:dyDescent="0.25">
      <c r="E86">
        <f t="shared" si="50"/>
        <v>11.377595264132616</v>
      </c>
      <c r="F86">
        <f t="shared" si="30"/>
        <v>1.9798693248149999</v>
      </c>
      <c r="G86">
        <f t="shared" si="31"/>
        <v>0.40439628802932209</v>
      </c>
      <c r="H86">
        <f t="shared" si="32"/>
        <v>7.8714217344364421</v>
      </c>
      <c r="I86">
        <f t="shared" si="33"/>
        <v>0.8855349451240998</v>
      </c>
      <c r="J86">
        <f t="shared" si="34"/>
        <v>3.9357108672182211</v>
      </c>
      <c r="K86">
        <f t="shared" si="35"/>
        <v>2.729674944197924</v>
      </c>
      <c r="L86">
        <v>85</v>
      </c>
      <c r="M86">
        <f t="shared" si="51"/>
        <v>0.8855349451240998</v>
      </c>
      <c r="N86">
        <f t="shared" si="36"/>
        <v>7.7722360416489771</v>
      </c>
      <c r="O86">
        <f t="shared" si="37"/>
        <v>8.9664003577967009</v>
      </c>
      <c r="P86">
        <f t="shared" si="38"/>
        <v>64.457637660287418</v>
      </c>
      <c r="Q86">
        <f t="shared" si="39"/>
        <v>7.2514842367823338</v>
      </c>
      <c r="R86">
        <f t="shared" si="40"/>
        <v>32.228818830143709</v>
      </c>
      <c r="S86">
        <f t="shared" si="41"/>
        <v>60.523202415127727</v>
      </c>
      <c r="T86">
        <f t="shared" si="42"/>
        <v>7.2514842367823338</v>
      </c>
      <c r="U86">
        <f t="shared" si="52"/>
        <v>1.1533613720201836</v>
      </c>
      <c r="V86">
        <f t="shared" si="43"/>
        <v>1.2457688889255898</v>
      </c>
      <c r="W86">
        <f t="shared" si="44"/>
        <v>2.7771543208572256</v>
      </c>
      <c r="X86">
        <f t="shared" si="45"/>
        <v>13.774919034732852</v>
      </c>
      <c r="Y86">
        <f t="shared" si="46"/>
        <v>1.5496783914074459</v>
      </c>
      <c r="Z86">
        <f t="shared" si="47"/>
        <v>6.8874595173664259</v>
      </c>
      <c r="AA86">
        <f t="shared" si="48"/>
        <v>18.745791665786271</v>
      </c>
      <c r="AB86">
        <f t="shared" si="49"/>
        <v>1E-4</v>
      </c>
      <c r="AC86">
        <f t="shared" si="53"/>
        <v>4.256641385767578</v>
      </c>
      <c r="AD86">
        <f t="shared" si="54"/>
        <v>11.873320886904786</v>
      </c>
      <c r="AE86">
        <f t="shared" si="55"/>
        <v>52.045555501748197</v>
      </c>
      <c r="AF86">
        <f t="shared" si="56"/>
        <v>5.8551249939466725</v>
      </c>
      <c r="AG86">
        <f t="shared" si="57"/>
        <v>26.022777750874099</v>
      </c>
      <c r="AH86">
        <f t="shared" si="58"/>
        <v>80.144915986607316</v>
      </c>
      <c r="AI86">
        <f t="shared" si="59"/>
        <v>0.01</v>
      </c>
    </row>
    <row r="87" spans="5:35" x14ac:dyDescent="0.25">
      <c r="E87">
        <f t="shared" si="50"/>
        <v>11.718923122056594</v>
      </c>
      <c r="F87">
        <f t="shared" si="30"/>
        <v>1.9559936758608094</v>
      </c>
      <c r="G87">
        <f t="shared" si="31"/>
        <v>0.38102872424298456</v>
      </c>
      <c r="H87">
        <f t="shared" si="32"/>
        <v>7.6219320232573784</v>
      </c>
      <c r="I87">
        <f t="shared" si="33"/>
        <v>0.85746735261645513</v>
      </c>
      <c r="J87">
        <f t="shared" si="34"/>
        <v>3.8109660116286892</v>
      </c>
      <c r="K87">
        <f t="shared" si="35"/>
        <v>2.5719438886401456</v>
      </c>
      <c r="L87">
        <v>86</v>
      </c>
      <c r="M87">
        <f t="shared" si="51"/>
        <v>0.85746735261645513</v>
      </c>
      <c r="N87">
        <f t="shared" si="36"/>
        <v>7.6013751592821617</v>
      </c>
      <c r="O87">
        <f t="shared" si="37"/>
        <v>8.4155958384547809</v>
      </c>
      <c r="P87">
        <f t="shared" si="38"/>
        <v>61.934254086257653</v>
      </c>
      <c r="Q87">
        <f t="shared" si="39"/>
        <v>6.967603584703987</v>
      </c>
      <c r="R87">
        <f t="shared" si="40"/>
        <v>30.967127043128826</v>
      </c>
      <c r="S87">
        <f t="shared" si="41"/>
        <v>56.805271909569768</v>
      </c>
      <c r="T87">
        <f t="shared" si="42"/>
        <v>6.967603584703987</v>
      </c>
      <c r="U87">
        <f t="shared" si="52"/>
        <v>1.1648949857403854</v>
      </c>
      <c r="V87">
        <f t="shared" si="43"/>
        <v>1.2309899473576646</v>
      </c>
      <c r="W87">
        <f t="shared" si="44"/>
        <v>2.7100752602837885</v>
      </c>
      <c r="X87">
        <f t="shared" si="45"/>
        <v>13.535972135476646</v>
      </c>
      <c r="Y87">
        <f t="shared" si="46"/>
        <v>1.5227968652411228</v>
      </c>
      <c r="Z87">
        <f t="shared" si="47"/>
        <v>6.767986067738323</v>
      </c>
      <c r="AA87">
        <f t="shared" si="48"/>
        <v>18.293008006915571</v>
      </c>
      <c r="AB87">
        <f t="shared" si="49"/>
        <v>1E-4</v>
      </c>
      <c r="AC87">
        <f t="shared" si="53"/>
        <v>4.1923834093981336</v>
      </c>
      <c r="AD87">
        <f t="shared" si="54"/>
        <v>11.554891986068599</v>
      </c>
      <c r="AE87">
        <f t="shared" si="55"/>
        <v>50.982927317460586</v>
      </c>
      <c r="AF87">
        <f t="shared" si="56"/>
        <v>5.7355793232143153</v>
      </c>
      <c r="AG87">
        <f t="shared" si="57"/>
        <v>25.491463658730293</v>
      </c>
      <c r="AH87">
        <f t="shared" si="58"/>
        <v>77.995520905963048</v>
      </c>
      <c r="AI87">
        <f t="shared" si="59"/>
        <v>0.01</v>
      </c>
    </row>
    <row r="88" spans="5:35" x14ac:dyDescent="0.25">
      <c r="E88">
        <f t="shared" si="50"/>
        <v>12.070490815718292</v>
      </c>
      <c r="F88">
        <f t="shared" si="30"/>
        <v>1.9326733900131057</v>
      </c>
      <c r="G88">
        <f t="shared" si="31"/>
        <v>0.35901978515665567</v>
      </c>
      <c r="H88">
        <f t="shared" si="32"/>
        <v>7.3809691820421959</v>
      </c>
      <c r="I88">
        <f t="shared" si="33"/>
        <v>0.830359032979747</v>
      </c>
      <c r="J88">
        <f t="shared" si="34"/>
        <v>3.6904845910210979</v>
      </c>
      <c r="K88">
        <f t="shared" si="35"/>
        <v>2.4233835498074261</v>
      </c>
      <c r="L88">
        <v>87</v>
      </c>
      <c r="M88">
        <f t="shared" si="51"/>
        <v>0.830359032979747</v>
      </c>
      <c r="N88">
        <f t="shared" si="36"/>
        <v>7.4377703106738711</v>
      </c>
      <c r="O88">
        <f t="shared" si="37"/>
        <v>7.9006999917375076</v>
      </c>
      <c r="P88">
        <f t="shared" si="38"/>
        <v>59.533713331612844</v>
      </c>
      <c r="Q88">
        <f t="shared" si="39"/>
        <v>6.6975427498064448</v>
      </c>
      <c r="R88">
        <f t="shared" si="40"/>
        <v>29.766856665806422</v>
      </c>
      <c r="S88">
        <f t="shared" si="41"/>
        <v>53.329724944228175</v>
      </c>
      <c r="T88">
        <f t="shared" si="42"/>
        <v>6.6975427498064448</v>
      </c>
      <c r="U88">
        <f t="shared" si="52"/>
        <v>1.1765439355977894</v>
      </c>
      <c r="V88">
        <f t="shared" si="43"/>
        <v>1.2165547102041554</v>
      </c>
      <c r="W88">
        <f t="shared" si="44"/>
        <v>2.6449064164429634</v>
      </c>
      <c r="X88">
        <f t="shared" si="45"/>
        <v>13.302905438133392</v>
      </c>
      <c r="Y88">
        <f t="shared" si="46"/>
        <v>1.4965768617900068</v>
      </c>
      <c r="Z88">
        <f t="shared" si="47"/>
        <v>6.6514527190666959</v>
      </c>
      <c r="AA88">
        <f t="shared" si="48"/>
        <v>17.853118310990002</v>
      </c>
      <c r="AB88">
        <f t="shared" si="49"/>
        <v>1E-4</v>
      </c>
      <c r="AC88">
        <f t="shared" si="53"/>
        <v>4.1300244256549243</v>
      </c>
      <c r="AD88">
        <f t="shared" si="54"/>
        <v>11.247192239594957</v>
      </c>
      <c r="AE88">
        <f t="shared" si="55"/>
        <v>49.952827914387356</v>
      </c>
      <c r="AF88">
        <f t="shared" si="56"/>
        <v>5.619693140368577</v>
      </c>
      <c r="AG88">
        <f t="shared" si="57"/>
        <v>24.976413957193678</v>
      </c>
      <c r="AH88">
        <f t="shared" si="58"/>
        <v>75.918547617265958</v>
      </c>
      <c r="AI88">
        <f t="shared" si="59"/>
        <v>0.01</v>
      </c>
    </row>
    <row r="89" spans="5:35" x14ac:dyDescent="0.25">
      <c r="E89">
        <f t="shared" si="50"/>
        <v>12.432605540189842</v>
      </c>
      <c r="F89">
        <f t="shared" si="30"/>
        <v>1.9098893168192657</v>
      </c>
      <c r="G89">
        <f t="shared" si="31"/>
        <v>0.33828954123307153</v>
      </c>
      <c r="H89">
        <f t="shared" si="32"/>
        <v>7.148203403201026</v>
      </c>
      <c r="I89">
        <f t="shared" si="33"/>
        <v>0.80417288286011546</v>
      </c>
      <c r="J89">
        <f t="shared" si="34"/>
        <v>3.574101701600513</v>
      </c>
      <c r="K89">
        <f t="shared" si="35"/>
        <v>2.2834544033232329</v>
      </c>
      <c r="L89">
        <v>88</v>
      </c>
      <c r="M89">
        <f t="shared" si="51"/>
        <v>0.80417288286011546</v>
      </c>
      <c r="N89">
        <f t="shared" si="36"/>
        <v>7.2809689148429033</v>
      </c>
      <c r="O89">
        <f t="shared" si="37"/>
        <v>7.4191273633162833</v>
      </c>
      <c r="P89">
        <f t="shared" si="38"/>
        <v>57.24823302524446</v>
      </c>
      <c r="Q89">
        <f t="shared" si="39"/>
        <v>6.4404262153400023</v>
      </c>
      <c r="R89">
        <f t="shared" si="40"/>
        <v>28.62411651262223</v>
      </c>
      <c r="S89">
        <f t="shared" si="41"/>
        <v>50.079109702384919</v>
      </c>
      <c r="T89">
        <f t="shared" si="42"/>
        <v>6.4404262153400023</v>
      </c>
      <c r="U89">
        <f t="shared" si="52"/>
        <v>1.1883093749537672</v>
      </c>
      <c r="V89">
        <f t="shared" si="43"/>
        <v>1.202451325588678</v>
      </c>
      <c r="W89">
        <f t="shared" si="44"/>
        <v>2.5815797029072245</v>
      </c>
      <c r="X89">
        <f t="shared" si="45"/>
        <v>13.075515643825884</v>
      </c>
      <c r="Y89">
        <f t="shared" si="46"/>
        <v>1.4709955099304122</v>
      </c>
      <c r="Z89">
        <f t="shared" si="47"/>
        <v>6.5377578219129422</v>
      </c>
      <c r="AA89">
        <f t="shared" si="48"/>
        <v>17.425662994623764</v>
      </c>
      <c r="AB89">
        <f t="shared" si="49"/>
        <v>1E-4</v>
      </c>
      <c r="AC89">
        <f t="shared" si="53"/>
        <v>4.0694814811242415</v>
      </c>
      <c r="AD89">
        <f t="shared" si="54"/>
        <v>10.949746294660658</v>
      </c>
      <c r="AE89">
        <f t="shared" si="55"/>
        <v>48.95383488026733</v>
      </c>
      <c r="AF89">
        <f t="shared" si="56"/>
        <v>5.5073064240300749</v>
      </c>
      <c r="AG89">
        <f t="shared" si="57"/>
        <v>24.476917440133665</v>
      </c>
      <c r="AH89">
        <f t="shared" si="58"/>
        <v>73.910787488959443</v>
      </c>
      <c r="AI89">
        <f t="shared" si="59"/>
        <v>0.01</v>
      </c>
    </row>
    <row r="90" spans="5:35" x14ac:dyDescent="0.25">
      <c r="E90">
        <f t="shared" si="50"/>
        <v>12.805583706395538</v>
      </c>
      <c r="F90">
        <f t="shared" si="30"/>
        <v>1.8876231763017752</v>
      </c>
      <c r="G90">
        <f t="shared" si="31"/>
        <v>0.31876287028939559</v>
      </c>
      <c r="H90">
        <f t="shared" si="32"/>
        <v>6.923320018036871</v>
      </c>
      <c r="I90">
        <f t="shared" si="33"/>
        <v>0.77887350202914796</v>
      </c>
      <c r="J90">
        <f t="shared" si="34"/>
        <v>3.4616600090184355</v>
      </c>
      <c r="K90">
        <f t="shared" si="35"/>
        <v>2.1516493744534202</v>
      </c>
      <c r="L90">
        <v>89</v>
      </c>
      <c r="M90">
        <f t="shared" si="51"/>
        <v>0.1</v>
      </c>
      <c r="N90">
        <f t="shared" si="36"/>
        <v>7.1305552626810851</v>
      </c>
      <c r="O90">
        <f t="shared" si="37"/>
        <v>6.9685073895369722</v>
      </c>
      <c r="P90">
        <f t="shared" si="38"/>
        <v>55.070663426981241</v>
      </c>
      <c r="Q90">
        <f t="shared" si="39"/>
        <v>6.1954496355353896</v>
      </c>
      <c r="R90">
        <f t="shared" si="40"/>
        <v>27.535331713490621</v>
      </c>
      <c r="S90">
        <f t="shared" si="41"/>
        <v>47.037424879374562</v>
      </c>
      <c r="T90">
        <f t="shared" si="42"/>
        <v>6.1954496355353896</v>
      </c>
      <c r="U90">
        <f t="shared" si="52"/>
        <v>1.200192468703305</v>
      </c>
      <c r="V90">
        <f t="shared" si="43"/>
        <v>1.1886684803565497</v>
      </c>
      <c r="W90">
        <f t="shared" si="44"/>
        <v>2.5200301193420449</v>
      </c>
      <c r="X90">
        <f t="shared" si="45"/>
        <v>12.853608689432507</v>
      </c>
      <c r="Y90">
        <f t="shared" si="46"/>
        <v>1.4460309775611571</v>
      </c>
      <c r="Z90">
        <f t="shared" si="47"/>
        <v>6.4268043447162535</v>
      </c>
      <c r="AA90">
        <f t="shared" si="48"/>
        <v>17.010203305558804</v>
      </c>
      <c r="AB90">
        <f t="shared" si="49"/>
        <v>1E-4</v>
      </c>
      <c r="AC90">
        <f t="shared" si="53"/>
        <v>4.0106763845728244</v>
      </c>
      <c r="AD90">
        <f t="shared" si="54"/>
        <v>10.662106030460697</v>
      </c>
      <c r="AE90">
        <f t="shared" si="55"/>
        <v>47.984607441378586</v>
      </c>
      <c r="AF90">
        <f t="shared" si="56"/>
        <v>5.3982683371550912</v>
      </c>
      <c r="AG90">
        <f t="shared" si="57"/>
        <v>23.992303720689293</v>
      </c>
      <c r="AH90">
        <f t="shared" si="58"/>
        <v>71.969215705609699</v>
      </c>
      <c r="AI90">
        <f t="shared" si="59"/>
        <v>0.01</v>
      </c>
    </row>
    <row r="91" spans="5:35" x14ac:dyDescent="0.25">
      <c r="E91">
        <f t="shared" si="50"/>
        <v>13.189751217587405</v>
      </c>
      <c r="F91">
        <f t="shared" si="30"/>
        <v>1.8658575100551216</v>
      </c>
      <c r="G91">
        <f t="shared" si="31"/>
        <v>0.30036915663713787</v>
      </c>
      <c r="H91">
        <f t="shared" si="32"/>
        <v>6.7060186551879042</v>
      </c>
      <c r="I91">
        <f t="shared" si="33"/>
        <v>0.75442709870863922</v>
      </c>
      <c r="J91">
        <f t="shared" si="34"/>
        <v>3.3530093275939521</v>
      </c>
      <c r="K91">
        <f t="shared" si="35"/>
        <v>2.0274918073006809</v>
      </c>
      <c r="L91">
        <v>90</v>
      </c>
      <c r="M91">
        <f t="shared" si="51"/>
        <v>0.1</v>
      </c>
      <c r="N91">
        <f t="shared" si="36"/>
        <v>6.9861468369561095</v>
      </c>
      <c r="O91">
        <f t="shared" si="37"/>
        <v>6.5466632109751233</v>
      </c>
      <c r="P91">
        <f t="shared" si="38"/>
        <v>52.994424345509586</v>
      </c>
      <c r="Q91">
        <f t="shared" si="39"/>
        <v>5.9618727388698289</v>
      </c>
      <c r="R91">
        <f t="shared" si="40"/>
        <v>26.497212172754793</v>
      </c>
      <c r="S91">
        <f t="shared" si="41"/>
        <v>44.189976674082075</v>
      </c>
      <c r="T91">
        <f t="shared" si="42"/>
        <v>5.9618727388698289</v>
      </c>
      <c r="U91">
        <f t="shared" si="52"/>
        <v>1.2121943933903381</v>
      </c>
      <c r="V91">
        <f t="shared" si="43"/>
        <v>1.175195369809422</v>
      </c>
      <c r="W91">
        <f t="shared" si="44"/>
        <v>2.4601955785592882</v>
      </c>
      <c r="X91">
        <f t="shared" si="45"/>
        <v>12.636999228758738</v>
      </c>
      <c r="Y91">
        <f t="shared" si="46"/>
        <v>1.4216624132353581</v>
      </c>
      <c r="Z91">
        <f t="shared" si="47"/>
        <v>6.3184996143793688</v>
      </c>
      <c r="AA91">
        <f t="shared" si="48"/>
        <v>16.606320155275196</v>
      </c>
      <c r="AB91">
        <f t="shared" si="49"/>
        <v>1E-4</v>
      </c>
      <c r="AC91">
        <f t="shared" si="53"/>
        <v>3.9535353700494209</v>
      </c>
      <c r="AD91">
        <f t="shared" si="54"/>
        <v>10.383848633179497</v>
      </c>
      <c r="AE91">
        <f t="shared" si="55"/>
        <v>47.043880687154513</v>
      </c>
      <c r="AF91">
        <f t="shared" si="56"/>
        <v>5.2924365773048834</v>
      </c>
      <c r="AG91">
        <f t="shared" si="57"/>
        <v>23.521940343577256</v>
      </c>
      <c r="AH91">
        <f t="shared" si="58"/>
        <v>70.090978273961596</v>
      </c>
      <c r="AI91">
        <f t="shared" si="59"/>
        <v>0.01</v>
      </c>
    </row>
    <row r="92" spans="5:35" x14ac:dyDescent="0.25">
      <c r="E92">
        <f t="shared" si="50"/>
        <v>13.585443754115028</v>
      </c>
      <c r="F92">
        <f t="shared" si="30"/>
        <v>1.8445756356029364</v>
      </c>
      <c r="G92">
        <f t="shared" si="31"/>
        <v>0.28304201034632803</v>
      </c>
      <c r="H92">
        <f t="shared" si="32"/>
        <v>6.49601245490636</v>
      </c>
      <c r="I92">
        <f t="shared" si="33"/>
        <v>0.73080140117696557</v>
      </c>
      <c r="J92">
        <f t="shared" si="34"/>
        <v>3.24800622745318</v>
      </c>
      <c r="K92">
        <f t="shared" si="35"/>
        <v>1.9105335698377139</v>
      </c>
      <c r="L92">
        <v>91</v>
      </c>
      <c r="M92">
        <f t="shared" si="51"/>
        <v>0.1</v>
      </c>
      <c r="N92">
        <f t="shared" si="36"/>
        <v>6.8473910644278577</v>
      </c>
      <c r="O92">
        <f t="shared" si="37"/>
        <v>6.1515929534188203</v>
      </c>
      <c r="P92">
        <f t="shared" si="38"/>
        <v>51.013449463569088</v>
      </c>
      <c r="Q92">
        <f t="shared" si="39"/>
        <v>5.7390130646515232</v>
      </c>
      <c r="R92">
        <f t="shared" si="40"/>
        <v>25.506724731784544</v>
      </c>
      <c r="S92">
        <f t="shared" si="41"/>
        <v>41.523252435577035</v>
      </c>
      <c r="T92">
        <f t="shared" si="42"/>
        <v>5.7390130646515232</v>
      </c>
      <c r="U92">
        <f t="shared" si="52"/>
        <v>1.2243163373242414</v>
      </c>
      <c r="V92">
        <f t="shared" si="43"/>
        <v>1.1620216694577929</v>
      </c>
      <c r="W92">
        <f t="shared" si="44"/>
        <v>2.4020167450981567</v>
      </c>
      <c r="X92">
        <f t="shared" si="45"/>
        <v>12.42551014829745</v>
      </c>
      <c r="Y92">
        <f t="shared" si="46"/>
        <v>1.3978698916834631</v>
      </c>
      <c r="Z92">
        <f t="shared" si="47"/>
        <v>6.212755074148725</v>
      </c>
      <c r="AA92">
        <f t="shared" si="48"/>
        <v>16.213613029412556</v>
      </c>
      <c r="AB92">
        <f t="shared" si="49"/>
        <v>1E-4</v>
      </c>
      <c r="AC92">
        <f t="shared" si="53"/>
        <v>3.897988788188282</v>
      </c>
      <c r="AD92">
        <f t="shared" si="54"/>
        <v>10.114574832106779</v>
      </c>
      <c r="AE92">
        <f t="shared" si="55"/>
        <v>46.130460278252485</v>
      </c>
      <c r="AF92">
        <f t="shared" si="56"/>
        <v>5.1896767813034046</v>
      </c>
      <c r="AG92">
        <f t="shared" si="57"/>
        <v>23.065230139126243</v>
      </c>
      <c r="AH92">
        <f t="shared" si="58"/>
        <v>68.273380116720759</v>
      </c>
      <c r="AI92">
        <f t="shared" si="59"/>
        <v>0.01</v>
      </c>
    </row>
    <row r="93" spans="5:35" x14ac:dyDescent="0.25">
      <c r="E93">
        <f t="shared" si="50"/>
        <v>13.993007066738478</v>
      </c>
      <c r="F93">
        <f t="shared" si="30"/>
        <v>1.8237616037644993</v>
      </c>
      <c r="G93">
        <f t="shared" si="31"/>
        <v>0.26671900514776087</v>
      </c>
      <c r="H93">
        <f t="shared" si="32"/>
        <v>6.2930273348786008</v>
      </c>
      <c r="I93">
        <f t="shared" si="33"/>
        <v>0.70796557517384251</v>
      </c>
      <c r="J93">
        <f t="shared" si="34"/>
        <v>3.1465136674393004</v>
      </c>
      <c r="K93">
        <f t="shared" si="35"/>
        <v>1.8003532847473855</v>
      </c>
      <c r="L93">
        <v>92</v>
      </c>
      <c r="M93">
        <f t="shared" si="51"/>
        <v>0.1</v>
      </c>
      <c r="N93">
        <f t="shared" si="36"/>
        <v>6.7139624420172241</v>
      </c>
      <c r="O93">
        <f t="shared" si="37"/>
        <v>5.7814531450718629</v>
      </c>
      <c r="P93">
        <f t="shared" si="38"/>
        <v>49.12213707511178</v>
      </c>
      <c r="Q93">
        <f t="shared" si="39"/>
        <v>5.5262404209500762</v>
      </c>
      <c r="R93">
        <f t="shared" si="40"/>
        <v>24.56106853755589</v>
      </c>
      <c r="S93">
        <f t="shared" si="41"/>
        <v>39.024808729235083</v>
      </c>
      <c r="T93">
        <f t="shared" si="42"/>
        <v>5.5262404209500762</v>
      </c>
      <c r="U93">
        <f t="shared" si="52"/>
        <v>1.2365595006974839</v>
      </c>
      <c r="V93">
        <f t="shared" si="43"/>
        <v>1.1491375086358928</v>
      </c>
      <c r="W93">
        <f t="shared" si="44"/>
        <v>2.3454368844468299</v>
      </c>
      <c r="X93">
        <f t="shared" si="45"/>
        <v>12.218972114917346</v>
      </c>
      <c r="Y93">
        <f t="shared" si="46"/>
        <v>1.3746343629282014</v>
      </c>
      <c r="Z93">
        <f t="shared" si="47"/>
        <v>6.1094860574586729</v>
      </c>
      <c r="AA93">
        <f t="shared" si="48"/>
        <v>15.831698970016101</v>
      </c>
      <c r="AB93">
        <f t="shared" si="49"/>
        <v>1E-4</v>
      </c>
      <c r="AC93">
        <f t="shared" si="53"/>
        <v>3.8439708229971354</v>
      </c>
      <c r="AD93">
        <f t="shared" si="54"/>
        <v>9.8539072813766992</v>
      </c>
      <c r="AE93">
        <f t="shared" si="55"/>
        <v>45.243217591511225</v>
      </c>
      <c r="AF93">
        <f t="shared" si="56"/>
        <v>5.089861979045013</v>
      </c>
      <c r="AG93">
        <f t="shared" si="57"/>
        <v>22.621608795755613</v>
      </c>
      <c r="AH93">
        <f t="shared" si="58"/>
        <v>66.513874149292718</v>
      </c>
      <c r="AI93">
        <f t="shared" si="59"/>
        <v>0.01</v>
      </c>
    </row>
    <row r="94" spans="5:35" x14ac:dyDescent="0.25">
      <c r="E94">
        <f t="shared" si="50"/>
        <v>14.412797278740634</v>
      </c>
      <c r="F94">
        <f t="shared" si="30"/>
        <v>1.8034001588017166</v>
      </c>
      <c r="G94">
        <f t="shared" si="31"/>
        <v>0.25134143361146605</v>
      </c>
      <c r="H94">
        <f t="shared" si="32"/>
        <v>6.0968013036647388</v>
      </c>
      <c r="I94">
        <f t="shared" si="33"/>
        <v>0.6858901466622831</v>
      </c>
      <c r="J94">
        <f t="shared" si="34"/>
        <v>3.0484006518323694</v>
      </c>
      <c r="K94">
        <f t="shared" si="35"/>
        <v>1.696554676877396</v>
      </c>
      <c r="L94">
        <v>93</v>
      </c>
      <c r="M94">
        <f t="shared" si="51"/>
        <v>0.1</v>
      </c>
      <c r="N94">
        <f t="shared" si="36"/>
        <v>6.5855599877161293</v>
      </c>
      <c r="O94">
        <f t="shared" si="37"/>
        <v>5.4345439887296241</v>
      </c>
      <c r="P94">
        <f t="shared" si="38"/>
        <v>47.315306389073733</v>
      </c>
      <c r="Q94">
        <f t="shared" si="39"/>
        <v>5.322971968770795</v>
      </c>
      <c r="R94">
        <f t="shared" si="40"/>
        <v>23.657653194536866</v>
      </c>
      <c r="S94">
        <f t="shared" si="41"/>
        <v>36.683171923924959</v>
      </c>
      <c r="T94">
        <f t="shared" si="42"/>
        <v>5.322971968770795</v>
      </c>
      <c r="U94">
        <f t="shared" si="52"/>
        <v>1.2489250957044586</v>
      </c>
      <c r="V94">
        <f t="shared" si="43"/>
        <v>1.1365334458372929</v>
      </c>
      <c r="W94">
        <f t="shared" si="44"/>
        <v>2.2904017220950554</v>
      </c>
      <c r="X94">
        <f t="shared" si="45"/>
        <v>12.017223153050256</v>
      </c>
      <c r="Y94">
        <f t="shared" si="46"/>
        <v>1.3519376047181539</v>
      </c>
      <c r="Z94">
        <f t="shared" si="47"/>
        <v>6.0086115765251282</v>
      </c>
      <c r="AA94">
        <f t="shared" si="48"/>
        <v>15.460211624141625</v>
      </c>
      <c r="AB94">
        <f t="shared" si="49"/>
        <v>1E-4</v>
      </c>
      <c r="AC94">
        <f t="shared" si="53"/>
        <v>3.7914192317096678</v>
      </c>
      <c r="AD94">
        <f t="shared" si="54"/>
        <v>9.6014890734939549</v>
      </c>
      <c r="AE94">
        <f t="shared" si="55"/>
        <v>44.381085260287804</v>
      </c>
      <c r="AF94">
        <f t="shared" si="56"/>
        <v>4.9928720917823783</v>
      </c>
      <c r="AG94">
        <f t="shared" si="57"/>
        <v>22.190542630143902</v>
      </c>
      <c r="AH94">
        <f t="shared" si="58"/>
        <v>64.810051246084186</v>
      </c>
      <c r="AI94">
        <f t="shared" si="59"/>
        <v>0.01</v>
      </c>
    </row>
    <row r="95" spans="5:35" x14ac:dyDescent="0.25">
      <c r="E95">
        <f t="shared" si="50"/>
        <v>14.845181197102853</v>
      </c>
      <c r="F95">
        <f t="shared" si="30"/>
        <v>1.7834767011372747</v>
      </c>
      <c r="G95">
        <f t="shared" si="31"/>
        <v>0.23685407835205127</v>
      </c>
      <c r="H95">
        <f t="shared" si="32"/>
        <v>5.9070838181738639</v>
      </c>
      <c r="I95">
        <f t="shared" si="33"/>
        <v>0.66454692954455963</v>
      </c>
      <c r="J95">
        <f t="shared" si="34"/>
        <v>2.9535419090869319</v>
      </c>
      <c r="K95">
        <f t="shared" si="35"/>
        <v>1.5987650288763462</v>
      </c>
      <c r="L95">
        <v>94</v>
      </c>
      <c r="M95">
        <f t="shared" si="51"/>
        <v>0.1</v>
      </c>
      <c r="N95">
        <f t="shared" si="36"/>
        <v>6.461904974218311</v>
      </c>
      <c r="O95">
        <f t="shared" si="37"/>
        <v>5.1092962493225453</v>
      </c>
      <c r="P95">
        <f t="shared" si="38"/>
        <v>45.588158679419408</v>
      </c>
      <c r="Q95">
        <f t="shared" si="39"/>
        <v>5.1286678514346837</v>
      </c>
      <c r="R95">
        <f t="shared" si="40"/>
        <v>22.794079339709704</v>
      </c>
      <c r="S95">
        <f t="shared" si="41"/>
        <v>34.487749682927181</v>
      </c>
      <c r="T95">
        <f t="shared" si="42"/>
        <v>5.1286678514346837</v>
      </c>
      <c r="U95">
        <f t="shared" si="52"/>
        <v>1.2614143466615033</v>
      </c>
      <c r="V95">
        <f t="shared" si="43"/>
        <v>1.124200445641893</v>
      </c>
      <c r="W95">
        <f t="shared" si="44"/>
        <v>2.2368593116775886</v>
      </c>
      <c r="X95">
        <f t="shared" si="45"/>
        <v>11.820108249156837</v>
      </c>
      <c r="Y95">
        <f t="shared" si="46"/>
        <v>1.3297621780301443</v>
      </c>
      <c r="Z95">
        <f t="shared" si="47"/>
        <v>5.9100541245784184</v>
      </c>
      <c r="AA95">
        <f t="shared" si="48"/>
        <v>15.098800353823723</v>
      </c>
      <c r="AB95">
        <f t="shared" si="49"/>
        <v>1E-4</v>
      </c>
      <c r="AC95">
        <f t="shared" si="53"/>
        <v>3.7402751055392969</v>
      </c>
      <c r="AD95">
        <f t="shared" si="54"/>
        <v>9.3569823722930519</v>
      </c>
      <c r="AE95">
        <f t="shared" si="55"/>
        <v>43.543053073112688</v>
      </c>
      <c r="AF95">
        <f t="shared" si="56"/>
        <v>4.8985934707251779</v>
      </c>
      <c r="AG95">
        <f t="shared" si="57"/>
        <v>21.771526536556344</v>
      </c>
      <c r="AH95">
        <f t="shared" si="58"/>
        <v>63.159631012978096</v>
      </c>
      <c r="AI95">
        <f t="shared" si="59"/>
        <v>0.01</v>
      </c>
    </row>
    <row r="96" spans="5:35" x14ac:dyDescent="0.25">
      <c r="E96">
        <f t="shared" si="50"/>
        <v>15.29053663301594</v>
      </c>
      <c r="F96">
        <f t="shared" si="30"/>
        <v>1.7639772524524555</v>
      </c>
      <c r="G96">
        <f t="shared" si="31"/>
        <v>0.22320499811347858</v>
      </c>
      <c r="H96">
        <f t="shared" si="32"/>
        <v>5.7236351818961086</v>
      </c>
      <c r="I96">
        <f t="shared" si="33"/>
        <v>0.64390895796331216</v>
      </c>
      <c r="J96">
        <f t="shared" si="34"/>
        <v>2.8618175909480543</v>
      </c>
      <c r="K96">
        <f t="shared" si="35"/>
        <v>1.5066337372659802</v>
      </c>
      <c r="L96">
        <v>95</v>
      </c>
      <c r="M96">
        <f t="shared" si="51"/>
        <v>0.1</v>
      </c>
      <c r="N96">
        <f t="shared" si="36"/>
        <v>6.3427389093514757</v>
      </c>
      <c r="O96">
        <f t="shared" si="37"/>
        <v>4.8042595520573759</v>
      </c>
      <c r="P96">
        <f t="shared" si="38"/>
        <v>43.936242665711092</v>
      </c>
      <c r="Q96">
        <f t="shared" si="39"/>
        <v>4.9428272998924978</v>
      </c>
      <c r="R96">
        <f t="shared" si="40"/>
        <v>21.968121332855546</v>
      </c>
      <c r="S96">
        <f t="shared" si="41"/>
        <v>32.428751976387289</v>
      </c>
      <c r="T96">
        <f t="shared" si="42"/>
        <v>0.15</v>
      </c>
      <c r="U96">
        <f t="shared" si="52"/>
        <v>1.2740284901281183</v>
      </c>
      <c r="V96">
        <f t="shared" si="43"/>
        <v>1.11212985711553</v>
      </c>
      <c r="W96">
        <f t="shared" si="44"/>
        <v>2.184759911531394</v>
      </c>
      <c r="X96">
        <f t="shared" si="45"/>
        <v>11.62747898143944</v>
      </c>
      <c r="Y96">
        <f t="shared" si="46"/>
        <v>1.3080913854119369</v>
      </c>
      <c r="Z96">
        <f t="shared" si="47"/>
        <v>5.81373949071972</v>
      </c>
      <c r="AA96">
        <f t="shared" si="48"/>
        <v>14.747129402836908</v>
      </c>
      <c r="AB96">
        <f t="shared" si="49"/>
        <v>1E-4</v>
      </c>
      <c r="AC96">
        <f t="shared" si="53"/>
        <v>3.6904826494020719</v>
      </c>
      <c r="AD96">
        <f t="shared" si="54"/>
        <v>9.1200671542827614</v>
      </c>
      <c r="AE96">
        <f t="shared" si="55"/>
        <v>42.728164197518915</v>
      </c>
      <c r="AF96">
        <f t="shared" si="56"/>
        <v>4.8069184722208789</v>
      </c>
      <c r="AG96">
        <f t="shared" si="57"/>
        <v>21.364082098759457</v>
      </c>
      <c r="AH96">
        <f t="shared" si="58"/>
        <v>61.560453291408635</v>
      </c>
      <c r="AI96">
        <f t="shared" si="59"/>
        <v>0.01</v>
      </c>
    </row>
    <row r="97" spans="5:35" x14ac:dyDescent="0.25">
      <c r="E97">
        <f t="shared" si="50"/>
        <v>15.749252732006418</v>
      </c>
      <c r="F97">
        <f t="shared" si="30"/>
        <v>1.7448884229893282</v>
      </c>
      <c r="G97">
        <f t="shared" si="31"/>
        <v>0.21034532767829273</v>
      </c>
      <c r="H97">
        <f t="shared" si="32"/>
        <v>5.5462259808892345</v>
      </c>
      <c r="I97">
        <f t="shared" si="33"/>
        <v>0.62395042285003888</v>
      </c>
      <c r="J97">
        <f t="shared" si="34"/>
        <v>2.7731129904446172</v>
      </c>
      <c r="K97">
        <f t="shared" si="35"/>
        <v>1.4198309618284759</v>
      </c>
      <c r="L97">
        <v>96</v>
      </c>
      <c r="M97">
        <f t="shared" si="51"/>
        <v>0.1</v>
      </c>
      <c r="N97">
        <f t="shared" si="36"/>
        <v>6.2278217325157232</v>
      </c>
      <c r="O97">
        <f t="shared" si="37"/>
        <v>4.5180919156274788</v>
      </c>
      <c r="P97">
        <f t="shared" si="38"/>
        <v>42.3554235962673</v>
      </c>
      <c r="Q97">
        <f t="shared" si="39"/>
        <v>4.7649851545800717</v>
      </c>
      <c r="R97">
        <f t="shared" si="40"/>
        <v>21.17771179813365</v>
      </c>
      <c r="S97">
        <f t="shared" si="41"/>
        <v>30.497120430485481</v>
      </c>
      <c r="T97">
        <f t="shared" si="42"/>
        <v>0.15</v>
      </c>
      <c r="U97">
        <f t="shared" si="52"/>
        <v>1.2867687750293995</v>
      </c>
      <c r="V97">
        <f t="shared" si="43"/>
        <v>1.1003133935739167</v>
      </c>
      <c r="W97">
        <f t="shared" si="44"/>
        <v>2.1340558690465263</v>
      </c>
      <c r="X97">
        <f t="shared" si="45"/>
        <v>11.439193172941685</v>
      </c>
      <c r="Y97">
        <f t="shared" si="46"/>
        <v>1.2869092319559399</v>
      </c>
      <c r="Z97">
        <f t="shared" si="47"/>
        <v>5.7195965864708427</v>
      </c>
      <c r="AA97">
        <f t="shared" si="48"/>
        <v>14.404877116064053</v>
      </c>
      <c r="AB97">
        <f t="shared" si="49"/>
        <v>1E-4</v>
      </c>
      <c r="AC97">
        <f t="shared" si="53"/>
        <v>3.6419889788757711</v>
      </c>
      <c r="AD97">
        <f t="shared" si="54"/>
        <v>8.8904400484804125</v>
      </c>
      <c r="AE97">
        <f t="shared" si="55"/>
        <v>41.935511699359253</v>
      </c>
      <c r="AF97">
        <f t="shared" si="56"/>
        <v>4.7177450661779154</v>
      </c>
      <c r="AG97">
        <f t="shared" si="57"/>
        <v>20.967755849679627</v>
      </c>
      <c r="AH97">
        <f t="shared" si="58"/>
        <v>60.010470327242778</v>
      </c>
      <c r="AI97">
        <f t="shared" si="59"/>
        <v>0.01</v>
      </c>
    </row>
    <row r="98" spans="5:35" x14ac:dyDescent="0.25">
      <c r="E98">
        <f t="shared" si="50"/>
        <v>16.22173031396661</v>
      </c>
      <c r="F98">
        <f t="shared" si="30"/>
        <v>1.7261973808965327</v>
      </c>
      <c r="G98">
        <f t="shared" si="31"/>
        <v>0.1982290906302939</v>
      </c>
      <c r="H98">
        <f t="shared" si="32"/>
        <v>5.3746365547677684</v>
      </c>
      <c r="I98">
        <f t="shared" si="33"/>
        <v>0.60464661241137396</v>
      </c>
      <c r="J98">
        <f t="shared" si="34"/>
        <v>2.6873182773838842</v>
      </c>
      <c r="K98">
        <f t="shared" si="35"/>
        <v>1.338046361754484</v>
      </c>
      <c r="L98">
        <v>97</v>
      </c>
      <c r="M98">
        <f t="shared" si="51"/>
        <v>0.1</v>
      </c>
      <c r="N98">
        <f t="shared" si="36"/>
        <v>6.116930200644962</v>
      </c>
      <c r="O98">
        <f t="shared" si="37"/>
        <v>4.2495503695906809</v>
      </c>
      <c r="P98">
        <f t="shared" si="38"/>
        <v>40.841855579944607</v>
      </c>
      <c r="Q98">
        <f t="shared" si="39"/>
        <v>4.5947087527437684</v>
      </c>
      <c r="R98">
        <f t="shared" si="40"/>
        <v>20.420927789972303</v>
      </c>
      <c r="S98">
        <f t="shared" si="41"/>
        <v>28.684464994737098</v>
      </c>
      <c r="T98">
        <f t="shared" si="42"/>
        <v>0.15</v>
      </c>
      <c r="U98">
        <f t="shared" si="52"/>
        <v>1.2996364627796935</v>
      </c>
      <c r="V98">
        <f t="shared" si="43"/>
        <v>1.0887431136112795</v>
      </c>
      <c r="W98">
        <f t="shared" si="44"/>
        <v>2.0847015122422929</v>
      </c>
      <c r="X98">
        <f t="shared" si="45"/>
        <v>11.255114566329594</v>
      </c>
      <c r="Y98">
        <f t="shared" si="46"/>
        <v>1.2662003887120792</v>
      </c>
      <c r="Z98">
        <f t="shared" si="47"/>
        <v>5.6275572831647969</v>
      </c>
      <c r="AA98">
        <f t="shared" si="48"/>
        <v>14.071735207635475</v>
      </c>
      <c r="AB98">
        <f t="shared" si="49"/>
        <v>1E-4</v>
      </c>
      <c r="AC98">
        <f t="shared" si="53"/>
        <v>3.5947439328428268</v>
      </c>
      <c r="AD98">
        <f t="shared" si="54"/>
        <v>8.6678132658600564</v>
      </c>
      <c r="AE98">
        <f t="shared" si="55"/>
        <v>41.164235330983246</v>
      </c>
      <c r="AF98">
        <f t="shared" si="56"/>
        <v>4.6309764747356148</v>
      </c>
      <c r="AG98">
        <f t="shared" si="57"/>
        <v>20.582117665491623</v>
      </c>
      <c r="AH98">
        <f t="shared" si="58"/>
        <v>58.507739544555378</v>
      </c>
      <c r="AI98">
        <f t="shared" si="59"/>
        <v>0.01</v>
      </c>
    </row>
    <row r="99" spans="5:35" x14ac:dyDescent="0.25">
      <c r="E99">
        <f t="shared" si="50"/>
        <v>16.708382223385609</v>
      </c>
      <c r="F99">
        <f t="shared" si="30"/>
        <v>1.7078918234712102</v>
      </c>
      <c r="G99">
        <f t="shared" si="31"/>
        <v>0.18681302407602379</v>
      </c>
      <c r="H99">
        <f t="shared" si="32"/>
        <v>5.2086565001699476</v>
      </c>
      <c r="I99">
        <f t="shared" si="33"/>
        <v>0.58597385626911902</v>
      </c>
      <c r="J99">
        <f t="shared" si="34"/>
        <v>2.6043282500849738</v>
      </c>
      <c r="K99">
        <f t="shared" si="35"/>
        <v>1.2609879125131607</v>
      </c>
      <c r="L99">
        <v>98</v>
      </c>
      <c r="M99">
        <f t="shared" si="51"/>
        <v>0.1</v>
      </c>
      <c r="N99">
        <f t="shared" si="36"/>
        <v>6.0098564408574839</v>
      </c>
      <c r="O99">
        <f t="shared" si="37"/>
        <v>3.9974825258206019</v>
      </c>
      <c r="P99">
        <f t="shared" si="38"/>
        <v>39.39195677508868</v>
      </c>
      <c r="Q99">
        <f t="shared" si="39"/>
        <v>4.4315951371974762</v>
      </c>
      <c r="R99">
        <f t="shared" si="40"/>
        <v>19.69597838754434</v>
      </c>
      <c r="S99">
        <f t="shared" si="41"/>
        <v>26.983007049289064</v>
      </c>
      <c r="T99">
        <f t="shared" si="42"/>
        <v>0.15</v>
      </c>
      <c r="U99">
        <f t="shared" si="52"/>
        <v>1.3126328274074903</v>
      </c>
      <c r="V99">
        <f t="shared" si="43"/>
        <v>1.0774114033024855</v>
      </c>
      <c r="W99">
        <f t="shared" si="44"/>
        <v>2.0366530480471741</v>
      </c>
      <c r="X99">
        <f t="shared" si="45"/>
        <v>11.075112518789496</v>
      </c>
      <c r="Y99">
        <f t="shared" si="46"/>
        <v>1.2459501583638182</v>
      </c>
      <c r="Z99">
        <f t="shared" si="47"/>
        <v>5.5375562593947478</v>
      </c>
      <c r="AA99">
        <f t="shared" si="48"/>
        <v>13.747408074318423</v>
      </c>
      <c r="AB99">
        <f t="shared" si="49"/>
        <v>1E-4</v>
      </c>
      <c r="AC99">
        <f t="shared" si="53"/>
        <v>3.5486999004215023</v>
      </c>
      <c r="AD99">
        <f t="shared" si="54"/>
        <v>8.4519136104407888</v>
      </c>
      <c r="AE99">
        <f t="shared" si="55"/>
        <v>40.413518564353033</v>
      </c>
      <c r="AF99">
        <f t="shared" si="56"/>
        <v>4.546520838489716</v>
      </c>
      <c r="AG99">
        <f t="shared" si="57"/>
        <v>20.206759282176517</v>
      </c>
      <c r="AH99">
        <f t="shared" si="58"/>
        <v>57.050416870475317</v>
      </c>
      <c r="AI99">
        <f t="shared" si="59"/>
        <v>0.01</v>
      </c>
    </row>
    <row r="100" spans="5:35" x14ac:dyDescent="0.25">
      <c r="E100">
        <f t="shared" si="50"/>
        <v>17.209633690087177</v>
      </c>
      <c r="F100">
        <f t="shared" si="30"/>
        <v>1.6899599501616331</v>
      </c>
      <c r="G100">
        <f t="shared" si="31"/>
        <v>0.17605641449998635</v>
      </c>
      <c r="H100">
        <f t="shared" si="32"/>
        <v>5.0480842043840601</v>
      </c>
      <c r="I100">
        <f t="shared" si="33"/>
        <v>0.56790947299320682</v>
      </c>
      <c r="J100">
        <f t="shared" si="34"/>
        <v>2.5240421021920301</v>
      </c>
      <c r="K100">
        <f t="shared" si="35"/>
        <v>1.1883807978749079</v>
      </c>
      <c r="L100">
        <v>99</v>
      </c>
      <c r="M100">
        <f t="shared" si="51"/>
        <v>0.1</v>
      </c>
      <c r="N100">
        <f t="shared" si="36"/>
        <v>5.9064066500513324</v>
      </c>
      <c r="O100">
        <f t="shared" si="37"/>
        <v>3.7608189915715897</v>
      </c>
      <c r="P100">
        <f t="shared" si="38"/>
        <v>38.002387097192447</v>
      </c>
      <c r="Q100">
        <f t="shared" si="39"/>
        <v>4.2752685484341502</v>
      </c>
      <c r="R100">
        <f t="shared" si="40"/>
        <v>19.001193548596223</v>
      </c>
      <c r="S100">
        <f t="shared" si="41"/>
        <v>25.385528193108229</v>
      </c>
      <c r="T100">
        <f t="shared" si="42"/>
        <v>0.15</v>
      </c>
      <c r="U100">
        <f t="shared" si="52"/>
        <v>1.3257591556815653</v>
      </c>
      <c r="V100">
        <f t="shared" si="43"/>
        <v>1.066310959494871</v>
      </c>
      <c r="W100">
        <f t="shared" si="44"/>
        <v>1.9898684668035569</v>
      </c>
      <c r="X100">
        <f t="shared" si="45"/>
        <v>10.899061715605898</v>
      </c>
      <c r="Y100">
        <f t="shared" si="46"/>
        <v>1.2261444430056636</v>
      </c>
      <c r="Z100">
        <f t="shared" si="47"/>
        <v>5.4495308578029489</v>
      </c>
      <c r="AA100">
        <f t="shared" si="48"/>
        <v>13.431612150924011</v>
      </c>
      <c r="AB100">
        <f t="shared" si="49"/>
        <v>1E-4</v>
      </c>
      <c r="AC100">
        <f t="shared" si="53"/>
        <v>3.5038116609293746</v>
      </c>
      <c r="AD100">
        <f t="shared" si="54"/>
        <v>8.2424815648422634</v>
      </c>
      <c r="AE100">
        <f t="shared" si="55"/>
        <v>39.682585847578764</v>
      </c>
      <c r="AF100">
        <f t="shared" si="56"/>
        <v>4.464290907852611</v>
      </c>
      <c r="AG100">
        <f t="shared" si="57"/>
        <v>19.841292923789382</v>
      </c>
      <c r="AH100">
        <f t="shared" si="58"/>
        <v>55.636750562685279</v>
      </c>
      <c r="AI100">
        <f t="shared" si="59"/>
        <v>0.01</v>
      </c>
    </row>
    <row r="101" spans="5:35" x14ac:dyDescent="0.25">
      <c r="E101">
        <f t="shared" si="50"/>
        <v>17.725922700789791</v>
      </c>
      <c r="F101">
        <f t="shared" si="30"/>
        <v>1.6723904372060332</v>
      </c>
      <c r="G101">
        <f t="shared" si="31"/>
        <v>0.16592094399193286</v>
      </c>
      <c r="H101">
        <f t="shared" si="32"/>
        <v>4.8927264070032797</v>
      </c>
      <c r="I101">
        <f t="shared" si="33"/>
        <v>0.55043172078786895</v>
      </c>
      <c r="J101">
        <f t="shared" si="34"/>
        <v>2.4463632035016398</v>
      </c>
      <c r="K101">
        <f t="shared" si="35"/>
        <v>1.1199663719455468</v>
      </c>
      <c r="L101">
        <v>100</v>
      </c>
      <c r="M101">
        <f t="shared" si="51"/>
        <v>0.1</v>
      </c>
      <c r="N101">
        <f t="shared" si="36"/>
        <v>5.8063999243283684</v>
      </c>
      <c r="O101">
        <f t="shared" si="37"/>
        <v>3.5385665266866484</v>
      </c>
      <c r="P101">
        <f t="shared" si="38"/>
        <v>36.670028151854844</v>
      </c>
      <c r="Q101">
        <f t="shared" si="39"/>
        <v>4.12537816708367</v>
      </c>
      <c r="R101">
        <f t="shared" si="40"/>
        <v>18.335014075927422</v>
      </c>
      <c r="S101">
        <f t="shared" si="41"/>
        <v>23.885324055134877</v>
      </c>
      <c r="T101">
        <f t="shared" si="42"/>
        <v>0.15</v>
      </c>
      <c r="U101">
        <f t="shared" si="52"/>
        <v>1.3390167472383809</v>
      </c>
      <c r="V101">
        <f t="shared" si="43"/>
        <v>1.0554347741126253</v>
      </c>
      <c r="W101">
        <f t="shared" si="44"/>
        <v>1.9443074525570558</v>
      </c>
      <c r="X101">
        <f t="shared" si="45"/>
        <v>10.726841901098458</v>
      </c>
      <c r="Y101">
        <f t="shared" si="46"/>
        <v>1.2067697138735767</v>
      </c>
      <c r="Z101">
        <f t="shared" si="47"/>
        <v>5.3634209505492292</v>
      </c>
      <c r="AA101">
        <f t="shared" si="48"/>
        <v>13.124075304760128</v>
      </c>
      <c r="AB101">
        <f t="shared" si="49"/>
        <v>1E-4</v>
      </c>
      <c r="AC101">
        <f t="shared" si="53"/>
        <v>3.4600362357493055</v>
      </c>
      <c r="AD101">
        <f t="shared" si="54"/>
        <v>8.0392704438457638</v>
      </c>
      <c r="AE101">
        <f t="shared" si="55"/>
        <v>38.970700065488671</v>
      </c>
      <c r="AF101">
        <f t="shared" si="56"/>
        <v>4.3842037573674757</v>
      </c>
      <c r="AG101">
        <f t="shared" si="57"/>
        <v>19.485350032744336</v>
      </c>
      <c r="AH101">
        <f t="shared" si="58"/>
        <v>54.265075495958904</v>
      </c>
      <c r="AI101">
        <f t="shared" si="59"/>
        <v>0.01</v>
      </c>
    </row>
    <row r="102" spans="5:35" x14ac:dyDescent="0.25">
      <c r="E102">
        <f t="shared" si="50"/>
        <v>18.257700381813486</v>
      </c>
      <c r="F102">
        <f t="shared" si="30"/>
        <v>1.655172413793105</v>
      </c>
      <c r="G102">
        <f t="shared" si="31"/>
        <v>0.15637054614242391</v>
      </c>
      <c r="H102">
        <f t="shared" si="32"/>
        <v>4.7423977876487671</v>
      </c>
      <c r="I102">
        <f t="shared" si="33"/>
        <v>0.53351975111048622</v>
      </c>
      <c r="J102">
        <f t="shared" si="34"/>
        <v>2.3711988938243835</v>
      </c>
      <c r="K102">
        <f t="shared" si="35"/>
        <v>1.0555011864613615</v>
      </c>
      <c r="L102">
        <v>101</v>
      </c>
      <c r="M102">
        <f t="shared" si="51"/>
        <v>0.1</v>
      </c>
      <c r="N102">
        <f t="shared" si="36"/>
        <v>5.7096672033733604</v>
      </c>
      <c r="O102">
        <f t="shared" si="37"/>
        <v>3.3298018602549964</v>
      </c>
      <c r="P102">
        <f t="shared" si="38"/>
        <v>35.391965138052946</v>
      </c>
      <c r="Q102">
        <f t="shared" si="39"/>
        <v>3.9815960780309565</v>
      </c>
      <c r="R102">
        <f t="shared" si="40"/>
        <v>17.695982569026473</v>
      </c>
      <c r="S102">
        <f t="shared" si="41"/>
        <v>22.476162556721224</v>
      </c>
      <c r="T102">
        <f t="shared" si="42"/>
        <v>0.15</v>
      </c>
      <c r="U102">
        <f t="shared" si="52"/>
        <v>1.3524069147107647</v>
      </c>
      <c r="V102">
        <f t="shared" si="43"/>
        <v>1.0447761194029848</v>
      </c>
      <c r="W102">
        <f t="shared" si="44"/>
        <v>1.8999312987253836</v>
      </c>
      <c r="X102">
        <f t="shared" si="45"/>
        <v>10.558337625702912</v>
      </c>
      <c r="Y102">
        <f t="shared" si="46"/>
        <v>1.1878129828915776</v>
      </c>
      <c r="Z102">
        <f t="shared" si="47"/>
        <v>5.2791688128514558</v>
      </c>
      <c r="AA102">
        <f t="shared" si="48"/>
        <v>12.82453626639634</v>
      </c>
      <c r="AB102">
        <f t="shared" si="49"/>
        <v>1E-4</v>
      </c>
      <c r="AC102">
        <f t="shared" si="53"/>
        <v>3.4173327510773208</v>
      </c>
      <c r="AD102">
        <f t="shared" si="54"/>
        <v>7.8420456101319331</v>
      </c>
      <c r="AE102">
        <f t="shared" si="55"/>
        <v>38.277160186746961</v>
      </c>
      <c r="AF102">
        <f t="shared" si="56"/>
        <v>4.3061805210090327</v>
      </c>
      <c r="AG102">
        <f t="shared" si="57"/>
        <v>19.138580093373481</v>
      </c>
      <c r="AH102">
        <f t="shared" si="58"/>
        <v>52.933807868390545</v>
      </c>
      <c r="AI102">
        <f t="shared" si="59"/>
        <v>0.01</v>
      </c>
    </row>
    <row r="103" spans="5:35" x14ac:dyDescent="0.25">
      <c r="E103">
        <f t="shared" si="50"/>
        <v>18.805431393267892</v>
      </c>
      <c r="F103">
        <f t="shared" si="30"/>
        <v>1.6382954396387179</v>
      </c>
      <c r="G103">
        <f t="shared" si="31"/>
        <v>0.14737127095578242</v>
      </c>
      <c r="H103">
        <f t="shared" si="32"/>
        <v>4.5969205779562943</v>
      </c>
      <c r="I103">
        <f t="shared" si="33"/>
        <v>0.51715356502008314</v>
      </c>
      <c r="J103">
        <f t="shared" si="34"/>
        <v>2.2984602889781471</v>
      </c>
      <c r="K103">
        <f t="shared" si="35"/>
        <v>0.99475607895153151</v>
      </c>
      <c r="L103">
        <v>102</v>
      </c>
      <c r="M103">
        <f t="shared" si="51"/>
        <v>0.1</v>
      </c>
      <c r="N103">
        <f t="shared" si="36"/>
        <v>5.6160503168286944</v>
      </c>
      <c r="O103">
        <f t="shared" si="37"/>
        <v>3.133666092947728</v>
      </c>
      <c r="P103">
        <f t="shared" si="38"/>
        <v>34.165470499590768</v>
      </c>
      <c r="Q103">
        <f t="shared" si="39"/>
        <v>3.8436154312039617</v>
      </c>
      <c r="R103">
        <f t="shared" si="40"/>
        <v>17.082735249795384</v>
      </c>
      <c r="S103">
        <f t="shared" si="41"/>
        <v>21.152246127397166</v>
      </c>
      <c r="T103">
        <f t="shared" si="42"/>
        <v>0.15</v>
      </c>
      <c r="U103">
        <f t="shared" si="52"/>
        <v>1.3659309838578724</v>
      </c>
      <c r="V103">
        <f t="shared" si="43"/>
        <v>1.0343285340588422</v>
      </c>
      <c r="W103">
        <f t="shared" si="44"/>
        <v>1.8567028287738565</v>
      </c>
      <c r="X103">
        <f t="shared" si="45"/>
        <v>10.393438008077091</v>
      </c>
      <c r="Y103">
        <f t="shared" si="46"/>
        <v>1.1692617759086728</v>
      </c>
      <c r="Z103">
        <f t="shared" si="47"/>
        <v>5.1967190040385454</v>
      </c>
      <c r="AA103">
        <f t="shared" si="48"/>
        <v>12.532744094223531</v>
      </c>
      <c r="AB103">
        <f t="shared" si="49"/>
        <v>1E-4</v>
      </c>
      <c r="AC103">
        <f t="shared" si="53"/>
        <v>3.3756623106307879</v>
      </c>
      <c r="AD103">
        <f t="shared" si="54"/>
        <v>7.6505837469305051</v>
      </c>
      <c r="AE103">
        <f t="shared" si="55"/>
        <v>37.601299081725337</v>
      </c>
      <c r="AF103">
        <f t="shared" si="56"/>
        <v>4.2301461466940999</v>
      </c>
      <c r="AG103">
        <f t="shared" si="57"/>
        <v>18.800649540862668</v>
      </c>
      <c r="AH103">
        <f t="shared" si="58"/>
        <v>51.64144029178091</v>
      </c>
      <c r="AI103">
        <f t="shared" si="59"/>
        <v>0.01</v>
      </c>
    </row>
    <row r="104" spans="5:35" x14ac:dyDescent="0.25">
      <c r="E104">
        <f t="shared" si="50"/>
        <v>19.36959433506593</v>
      </c>
      <c r="F104">
        <f t="shared" si="30"/>
        <v>1.621749483881652</v>
      </c>
      <c r="G104">
        <f t="shared" si="31"/>
        <v>0.13889115817795061</v>
      </c>
      <c r="H104">
        <f t="shared" si="32"/>
        <v>4.4561241961633131</v>
      </c>
      <c r="I104">
        <f t="shared" si="33"/>
        <v>0.5013139720683728</v>
      </c>
      <c r="J104">
        <f t="shared" si="34"/>
        <v>2.2280620980816566</v>
      </c>
      <c r="K104">
        <f t="shared" si="35"/>
        <v>0.93751531770116669</v>
      </c>
      <c r="L104">
        <v>103</v>
      </c>
      <c r="M104">
        <f t="shared" si="51"/>
        <v>0.1</v>
      </c>
      <c r="N104">
        <f t="shared" si="36"/>
        <v>5.5254011213504315</v>
      </c>
      <c r="O104">
        <f t="shared" si="37"/>
        <v>2.9493596206206156</v>
      </c>
      <c r="P104">
        <f t="shared" si="38"/>
        <v>32.987989130753562</v>
      </c>
      <c r="Q104">
        <f t="shared" si="39"/>
        <v>3.7111487772097762</v>
      </c>
      <c r="R104">
        <f t="shared" si="40"/>
        <v>16.493994565376781</v>
      </c>
      <c r="S104">
        <f t="shared" si="41"/>
        <v>19.908177439189156</v>
      </c>
      <c r="T104">
        <f t="shared" si="42"/>
        <v>0.15</v>
      </c>
      <c r="U104">
        <f t="shared" si="52"/>
        <v>1.379590293696451</v>
      </c>
      <c r="V104">
        <f t="shared" si="43"/>
        <v>1.024085810157662</v>
      </c>
      <c r="W104">
        <f t="shared" si="44"/>
        <v>1.8145863215538496</v>
      </c>
      <c r="X104">
        <f t="shared" si="45"/>
        <v>10.232036511200887</v>
      </c>
      <c r="Y104">
        <f t="shared" si="46"/>
        <v>1.1511041075100998</v>
      </c>
      <c r="Z104">
        <f t="shared" si="47"/>
        <v>5.1160182556004434</v>
      </c>
      <c r="AA104">
        <f t="shared" si="48"/>
        <v>12.248457670488483</v>
      </c>
      <c r="AB104">
        <f t="shared" si="49"/>
        <v>1E-4</v>
      </c>
      <c r="AC104">
        <f t="shared" si="53"/>
        <v>3.3349878774843926</v>
      </c>
      <c r="AD104">
        <f t="shared" si="54"/>
        <v>7.4646721828205358</v>
      </c>
      <c r="AE104">
        <f t="shared" si="55"/>
        <v>36.942481496843591</v>
      </c>
      <c r="AF104">
        <f t="shared" si="56"/>
        <v>4.1560291683949044</v>
      </c>
      <c r="AG104">
        <f t="shared" si="57"/>
        <v>18.471240748421796</v>
      </c>
      <c r="AH104">
        <f t="shared" si="58"/>
        <v>50.386537234038627</v>
      </c>
      <c r="AI104">
        <f t="shared" si="59"/>
        <v>0.01</v>
      </c>
    </row>
    <row r="105" spans="5:35" x14ac:dyDescent="0.25">
      <c r="E105">
        <f t="shared" si="50"/>
        <v>19.950682165117907</v>
      </c>
      <c r="F105">
        <f t="shared" si="30"/>
        <v>1.6055249052086704</v>
      </c>
      <c r="G105">
        <f t="shared" si="31"/>
        <v>0.1309001184811002</v>
      </c>
      <c r="H105">
        <f t="shared" si="32"/>
        <v>4.3198449027627666</v>
      </c>
      <c r="I105">
        <f t="shared" si="33"/>
        <v>0.48598255156081122</v>
      </c>
      <c r="J105">
        <f t="shared" si="34"/>
        <v>2.1599224513813833</v>
      </c>
      <c r="K105">
        <f t="shared" si="35"/>
        <v>0.88357579974742639</v>
      </c>
      <c r="L105">
        <v>104</v>
      </c>
      <c r="M105">
        <f t="shared" si="51"/>
        <v>0.1</v>
      </c>
      <c r="N105">
        <f t="shared" si="36"/>
        <v>5.4375807184416542</v>
      </c>
      <c r="O105">
        <f t="shared" si="37"/>
        <v>2.7761375228162324</v>
      </c>
      <c r="P105">
        <f t="shared" si="38"/>
        <v>31.857124966406555</v>
      </c>
      <c r="Q105">
        <f t="shared" si="39"/>
        <v>3.5839265587207376</v>
      </c>
      <c r="R105">
        <f t="shared" si="40"/>
        <v>15.928562483203278</v>
      </c>
      <c r="S105">
        <f t="shared" si="41"/>
        <v>18.738928279009567</v>
      </c>
      <c r="T105">
        <f t="shared" si="42"/>
        <v>0.15</v>
      </c>
      <c r="U105">
        <f t="shared" si="52"/>
        <v>1.3933861966334156</v>
      </c>
      <c r="V105">
        <f t="shared" si="43"/>
        <v>1.0140419808613148</v>
      </c>
      <c r="W105">
        <f t="shared" si="44"/>
        <v>1.7735474409872107</v>
      </c>
      <c r="X105">
        <f t="shared" si="45"/>
        <v>10.074030731519105</v>
      </c>
      <c r="Y105">
        <f t="shared" si="46"/>
        <v>1.1333284572958995</v>
      </c>
      <c r="Z105">
        <f t="shared" si="47"/>
        <v>5.0370153657595527</v>
      </c>
      <c r="AA105">
        <f t="shared" si="48"/>
        <v>11.971445226663674</v>
      </c>
      <c r="AB105">
        <f t="shared" si="49"/>
        <v>1E-4</v>
      </c>
      <c r="AC105">
        <f t="shared" si="53"/>
        <v>3.2952741642787582</v>
      </c>
      <c r="AD105">
        <f t="shared" si="54"/>
        <v>7.2841082643695945</v>
      </c>
      <c r="AE105">
        <f t="shared" si="55"/>
        <v>36.30010217244434</v>
      </c>
      <c r="AF105">
        <f t="shared" si="56"/>
        <v>4.0837614943999885</v>
      </c>
      <c r="AG105">
        <f t="shared" si="57"/>
        <v>18.15005108622217</v>
      </c>
      <c r="AH105">
        <f t="shared" si="58"/>
        <v>49.167730784494765</v>
      </c>
      <c r="AI105">
        <f t="shared" si="59"/>
        <v>0.01</v>
      </c>
    </row>
    <row r="106" spans="5:35" x14ac:dyDescent="0.25">
      <c r="E106">
        <f t="shared" si="50"/>
        <v>20.549202630071445</v>
      </c>
      <c r="F106">
        <f t="shared" si="30"/>
        <v>1.5896124331262875</v>
      </c>
      <c r="G106">
        <f t="shared" si="31"/>
        <v>0.1233698219874991</v>
      </c>
      <c r="H106">
        <f t="shared" si="32"/>
        <v>4.187925475808032</v>
      </c>
      <c r="I106">
        <f t="shared" si="33"/>
        <v>0.4711416160284036</v>
      </c>
      <c r="J106">
        <f t="shared" si="34"/>
        <v>2.093962737904016</v>
      </c>
      <c r="K106">
        <f t="shared" si="35"/>
        <v>0.83274629841561887</v>
      </c>
      <c r="L106">
        <v>105</v>
      </c>
      <c r="M106">
        <f t="shared" si="51"/>
        <v>0.1</v>
      </c>
      <c r="N106">
        <f t="shared" si="36"/>
        <v>5.352458744377663</v>
      </c>
      <c r="O106">
        <f t="shared" si="37"/>
        <v>2.613305366725899</v>
      </c>
      <c r="P106">
        <f t="shared" si="38"/>
        <v>30.77062880764068</v>
      </c>
      <c r="Q106">
        <f t="shared" si="39"/>
        <v>3.461695740859577</v>
      </c>
      <c r="R106">
        <f t="shared" si="40"/>
        <v>15.38531440382034</v>
      </c>
      <c r="S106">
        <f t="shared" si="41"/>
        <v>17.639811225399818</v>
      </c>
      <c r="T106">
        <f t="shared" si="42"/>
        <v>0.15</v>
      </c>
      <c r="U106">
        <f t="shared" si="52"/>
        <v>1.4073200585997496</v>
      </c>
      <c r="V106">
        <f t="shared" si="43"/>
        <v>1.0041913088254151</v>
      </c>
      <c r="W106">
        <f t="shared" si="44"/>
        <v>1.7335531698040467</v>
      </c>
      <c r="X106">
        <f t="shared" si="45"/>
        <v>9.9193222002493098</v>
      </c>
      <c r="Y106">
        <f t="shared" si="46"/>
        <v>1.115923747528047</v>
      </c>
      <c r="Z106">
        <f t="shared" si="47"/>
        <v>4.9596611001246549</v>
      </c>
      <c r="AA106">
        <f t="shared" si="48"/>
        <v>11.701483896177315</v>
      </c>
      <c r="AB106">
        <f t="shared" si="49"/>
        <v>1E-4</v>
      </c>
      <c r="AC106">
        <f t="shared" si="53"/>
        <v>3.2564875311177297</v>
      </c>
      <c r="AD106">
        <f t="shared" si="54"/>
        <v>7.1086987727029198</v>
      </c>
      <c r="AE106">
        <f t="shared" si="55"/>
        <v>35.673584092474982</v>
      </c>
      <c r="AF106">
        <f t="shared" si="56"/>
        <v>4.0132782104034357</v>
      </c>
      <c r="AG106">
        <f t="shared" si="57"/>
        <v>17.836792046237491</v>
      </c>
      <c r="AH106">
        <f t="shared" si="58"/>
        <v>47.983716715744713</v>
      </c>
      <c r="AI106">
        <f t="shared" si="59"/>
        <v>0.01</v>
      </c>
    </row>
    <row r="107" spans="5:35" x14ac:dyDescent="0.25">
      <c r="E107">
        <f t="shared" si="50"/>
        <v>21.165678708973587</v>
      </c>
      <c r="F107">
        <f t="shared" si="30"/>
        <v>1.5740031503026559</v>
      </c>
      <c r="G107">
        <f t="shared" si="31"/>
        <v>0.11627359365246112</v>
      </c>
      <c r="H107">
        <f t="shared" si="32"/>
        <v>4.0602149045614429</v>
      </c>
      <c r="I107">
        <f t="shared" si="33"/>
        <v>0.45677417676316234</v>
      </c>
      <c r="J107">
        <f t="shared" si="34"/>
        <v>2.0301074522807214</v>
      </c>
      <c r="K107">
        <f t="shared" si="35"/>
        <v>0.78484675715411256</v>
      </c>
      <c r="L107">
        <v>106</v>
      </c>
      <c r="M107">
        <f t="shared" si="51"/>
        <v>0.1</v>
      </c>
      <c r="N107">
        <f t="shared" si="36"/>
        <v>5.269912724587976</v>
      </c>
      <c r="O107">
        <f t="shared" si="37"/>
        <v>2.4602153831542739</v>
      </c>
      <c r="P107">
        <f t="shared" si="38"/>
        <v>29.726387252090269</v>
      </c>
      <c r="Q107">
        <f t="shared" si="39"/>
        <v>3.3442185658601549</v>
      </c>
      <c r="R107">
        <f t="shared" si="40"/>
        <v>14.863193626045135</v>
      </c>
      <c r="S107">
        <f t="shared" si="41"/>
        <v>16.606453836291351</v>
      </c>
      <c r="T107">
        <f t="shared" si="42"/>
        <v>0.15</v>
      </c>
      <c r="U107">
        <f t="shared" si="52"/>
        <v>1.4213932591857472</v>
      </c>
      <c r="V107">
        <f t="shared" si="43"/>
        <v>0.99452827527107956</v>
      </c>
      <c r="W107">
        <f t="shared" si="44"/>
        <v>1.6945717470635682</v>
      </c>
      <c r="X107">
        <f t="shared" si="45"/>
        <v>9.7678161960436629</v>
      </c>
      <c r="Y107">
        <f t="shared" si="46"/>
        <v>1.0988793220549122</v>
      </c>
      <c r="Z107">
        <f t="shared" si="47"/>
        <v>4.8839080980218315</v>
      </c>
      <c r="AA107">
        <f t="shared" si="48"/>
        <v>11.438359292679085</v>
      </c>
      <c r="AB107">
        <f t="shared" si="49"/>
        <v>1E-4</v>
      </c>
      <c r="AC107">
        <f t="shared" si="53"/>
        <v>3.2185958905335754</v>
      </c>
      <c r="AD107">
        <f t="shared" si="54"/>
        <v>6.9382593804543848</v>
      </c>
      <c r="AE107">
        <f t="shared" si="55"/>
        <v>35.062376855331927</v>
      </c>
      <c r="AF107">
        <f t="shared" si="56"/>
        <v>3.9445173962248421</v>
      </c>
      <c r="AG107">
        <f t="shared" si="57"/>
        <v>17.531188427665963</v>
      </c>
      <c r="AH107">
        <f t="shared" si="58"/>
        <v>46.833250818067093</v>
      </c>
      <c r="AI107">
        <f t="shared" si="59"/>
        <v>0.01</v>
      </c>
    </row>
    <row r="108" spans="5:35" x14ac:dyDescent="0.25">
      <c r="E108">
        <f t="shared" si="50"/>
        <v>21.800649070242795</v>
      </c>
      <c r="F108">
        <f t="shared" si="30"/>
        <v>1.5586884759090089</v>
      </c>
      <c r="G108">
        <f t="shared" si="31"/>
        <v>0.10958631506049842</v>
      </c>
      <c r="H108">
        <f t="shared" si="32"/>
        <v>3.9365681002775719</v>
      </c>
      <c r="I108">
        <f t="shared" si="33"/>
        <v>0.44286391128122687</v>
      </c>
      <c r="J108">
        <f t="shared" si="34"/>
        <v>1.9682840501387859</v>
      </c>
      <c r="K108">
        <f t="shared" si="35"/>
        <v>0.7397076266583642</v>
      </c>
      <c r="L108">
        <v>107</v>
      </c>
      <c r="M108">
        <f t="shared" si="51"/>
        <v>0.1</v>
      </c>
      <c r="N108">
        <f t="shared" si="36"/>
        <v>5.1898274857706923</v>
      </c>
      <c r="O108">
        <f t="shared" si="37"/>
        <v>2.3162629762069797</v>
      </c>
      <c r="P108">
        <f t="shared" si="38"/>
        <v>28.722412613652722</v>
      </c>
      <c r="Q108">
        <f t="shared" si="39"/>
        <v>3.2312714190359308</v>
      </c>
      <c r="R108">
        <f t="shared" si="40"/>
        <v>14.361206306826361</v>
      </c>
      <c r="S108">
        <f t="shared" si="41"/>
        <v>15.634775089397113</v>
      </c>
      <c r="T108">
        <f t="shared" si="42"/>
        <v>0.15</v>
      </c>
      <c r="U108">
        <f t="shared" si="52"/>
        <v>1.4356071917776048</v>
      </c>
      <c r="V108">
        <f t="shared" si="43"/>
        <v>0.9850475696752552</v>
      </c>
      <c r="W108">
        <f t="shared" si="44"/>
        <v>1.6565726092081083</v>
      </c>
      <c r="X108">
        <f t="shared" si="45"/>
        <v>9.6194215682550173</v>
      </c>
      <c r="Y108">
        <f t="shared" si="46"/>
        <v>1.0821849264286894</v>
      </c>
      <c r="Z108">
        <f t="shared" si="47"/>
        <v>4.8097107841275086</v>
      </c>
      <c r="AA108">
        <f t="shared" si="48"/>
        <v>11.18186511215473</v>
      </c>
      <c r="AB108">
        <f t="shared" si="49"/>
        <v>1E-4</v>
      </c>
      <c r="AC108">
        <f t="shared" si="53"/>
        <v>3.1815686189557493</v>
      </c>
      <c r="AD108">
        <f t="shared" si="54"/>
        <v>6.7726141458748277</v>
      </c>
      <c r="AE108">
        <f t="shared" si="55"/>
        <v>34.46595515619385</v>
      </c>
      <c r="AF108">
        <f t="shared" si="56"/>
        <v>3.877419955071808</v>
      </c>
      <c r="AG108">
        <f t="shared" si="57"/>
        <v>17.232977578096925</v>
      </c>
      <c r="AH108">
        <f t="shared" si="58"/>
        <v>45.715145484655089</v>
      </c>
      <c r="AI108">
        <f t="shared" si="59"/>
        <v>0.01</v>
      </c>
    </row>
    <row r="109" spans="5:35" x14ac:dyDescent="0.25">
      <c r="E109">
        <f t="shared" si="50"/>
        <v>22.454668542350078</v>
      </c>
      <c r="F109">
        <f t="shared" si="30"/>
        <v>1.5436601498952318</v>
      </c>
      <c r="G109">
        <f t="shared" si="31"/>
        <v>0.10328433222034986</v>
      </c>
      <c r="H109">
        <f t="shared" si="32"/>
        <v>3.8168456230030374</v>
      </c>
      <c r="I109">
        <f t="shared" si="33"/>
        <v>0.42939513258784168</v>
      </c>
      <c r="J109">
        <f t="shared" si="34"/>
        <v>1.9084228115015187</v>
      </c>
      <c r="K109">
        <f t="shared" si="35"/>
        <v>0.69716924248736156</v>
      </c>
      <c r="L109">
        <v>108</v>
      </c>
      <c r="M109">
        <f t="shared" si="51"/>
        <v>0.1</v>
      </c>
      <c r="N109">
        <f t="shared" si="36"/>
        <v>5.1120946198045889</v>
      </c>
      <c r="O109">
        <f t="shared" si="37"/>
        <v>2.1808835329128637</v>
      </c>
      <c r="P109">
        <f t="shared" si="38"/>
        <v>27.756833729883187</v>
      </c>
      <c r="Q109">
        <f t="shared" si="39"/>
        <v>3.122643794611859</v>
      </c>
      <c r="R109">
        <f t="shared" si="40"/>
        <v>13.878416864941594</v>
      </c>
      <c r="S109">
        <f t="shared" si="41"/>
        <v>14.720963847161832</v>
      </c>
      <c r="T109">
        <f t="shared" si="42"/>
        <v>0.15</v>
      </c>
      <c r="U109">
        <f t="shared" si="52"/>
        <v>1.4499632636953808</v>
      </c>
      <c r="V109">
        <f t="shared" si="43"/>
        <v>0.97574408003909641</v>
      </c>
      <c r="W109">
        <f t="shared" si="44"/>
        <v>1.6195263344190893</v>
      </c>
      <c r="X109">
        <f t="shared" si="45"/>
        <v>9.4740505701133912</v>
      </c>
      <c r="Y109">
        <f t="shared" si="46"/>
        <v>1.0658306891377565</v>
      </c>
      <c r="Z109">
        <f t="shared" si="47"/>
        <v>4.7370252850566956</v>
      </c>
      <c r="AA109">
        <f t="shared" si="48"/>
        <v>10.931802757328853</v>
      </c>
      <c r="AB109">
        <f t="shared" si="49"/>
        <v>1E-4</v>
      </c>
      <c r="AC109">
        <f t="shared" si="53"/>
        <v>3.1453764741698018</v>
      </c>
      <c r="AD109">
        <f t="shared" si="54"/>
        <v>6.6115950411642403</v>
      </c>
      <c r="AE109">
        <f t="shared" si="55"/>
        <v>33.883817372043112</v>
      </c>
      <c r="AF109">
        <f t="shared" si="56"/>
        <v>3.8119294543548494</v>
      </c>
      <c r="AG109">
        <f t="shared" si="57"/>
        <v>16.941908686021556</v>
      </c>
      <c r="AH109">
        <f t="shared" si="58"/>
        <v>44.628266527858621</v>
      </c>
      <c r="AI109">
        <f t="shared" si="59"/>
        <v>0.01</v>
      </c>
    </row>
    <row r="110" spans="5:35" x14ac:dyDescent="0.25">
      <c r="E110">
        <f t="shared" si="50"/>
        <v>23.128308598620581</v>
      </c>
      <c r="F110">
        <f t="shared" si="30"/>
        <v>1.5289102181389724</v>
      </c>
      <c r="G110">
        <f t="shared" si="31"/>
        <v>9.7345368973606558E-2</v>
      </c>
      <c r="H110">
        <f t="shared" si="32"/>
        <v>3.7009134233575005</v>
      </c>
      <c r="I110">
        <f t="shared" si="33"/>
        <v>0.41635276012771888</v>
      </c>
      <c r="J110">
        <f t="shared" si="34"/>
        <v>1.8504567116787503</v>
      </c>
      <c r="K110">
        <f t="shared" si="35"/>
        <v>0.65708124057184425</v>
      </c>
      <c r="L110">
        <v>109</v>
      </c>
      <c r="M110">
        <f t="shared" si="51"/>
        <v>0.1</v>
      </c>
      <c r="N110">
        <f t="shared" si="36"/>
        <v>5.0366119942119427</v>
      </c>
      <c r="O110">
        <f t="shared" si="37"/>
        <v>2.0535495028967929</v>
      </c>
      <c r="P110">
        <f t="shared" si="38"/>
        <v>26.827887567115646</v>
      </c>
      <c r="Q110">
        <f t="shared" si="39"/>
        <v>3.0181373513005099</v>
      </c>
      <c r="R110">
        <f t="shared" si="40"/>
        <v>13.413943783557823</v>
      </c>
      <c r="S110">
        <f t="shared" si="41"/>
        <v>13.861459144553351</v>
      </c>
      <c r="T110">
        <f t="shared" si="42"/>
        <v>0.15</v>
      </c>
      <c r="U110">
        <f t="shared" si="52"/>
        <v>1.4644628963323345</v>
      </c>
      <c r="V110">
        <f t="shared" si="43"/>
        <v>0.96661288369704101</v>
      </c>
      <c r="W110">
        <f t="shared" si="44"/>
        <v>1.5834045900608629</v>
      </c>
      <c r="X110">
        <f t="shared" si="45"/>
        <v>9.3316187011706262</v>
      </c>
      <c r="Y110">
        <f t="shared" si="46"/>
        <v>1.0498071038816954</v>
      </c>
      <c r="Z110">
        <f t="shared" si="47"/>
        <v>4.6658093505853131</v>
      </c>
      <c r="AA110">
        <f t="shared" si="48"/>
        <v>10.687980982910824</v>
      </c>
      <c r="AB110">
        <f t="shared" si="49"/>
        <v>1E-4</v>
      </c>
      <c r="AC110">
        <f t="shared" si="53"/>
        <v>3.109991518298707</v>
      </c>
      <c r="AD110">
        <f t="shared" si="54"/>
        <v>6.4550415123559679</v>
      </c>
      <c r="AE110">
        <f t="shared" si="55"/>
        <v>33.315484241359634</v>
      </c>
      <c r="AF110">
        <f t="shared" si="56"/>
        <v>3.7479919771529588</v>
      </c>
      <c r="AG110">
        <f t="shared" si="57"/>
        <v>16.657742120679817</v>
      </c>
      <c r="AH110">
        <f t="shared" si="58"/>
        <v>43.571530208402784</v>
      </c>
      <c r="AI110">
        <f t="shared" si="59"/>
        <v>0.01</v>
      </c>
    </row>
    <row r="111" spans="5:35" x14ac:dyDescent="0.25">
      <c r="E111">
        <f t="shared" si="50"/>
        <v>23.822157856579199</v>
      </c>
      <c r="F111">
        <f t="shared" si="30"/>
        <v>1.5144310184122765</v>
      </c>
      <c r="G111">
        <f t="shared" si="31"/>
        <v>9.1748445658435138E-2</v>
      </c>
      <c r="H111">
        <f t="shared" si="32"/>
        <v>3.5886425983366323</v>
      </c>
      <c r="I111">
        <f t="shared" si="33"/>
        <v>0.4037222923128711</v>
      </c>
      <c r="J111">
        <f t="shared" si="34"/>
        <v>1.7943212991683162</v>
      </c>
      <c r="K111">
        <f t="shared" si="35"/>
        <v>0.61930200819443726</v>
      </c>
      <c r="L111">
        <v>110</v>
      </c>
      <c r="M111">
        <f t="shared" si="51"/>
        <v>0.1</v>
      </c>
      <c r="N111">
        <f t="shared" si="36"/>
        <v>4.9632833045228359</v>
      </c>
      <c r="O111">
        <f t="shared" si="37"/>
        <v>1.9337677216203142</v>
      </c>
      <c r="P111">
        <f t="shared" si="38"/>
        <v>25.933911543628781</v>
      </c>
      <c r="Q111">
        <f t="shared" si="39"/>
        <v>2.9175650486582381</v>
      </c>
      <c r="R111">
        <f t="shared" si="40"/>
        <v>12.966955771814391</v>
      </c>
      <c r="S111">
        <f t="shared" si="41"/>
        <v>13.05293212093712</v>
      </c>
      <c r="T111">
        <f t="shared" si="42"/>
        <v>0.15</v>
      </c>
      <c r="U111">
        <f t="shared" si="52"/>
        <v>1.4791075252956578</v>
      </c>
      <c r="V111">
        <f t="shared" si="43"/>
        <v>0.95764923863182538</v>
      </c>
      <c r="W111">
        <f t="shared" si="44"/>
        <v>1.5481800830140573</v>
      </c>
      <c r="X111">
        <f t="shared" si="45"/>
        <v>9.1920445584179316</v>
      </c>
      <c r="Y111">
        <f t="shared" si="46"/>
        <v>1.0341050128220175</v>
      </c>
      <c r="Z111">
        <f t="shared" si="47"/>
        <v>4.5960222792089658</v>
      </c>
      <c r="AA111">
        <f t="shared" si="48"/>
        <v>10.450215560344887</v>
      </c>
      <c r="AB111">
        <f t="shared" si="49"/>
        <v>1E-4</v>
      </c>
      <c r="AC111">
        <f t="shared" si="53"/>
        <v>3.0753870458807082</v>
      </c>
      <c r="AD111">
        <f t="shared" si="54"/>
        <v>6.3028000683168681</v>
      </c>
      <c r="AE111">
        <f t="shared" si="55"/>
        <v>32.760497631178964</v>
      </c>
      <c r="AF111">
        <f t="shared" si="56"/>
        <v>3.6855559835076335</v>
      </c>
      <c r="AG111">
        <f t="shared" si="57"/>
        <v>16.380248815589482</v>
      </c>
      <c r="AH111">
        <f t="shared" si="58"/>
        <v>42.543900461138861</v>
      </c>
      <c r="AI111">
        <f t="shared" si="59"/>
        <v>0.01</v>
      </c>
    </row>
    <row r="112" spans="5:35" x14ac:dyDescent="0.25">
      <c r="E112">
        <f t="shared" si="50"/>
        <v>24.536822592276575</v>
      </c>
      <c r="F112">
        <f t="shared" si="30"/>
        <v>1.5002151671136508</v>
      </c>
      <c r="G112">
        <f t="shared" si="31"/>
        <v>8.6473802694602378E-2</v>
      </c>
      <c r="H112">
        <f t="shared" si="32"/>
        <v>3.4799091602476722</v>
      </c>
      <c r="I112">
        <f t="shared" si="33"/>
        <v>0.3914897805278631</v>
      </c>
      <c r="J112">
        <f t="shared" si="34"/>
        <v>1.7399545801238361</v>
      </c>
      <c r="K112">
        <f t="shared" si="35"/>
        <v>0.58369816818856612</v>
      </c>
      <c r="L112">
        <v>111</v>
      </c>
      <c r="M112">
        <f t="shared" si="51"/>
        <v>0.1</v>
      </c>
      <c r="N112">
        <f t="shared" si="36"/>
        <v>4.89201766441606</v>
      </c>
      <c r="O112">
        <f t="shared" si="37"/>
        <v>1.8210769536768527</v>
      </c>
      <c r="P112">
        <f t="shared" si="38"/>
        <v>25.073336500141487</v>
      </c>
      <c r="Q112">
        <f t="shared" si="39"/>
        <v>2.8207503562659166</v>
      </c>
      <c r="R112">
        <f t="shared" si="40"/>
        <v>12.536668250070743</v>
      </c>
      <c r="S112">
        <f t="shared" si="41"/>
        <v>12.292269437318755</v>
      </c>
      <c r="T112">
        <f t="shared" si="42"/>
        <v>0.15</v>
      </c>
      <c r="U112">
        <f t="shared" si="52"/>
        <v>1.4938986005486143</v>
      </c>
      <c r="V112">
        <f t="shared" si="43"/>
        <v>0.94884857526316058</v>
      </c>
      <c r="W112">
        <f t="shared" si="44"/>
        <v>1.5138265127144901</v>
      </c>
      <c r="X112">
        <f t="shared" si="45"/>
        <v>9.0552496955244326</v>
      </c>
      <c r="Y112">
        <f t="shared" si="46"/>
        <v>1.0187155907464986</v>
      </c>
      <c r="Z112">
        <f t="shared" si="47"/>
        <v>4.5276248477622163</v>
      </c>
      <c r="AA112">
        <f t="shared" si="48"/>
        <v>10.218328960822808</v>
      </c>
      <c r="AB112">
        <f t="shared" si="49"/>
        <v>1E-4</v>
      </c>
      <c r="AC112">
        <f t="shared" si="53"/>
        <v>3.041537516654008</v>
      </c>
      <c r="AD112">
        <f t="shared" si="54"/>
        <v>6.1547238966399105</v>
      </c>
      <c r="AE112">
        <f t="shared" si="55"/>
        <v>32.218419384843557</v>
      </c>
      <c r="AF112">
        <f t="shared" si="56"/>
        <v>3.6245721807948996</v>
      </c>
      <c r="AG112">
        <f t="shared" si="57"/>
        <v>16.109209692421778</v>
      </c>
      <c r="AH112">
        <f t="shared" si="58"/>
        <v>41.544386302319396</v>
      </c>
      <c r="AI112">
        <f t="shared" si="59"/>
        <v>0.01</v>
      </c>
    </row>
    <row r="113" spans="5:35" x14ac:dyDescent="0.25">
      <c r="E113">
        <f t="shared" si="50"/>
        <v>25.272927270044875</v>
      </c>
      <c r="F113">
        <f t="shared" si="30"/>
        <v>1.4862555467173288</v>
      </c>
      <c r="G113">
        <f t="shared" si="31"/>
        <v>8.1502828778818273E-2</v>
      </c>
      <c r="H113">
        <f t="shared" si="32"/>
        <v>3.3745938179524297</v>
      </c>
      <c r="I113">
        <f t="shared" si="33"/>
        <v>0.3796418045196483</v>
      </c>
      <c r="J113">
        <f t="shared" si="34"/>
        <v>1.6872969089762149</v>
      </c>
      <c r="K113">
        <f t="shared" si="35"/>
        <v>0.55014409425702337</v>
      </c>
      <c r="L113">
        <v>112</v>
      </c>
      <c r="M113">
        <f t="shared" si="51"/>
        <v>0.1</v>
      </c>
      <c r="N113">
        <f t="shared" si="36"/>
        <v>4.8227292299686839</v>
      </c>
      <c r="O113">
        <f t="shared" si="37"/>
        <v>1.7150456352256009</v>
      </c>
      <c r="P113">
        <f t="shared" si="38"/>
        <v>24.244680254770664</v>
      </c>
      <c r="Q113">
        <f t="shared" si="39"/>
        <v>2.7275265286616994</v>
      </c>
      <c r="R113">
        <f t="shared" si="40"/>
        <v>12.122340127385332</v>
      </c>
      <c r="S113">
        <f t="shared" si="41"/>
        <v>11.576558037772807</v>
      </c>
      <c r="T113">
        <f t="shared" si="42"/>
        <v>0.15</v>
      </c>
      <c r="U113">
        <f t="shared" si="52"/>
        <v>1.5088375865541006</v>
      </c>
      <c r="V113">
        <f t="shared" si="43"/>
        <v>0.94020648868032874</v>
      </c>
      <c r="W113">
        <f t="shared" si="44"/>
        <v>1.4803185267269663</v>
      </c>
      <c r="X113">
        <f t="shared" si="45"/>
        <v>8.9211584896845633</v>
      </c>
      <c r="Y113">
        <f t="shared" si="46"/>
        <v>1.0036303300895133</v>
      </c>
      <c r="Z113">
        <f t="shared" si="47"/>
        <v>4.4605792448422816</v>
      </c>
      <c r="AA113">
        <f t="shared" si="48"/>
        <v>9.9921500554070235</v>
      </c>
      <c r="AB113">
        <f t="shared" si="49"/>
        <v>1E-4</v>
      </c>
      <c r="AC113">
        <f t="shared" si="53"/>
        <v>3.008418492693131</v>
      </c>
      <c r="AD113">
        <f t="shared" si="54"/>
        <v>6.0106725043976512</v>
      </c>
      <c r="AE113">
        <f t="shared" si="55"/>
        <v>31.688830244352591</v>
      </c>
      <c r="AF113">
        <f t="shared" si="56"/>
        <v>3.5649934024896668</v>
      </c>
      <c r="AG113">
        <f t="shared" si="57"/>
        <v>15.844415122176295</v>
      </c>
      <c r="AH113">
        <f t="shared" si="58"/>
        <v>40.572039404684148</v>
      </c>
      <c r="AI113">
        <f t="shared" si="59"/>
        <v>0.01</v>
      </c>
    </row>
    <row r="114" spans="5:35" x14ac:dyDescent="0.25">
      <c r="E114">
        <f t="shared" si="50"/>
        <v>26.031115088146223</v>
      </c>
      <c r="F114">
        <f t="shared" si="30"/>
        <v>1.472545293894892</v>
      </c>
      <c r="G114">
        <f t="shared" si="31"/>
        <v>7.681799340049901E-2</v>
      </c>
      <c r="H114">
        <f t="shared" si="32"/>
        <v>3.2725817696515596</v>
      </c>
      <c r="I114">
        <f t="shared" si="33"/>
        <v>0.36816544908580046</v>
      </c>
      <c r="J114">
        <f t="shared" si="34"/>
        <v>1.6362908848257798</v>
      </c>
      <c r="K114">
        <f t="shared" si="35"/>
        <v>0.51852145545336836</v>
      </c>
      <c r="L114">
        <v>113</v>
      </c>
      <c r="M114">
        <f t="shared" si="51"/>
        <v>0.1</v>
      </c>
      <c r="N114">
        <f t="shared" si="36"/>
        <v>4.7553368547478492</v>
      </c>
      <c r="O114">
        <f t="shared" si="37"/>
        <v>1.6152697969248044</v>
      </c>
      <c r="P114">
        <f t="shared" si="38"/>
        <v>23.446541686465284</v>
      </c>
      <c r="Q114">
        <f t="shared" si="39"/>
        <v>2.6377359397273445</v>
      </c>
      <c r="R114">
        <f t="shared" si="40"/>
        <v>11.723270843232642</v>
      </c>
      <c r="S114">
        <f t="shared" si="41"/>
        <v>10.903071129242429</v>
      </c>
      <c r="T114">
        <f t="shared" si="42"/>
        <v>0.15</v>
      </c>
      <c r="U114">
        <f t="shared" si="52"/>
        <v>1.5239259624196417</v>
      </c>
      <c r="V114">
        <f t="shared" si="43"/>
        <v>0.93171873129083538</v>
      </c>
      <c r="W114">
        <f t="shared" si="44"/>
        <v>1.4476316786954884</v>
      </c>
      <c r="X114">
        <f t="shared" si="45"/>
        <v>8.7896980155987841</v>
      </c>
      <c r="Y114">
        <f t="shared" si="46"/>
        <v>0.98884102675486318</v>
      </c>
      <c r="Z114">
        <f t="shared" si="47"/>
        <v>4.394849007799392</v>
      </c>
      <c r="AA114">
        <f t="shared" si="48"/>
        <v>9.7715138311945466</v>
      </c>
      <c r="AB114">
        <f t="shared" si="49"/>
        <v>1E-4</v>
      </c>
      <c r="AC114">
        <f t="shared" si="53"/>
        <v>2.9760065795718784</v>
      </c>
      <c r="AD114">
        <f t="shared" si="54"/>
        <v>5.8705113818985648</v>
      </c>
      <c r="AE114">
        <f t="shared" si="55"/>
        <v>31.171328841735928</v>
      </c>
      <c r="AF114">
        <f t="shared" si="56"/>
        <v>3.5067744946952915</v>
      </c>
      <c r="AG114">
        <f t="shared" si="57"/>
        <v>15.585664420867964</v>
      </c>
      <c r="AH114">
        <f t="shared" si="58"/>
        <v>39.625951827815314</v>
      </c>
      <c r="AI114">
        <f t="shared" si="59"/>
        <v>0.01</v>
      </c>
    </row>
    <row r="115" spans="5:35" x14ac:dyDescent="0.25">
      <c r="E115">
        <f t="shared" si="50"/>
        <v>26.81204854079061</v>
      </c>
      <c r="F115">
        <f t="shared" si="30"/>
        <v>1.4590777882675761</v>
      </c>
      <c r="G115">
        <f t="shared" si="31"/>
        <v>7.240278340755589E-2</v>
      </c>
      <c r="H115">
        <f t="shared" si="32"/>
        <v>3.1737625064982877</v>
      </c>
      <c r="I115">
        <f t="shared" si="33"/>
        <v>0.35704828198105737</v>
      </c>
      <c r="J115">
        <f t="shared" si="34"/>
        <v>1.5868812532491439</v>
      </c>
      <c r="K115">
        <f t="shared" si="35"/>
        <v>0.48871878800100227</v>
      </c>
      <c r="L115">
        <v>114</v>
      </c>
      <c r="M115">
        <f t="shared" si="51"/>
        <v>0.1</v>
      </c>
      <c r="N115">
        <f t="shared" si="36"/>
        <v>4.6897637728313173</v>
      </c>
      <c r="O115">
        <f t="shared" si="37"/>
        <v>1.5213711507243313</v>
      </c>
      <c r="P115">
        <f t="shared" si="38"/>
        <v>22.677595296976115</v>
      </c>
      <c r="Q115">
        <f t="shared" si="39"/>
        <v>2.5512294709098127</v>
      </c>
      <c r="R115">
        <f t="shared" si="40"/>
        <v>11.338797648488057</v>
      </c>
      <c r="S115">
        <f t="shared" si="41"/>
        <v>10.269255267389235</v>
      </c>
      <c r="T115">
        <f t="shared" si="42"/>
        <v>0.15</v>
      </c>
      <c r="U115">
        <f t="shared" si="52"/>
        <v>1.5391652220438381</v>
      </c>
      <c r="V115">
        <f t="shared" si="43"/>
        <v>0.92338120585947236</v>
      </c>
      <c r="W115">
        <f t="shared" si="44"/>
        <v>1.415742388522601</v>
      </c>
      <c r="X115">
        <f t="shared" si="45"/>
        <v>8.6607979261456904</v>
      </c>
      <c r="Y115">
        <f t="shared" si="46"/>
        <v>0.97433976669139022</v>
      </c>
      <c r="Z115">
        <f t="shared" si="47"/>
        <v>4.3303989630728452</v>
      </c>
      <c r="AA115">
        <f t="shared" si="48"/>
        <v>9.5562611225275589</v>
      </c>
      <c r="AB115">
        <f t="shared" si="49"/>
        <v>1E-4</v>
      </c>
      <c r="AC115">
        <f t="shared" si="53"/>
        <v>2.9442793712547441</v>
      </c>
      <c r="AD115">
        <f t="shared" si="54"/>
        <v>5.7341116877451226</v>
      </c>
      <c r="AE115">
        <f t="shared" si="55"/>
        <v>30.665530754348651</v>
      </c>
      <c r="AF115">
        <f t="shared" si="56"/>
        <v>3.4498722098642234</v>
      </c>
      <c r="AG115">
        <f t="shared" si="57"/>
        <v>15.332765377174326</v>
      </c>
      <c r="AH115">
        <f t="shared" si="58"/>
        <v>38.705253892279579</v>
      </c>
      <c r="AI115">
        <f t="shared" si="59"/>
        <v>0.01</v>
      </c>
    </row>
    <row r="116" spans="5:35" x14ac:dyDescent="0.25">
      <c r="E116">
        <f t="shared" si="50"/>
        <v>27.61640999701433</v>
      </c>
      <c r="F116">
        <f t="shared" si="30"/>
        <v>1.4458466417506262</v>
      </c>
      <c r="G116">
        <f t="shared" si="31"/>
        <v>6.824164336987415E-2</v>
      </c>
      <c r="H116">
        <f t="shared" si="32"/>
        <v>3.0780296263797782</v>
      </c>
      <c r="I116">
        <f t="shared" si="33"/>
        <v>0.34627833296772503</v>
      </c>
      <c r="J116">
        <f t="shared" si="34"/>
        <v>1.5390148131898891</v>
      </c>
      <c r="K116">
        <f t="shared" si="35"/>
        <v>0.46063109274665054</v>
      </c>
      <c r="L116">
        <v>115</v>
      </c>
      <c r="M116">
        <f t="shared" si="51"/>
        <v>0.1</v>
      </c>
      <c r="N116">
        <f t="shared" si="36"/>
        <v>4.6259373071531771</v>
      </c>
      <c r="O116">
        <f t="shared" si="37"/>
        <v>1.4329953256362065</v>
      </c>
      <c r="P116">
        <f t="shared" si="38"/>
        <v>21.936586206741577</v>
      </c>
      <c r="Q116">
        <f t="shared" si="39"/>
        <v>2.4678659482584271</v>
      </c>
      <c r="R116">
        <f t="shared" si="40"/>
        <v>10.968293103370788</v>
      </c>
      <c r="S116">
        <f t="shared" si="41"/>
        <v>9.6727184480443924</v>
      </c>
      <c r="T116">
        <f t="shared" si="42"/>
        <v>0.15</v>
      </c>
      <c r="U116">
        <f t="shared" si="52"/>
        <v>1.5545568742642766</v>
      </c>
      <c r="V116">
        <f t="shared" si="43"/>
        <v>0.91518995891363553</v>
      </c>
      <c r="W116">
        <f t="shared" si="44"/>
        <v>1.3846279046409575</v>
      </c>
      <c r="X116">
        <f t="shared" si="45"/>
        <v>8.5343903393346618</v>
      </c>
      <c r="Y116">
        <f t="shared" si="46"/>
        <v>0.96011891317514952</v>
      </c>
      <c r="Z116">
        <f t="shared" si="47"/>
        <v>4.2671951696673309</v>
      </c>
      <c r="AA116">
        <f t="shared" si="48"/>
        <v>9.346238356326463</v>
      </c>
      <c r="AB116">
        <f t="shared" si="49"/>
        <v>1E-4</v>
      </c>
      <c r="AC116">
        <f t="shared" si="53"/>
        <v>2.9132153984443843</v>
      </c>
      <c r="AD116">
        <f t="shared" si="54"/>
        <v>5.6013499536348927</v>
      </c>
      <c r="AE116">
        <f t="shared" si="55"/>
        <v>30.171067619409861</v>
      </c>
      <c r="AF116">
        <f t="shared" si="56"/>
        <v>3.3942451071836093</v>
      </c>
      <c r="AG116">
        <f t="shared" si="57"/>
        <v>15.085533809704931</v>
      </c>
      <c r="AH116">
        <f t="shared" si="58"/>
        <v>37.809112187035524</v>
      </c>
      <c r="AI116">
        <f t="shared" si="59"/>
        <v>0.01</v>
      </c>
    </row>
    <row r="117" spans="5:35" x14ac:dyDescent="0.25">
      <c r="E117">
        <f t="shared" si="50"/>
        <v>28.444902296924759</v>
      </c>
      <c r="F117">
        <f t="shared" si="30"/>
        <v>1.4328456884535188</v>
      </c>
      <c r="G117">
        <f t="shared" si="31"/>
        <v>6.431991950487756E-2</v>
      </c>
      <c r="H117">
        <f t="shared" si="32"/>
        <v>2.9852806572504336</v>
      </c>
      <c r="I117">
        <f t="shared" si="33"/>
        <v>0.33584407394067373</v>
      </c>
      <c r="J117">
        <f t="shared" si="34"/>
        <v>1.4926403286252168</v>
      </c>
      <c r="K117">
        <f t="shared" si="35"/>
        <v>0.43415945665792349</v>
      </c>
      <c r="L117">
        <v>116</v>
      </c>
      <c r="M117">
        <f t="shared" si="51"/>
        <v>0.1</v>
      </c>
      <c r="N117">
        <f t="shared" si="36"/>
        <v>4.5637886008456956</v>
      </c>
      <c r="O117">
        <f t="shared" si="37"/>
        <v>1.3498102391520235</v>
      </c>
      <c r="P117">
        <f t="shared" si="38"/>
        <v>21.222325544762015</v>
      </c>
      <c r="Q117">
        <f t="shared" si="39"/>
        <v>2.3875116237857266</v>
      </c>
      <c r="R117">
        <f t="shared" si="40"/>
        <v>10.611162772381007</v>
      </c>
      <c r="S117">
        <f t="shared" si="41"/>
        <v>9.1112191142761585</v>
      </c>
      <c r="T117">
        <f t="shared" si="42"/>
        <v>0.15</v>
      </c>
      <c r="U117">
        <f t="shared" si="52"/>
        <v>1.5701024430069193</v>
      </c>
      <c r="V117">
        <f t="shared" si="43"/>
        <v>0.9071411744928316</v>
      </c>
      <c r="W117">
        <f t="shared" si="44"/>
        <v>1.3542662682497069</v>
      </c>
      <c r="X117">
        <f t="shared" si="45"/>
        <v>8.4104097311567454</v>
      </c>
      <c r="Y117">
        <f t="shared" si="46"/>
        <v>0.94617109475513372</v>
      </c>
      <c r="Z117">
        <f t="shared" si="47"/>
        <v>4.2052048655783727</v>
      </c>
      <c r="AA117">
        <f t="shared" si="48"/>
        <v>9.1412973106855215</v>
      </c>
      <c r="AB117">
        <f t="shared" si="49"/>
        <v>1E-4</v>
      </c>
      <c r="AC117">
        <f t="shared" si="53"/>
        <v>2.882794080134746</v>
      </c>
      <c r="AD117">
        <f t="shared" si="54"/>
        <v>5.4721078074748029</v>
      </c>
      <c r="AE117">
        <f t="shared" si="55"/>
        <v>29.687586303495767</v>
      </c>
      <c r="AF117">
        <f t="shared" si="56"/>
        <v>3.3398534591432738</v>
      </c>
      <c r="AG117">
        <f t="shared" si="57"/>
        <v>14.843793151747883</v>
      </c>
      <c r="AH117">
        <f t="shared" si="58"/>
        <v>36.936727700454917</v>
      </c>
      <c r="AI117">
        <f t="shared" si="59"/>
        <v>0.01</v>
      </c>
    </row>
    <row r="118" spans="5:35" x14ac:dyDescent="0.25">
      <c r="E118">
        <f t="shared" si="50"/>
        <v>29.298249365832504</v>
      </c>
      <c r="F118">
        <f t="shared" si="30"/>
        <v>1.4200689751026327</v>
      </c>
      <c r="G118">
        <f t="shared" si="31"/>
        <v>6.062380694508978E-2</v>
      </c>
      <c r="H118">
        <f t="shared" si="32"/>
        <v>2.8954168894439438</v>
      </c>
      <c r="I118">
        <f t="shared" si="33"/>
        <v>0.32573440006244364</v>
      </c>
      <c r="J118">
        <f t="shared" si="34"/>
        <v>1.4477084447219719</v>
      </c>
      <c r="K118">
        <f t="shared" si="35"/>
        <v>0.40921069687935596</v>
      </c>
      <c r="L118">
        <v>117</v>
      </c>
      <c r="M118">
        <f t="shared" si="51"/>
        <v>0.1</v>
      </c>
      <c r="N118">
        <f t="shared" si="36"/>
        <v>4.5032523694886457</v>
      </c>
      <c r="O118">
        <f t="shared" si="37"/>
        <v>1.2715045923448973</v>
      </c>
      <c r="P118">
        <f t="shared" si="38"/>
        <v>20.533686196678346</v>
      </c>
      <c r="Q118">
        <f t="shared" si="39"/>
        <v>2.3100396971263137</v>
      </c>
      <c r="R118">
        <f t="shared" si="40"/>
        <v>10.266843098339173</v>
      </c>
      <c r="S118">
        <f t="shared" si="41"/>
        <v>8.5826559983280575</v>
      </c>
      <c r="T118">
        <f t="shared" si="42"/>
        <v>0.15</v>
      </c>
      <c r="U118">
        <f t="shared" si="52"/>
        <v>1.5858034674369885</v>
      </c>
      <c r="V118">
        <f t="shared" si="43"/>
        <v>0.89923116822141358</v>
      </c>
      <c r="W118">
        <f t="shared" si="44"/>
        <v>1.3246362793970887</v>
      </c>
      <c r="X118">
        <f t="shared" si="45"/>
        <v>8.2887928339778387</v>
      </c>
      <c r="Y118">
        <f t="shared" si="46"/>
        <v>0.93248919382250672</v>
      </c>
      <c r="Z118">
        <f t="shared" si="47"/>
        <v>4.1443964169889194</v>
      </c>
      <c r="AA118">
        <f t="shared" si="48"/>
        <v>8.9412948859303487</v>
      </c>
      <c r="AB118">
        <f t="shared" si="49"/>
        <v>1E-4</v>
      </c>
      <c r="AC118">
        <f t="shared" si="53"/>
        <v>2.8529956781400996</v>
      </c>
      <c r="AD118">
        <f t="shared" si="54"/>
        <v>5.346271713495895</v>
      </c>
      <c r="AE118">
        <f t="shared" si="55"/>
        <v>29.214748123049045</v>
      </c>
      <c r="AF118">
        <f t="shared" si="56"/>
        <v>3.2866591638430176</v>
      </c>
      <c r="AG118">
        <f t="shared" si="57"/>
        <v>14.607374061524522</v>
      </c>
      <c r="AH118">
        <f t="shared" si="58"/>
        <v>36.087334066097291</v>
      </c>
      <c r="AI118">
        <f t="shared" si="59"/>
        <v>0.01</v>
      </c>
    </row>
    <row r="119" spans="5:35" x14ac:dyDescent="0.25">
      <c r="E119">
        <f t="shared" si="50"/>
        <v>30.17719684680748</v>
      </c>
      <c r="F119">
        <f t="shared" si="30"/>
        <v>1.4075107519550838</v>
      </c>
      <c r="G119">
        <f t="shared" si="31"/>
        <v>5.7140300142001818E-2</v>
      </c>
      <c r="H119">
        <f t="shared" si="32"/>
        <v>2.8083432164301341</v>
      </c>
      <c r="I119">
        <f t="shared" si="33"/>
        <v>0.31593861184839012</v>
      </c>
      <c r="J119">
        <f t="shared" si="34"/>
        <v>1.404171608215067</v>
      </c>
      <c r="K119">
        <f t="shared" si="35"/>
        <v>0.38569702595851219</v>
      </c>
      <c r="L119">
        <v>118</v>
      </c>
      <c r="M119">
        <f t="shared" si="51"/>
        <v>0.1</v>
      </c>
      <c r="N119">
        <f t="shared" si="36"/>
        <v>4.4442666723928959</v>
      </c>
      <c r="O119">
        <f t="shared" si="37"/>
        <v>1.1977864779043175</v>
      </c>
      <c r="P119">
        <f t="shared" si="38"/>
        <v>19.869598878937879</v>
      </c>
      <c r="Q119">
        <f t="shared" si="39"/>
        <v>2.2353298738805112</v>
      </c>
      <c r="R119">
        <f t="shared" si="40"/>
        <v>9.9347994394689394</v>
      </c>
      <c r="S119">
        <f t="shared" si="41"/>
        <v>8.0850587258541431</v>
      </c>
      <c r="T119">
        <f t="shared" si="42"/>
        <v>0.15</v>
      </c>
      <c r="U119">
        <f t="shared" si="52"/>
        <v>1.6016615021113585</v>
      </c>
      <c r="V119">
        <f t="shared" si="43"/>
        <v>0.89145638168528851</v>
      </c>
      <c r="W119">
        <f t="shared" si="44"/>
        <v>1.2957174647987515</v>
      </c>
      <c r="X119">
        <f t="shared" si="45"/>
        <v>8.1694785401425953</v>
      </c>
      <c r="Y119">
        <f t="shared" si="46"/>
        <v>0.91906633576604191</v>
      </c>
      <c r="Z119">
        <f t="shared" si="47"/>
        <v>4.0847392700712977</v>
      </c>
      <c r="AA119">
        <f t="shared" si="48"/>
        <v>8.7460928873915726</v>
      </c>
      <c r="AB119">
        <f t="shared" si="49"/>
        <v>1E-4</v>
      </c>
      <c r="AC119">
        <f t="shared" si="53"/>
        <v>2.8238012543890179</v>
      </c>
      <c r="AD119">
        <f t="shared" si="54"/>
        <v>5.2237327281622976</v>
      </c>
      <c r="AE119">
        <f t="shared" si="55"/>
        <v>28.752228112285174</v>
      </c>
      <c r="AF119">
        <f t="shared" si="56"/>
        <v>3.2346256626320824</v>
      </c>
      <c r="AG119">
        <f t="shared" si="57"/>
        <v>14.376114056142587</v>
      </c>
      <c r="AH119">
        <f t="shared" si="58"/>
        <v>35.260195915095515</v>
      </c>
      <c r="AI119">
        <f t="shared" si="59"/>
        <v>0.01</v>
      </c>
    </row>
    <row r="120" spans="5:35" x14ac:dyDescent="0.25">
      <c r="E120">
        <f t="shared" si="50"/>
        <v>31.082512752211706</v>
      </c>
      <c r="F120">
        <f t="shared" si="30"/>
        <v>1.3951654641745042</v>
      </c>
      <c r="G120">
        <f t="shared" si="31"/>
        <v>5.3857146213925837E-2</v>
      </c>
      <c r="H120">
        <f t="shared" si="32"/>
        <v>2.7239679835189108</v>
      </c>
      <c r="I120">
        <f t="shared" si="33"/>
        <v>0.30644639814587743</v>
      </c>
      <c r="J120">
        <f t="shared" si="34"/>
        <v>1.3619839917594554</v>
      </c>
      <c r="K120">
        <f t="shared" si="35"/>
        <v>0.36353573694399938</v>
      </c>
      <c r="L120">
        <v>119</v>
      </c>
      <c r="M120">
        <f t="shared" si="51"/>
        <v>0.1</v>
      </c>
      <c r="N120">
        <f t="shared" si="36"/>
        <v>4.3867727012330686</v>
      </c>
      <c r="O120">
        <f t="shared" si="37"/>
        <v>1.1283820914249465</v>
      </c>
      <c r="P120">
        <f t="shared" si="38"/>
        <v>19.229048510179027</v>
      </c>
      <c r="Q120">
        <f t="shared" si="39"/>
        <v>2.1632679573951403</v>
      </c>
      <c r="R120">
        <f t="shared" si="40"/>
        <v>9.6145242550895134</v>
      </c>
      <c r="S120">
        <f t="shared" si="41"/>
        <v>7.6165791171183885</v>
      </c>
      <c r="T120">
        <f t="shared" si="42"/>
        <v>0.15</v>
      </c>
      <c r="U120">
        <f t="shared" si="52"/>
        <v>1.6176781171324721</v>
      </c>
      <c r="V120">
        <f t="shared" si="43"/>
        <v>0.8838133770945632</v>
      </c>
      <c r="W120">
        <f t="shared" si="44"/>
        <v>1.2674900472887729</v>
      </c>
      <c r="X120">
        <f t="shared" si="45"/>
        <v>8.0524078104799113</v>
      </c>
      <c r="Y120">
        <f t="shared" si="46"/>
        <v>0.90589587867899002</v>
      </c>
      <c r="Z120">
        <f t="shared" si="47"/>
        <v>4.0262039052399556</v>
      </c>
      <c r="AA120">
        <f t="shared" si="48"/>
        <v>8.555557819199219</v>
      </c>
      <c r="AB120">
        <f t="shared" si="49"/>
        <v>1E-4</v>
      </c>
      <c r="AC120">
        <f t="shared" si="53"/>
        <v>2.7951926307888613</v>
      </c>
      <c r="AD120">
        <f t="shared" si="54"/>
        <v>5.1043862707649996</v>
      </c>
      <c r="AE120">
        <f t="shared" si="55"/>
        <v>28.299714335167415</v>
      </c>
      <c r="AF120">
        <f t="shared" si="56"/>
        <v>3.1837178627063341</v>
      </c>
      <c r="AG120">
        <f t="shared" si="57"/>
        <v>14.149857167583708</v>
      </c>
      <c r="AH120">
        <f t="shared" si="58"/>
        <v>34.454607327663744</v>
      </c>
      <c r="AI120">
        <f t="shared" si="59"/>
        <v>0.01</v>
      </c>
    </row>
    <row r="121" spans="5:35" x14ac:dyDescent="0.25">
      <c r="E121">
        <f t="shared" si="50"/>
        <v>32.014988134778058</v>
      </c>
      <c r="F121">
        <f t="shared" si="30"/>
        <v>1.3830277436417147</v>
      </c>
      <c r="G121">
        <f t="shared" si="31"/>
        <v>5.0762801057942182E-2</v>
      </c>
      <c r="H121">
        <f t="shared" si="32"/>
        <v>2.6422028440470999</v>
      </c>
      <c r="I121">
        <f t="shared" si="33"/>
        <v>0.29724781995529875</v>
      </c>
      <c r="J121">
        <f t="shared" si="34"/>
        <v>1.32110142202355</v>
      </c>
      <c r="K121">
        <f t="shared" si="35"/>
        <v>0.34264890714110979</v>
      </c>
      <c r="L121">
        <v>120</v>
      </c>
      <c r="M121">
        <f t="shared" si="51"/>
        <v>0.1</v>
      </c>
      <c r="N121">
        <f t="shared" si="36"/>
        <v>4.3307145845137125</v>
      </c>
      <c r="O121">
        <f t="shared" si="37"/>
        <v>1.0630345372224097</v>
      </c>
      <c r="P121">
        <f t="shared" si="38"/>
        <v>18.611070853850983</v>
      </c>
      <c r="Q121">
        <f t="shared" si="39"/>
        <v>2.0937454710582353</v>
      </c>
      <c r="R121">
        <f t="shared" si="40"/>
        <v>9.3055354269254913</v>
      </c>
      <c r="S121">
        <f t="shared" si="41"/>
        <v>7.1754831262512662</v>
      </c>
      <c r="T121">
        <f t="shared" si="42"/>
        <v>0.15</v>
      </c>
      <c r="U121">
        <f t="shared" si="52"/>
        <v>1.6338548983037968</v>
      </c>
      <c r="V121">
        <f t="shared" si="43"/>
        <v>0.87629883221531746</v>
      </c>
      <c r="W121">
        <f t="shared" si="44"/>
        <v>1.2399349168073279</v>
      </c>
      <c r="X121">
        <f t="shared" si="45"/>
        <v>7.9375235874216825</v>
      </c>
      <c r="Y121">
        <f t="shared" si="46"/>
        <v>0.89297140358493921</v>
      </c>
      <c r="Z121">
        <f t="shared" si="47"/>
        <v>3.9687617937108413</v>
      </c>
      <c r="AA121">
        <f t="shared" si="48"/>
        <v>8.3695606884494627</v>
      </c>
      <c r="AB121">
        <f t="shared" si="49"/>
        <v>1E-4</v>
      </c>
      <c r="AC121">
        <f t="shared" si="53"/>
        <v>2.7671523514823946</v>
      </c>
      <c r="AD121">
        <f t="shared" si="54"/>
        <v>4.9881319076791151</v>
      </c>
      <c r="AE121">
        <f t="shared" si="55"/>
        <v>27.856907238386135</v>
      </c>
      <c r="AF121">
        <f t="shared" si="56"/>
        <v>3.1339020643184399</v>
      </c>
      <c r="AG121">
        <f t="shared" si="57"/>
        <v>13.928453619193068</v>
      </c>
      <c r="AH121">
        <f t="shared" si="58"/>
        <v>33.669890376834026</v>
      </c>
      <c r="AI121">
        <f t="shared" si="59"/>
        <v>0.01</v>
      </c>
    </row>
    <row r="122" spans="5:35" x14ac:dyDescent="0.25">
      <c r="E122">
        <f t="shared" si="50"/>
        <v>32.975437778821401</v>
      </c>
      <c r="F122">
        <f t="shared" si="30"/>
        <v>1.3710924011748358</v>
      </c>
      <c r="G122">
        <f t="shared" si="31"/>
        <v>4.784638805760047E-2</v>
      </c>
      <c r="H122">
        <f t="shared" si="32"/>
        <v>2.56296262261495</v>
      </c>
      <c r="I122">
        <f t="shared" si="33"/>
        <v>0.28833329504418181</v>
      </c>
      <c r="J122">
        <f t="shared" si="34"/>
        <v>1.281481311307475</v>
      </c>
      <c r="K122">
        <f t="shared" si="35"/>
        <v>0.32296311938880318</v>
      </c>
      <c r="L122">
        <v>121</v>
      </c>
      <c r="M122">
        <f t="shared" si="51"/>
        <v>0.1</v>
      </c>
      <c r="N122">
        <f t="shared" si="36"/>
        <v>4.2760392065018333</v>
      </c>
      <c r="O122">
        <f t="shared" si="37"/>
        <v>1.0015027207954432</v>
      </c>
      <c r="P122">
        <f t="shared" si="38"/>
        <v>18.014749408648406</v>
      </c>
      <c r="Q122">
        <f t="shared" si="39"/>
        <v>2.0266593084729458</v>
      </c>
      <c r="R122">
        <f t="shared" si="40"/>
        <v>9.007374704324203</v>
      </c>
      <c r="S122">
        <f t="shared" si="41"/>
        <v>6.7601433653692418</v>
      </c>
      <c r="T122">
        <f t="shared" si="42"/>
        <v>0.15</v>
      </c>
      <c r="U122">
        <f t="shared" si="52"/>
        <v>1.6501934472868347</v>
      </c>
      <c r="V122">
        <f t="shared" si="43"/>
        <v>0.86890953555475592</v>
      </c>
      <c r="W122">
        <f t="shared" si="44"/>
        <v>1.2130336028353164</v>
      </c>
      <c r="X122">
        <f t="shared" si="45"/>
        <v>7.8247707124657122</v>
      </c>
      <c r="Y122">
        <f t="shared" si="46"/>
        <v>0.88028670515239271</v>
      </c>
      <c r="Z122">
        <f t="shared" si="47"/>
        <v>3.9123853562328561</v>
      </c>
      <c r="AA122">
        <f t="shared" si="48"/>
        <v>8.1879768191383846</v>
      </c>
      <c r="AB122">
        <f t="shared" si="49"/>
        <v>1E-4</v>
      </c>
      <c r="AC122">
        <f t="shared" si="53"/>
        <v>2.7396636473315623</v>
      </c>
      <c r="AD122">
        <f t="shared" si="54"/>
        <v>4.87487314934378</v>
      </c>
      <c r="AE122">
        <f t="shared" si="55"/>
        <v>27.423519042519775</v>
      </c>
      <c r="AF122">
        <f t="shared" si="56"/>
        <v>3.0851458922834745</v>
      </c>
      <c r="AG122">
        <f t="shared" si="57"/>
        <v>13.711759521259888</v>
      </c>
      <c r="AH122">
        <f t="shared" si="58"/>
        <v>32.90539375807051</v>
      </c>
      <c r="AI122">
        <f t="shared" si="59"/>
        <v>0.01</v>
      </c>
    </row>
    <row r="123" spans="5:35" x14ac:dyDescent="0.25">
      <c r="E123">
        <f t="shared" si="50"/>
        <v>33.964700912186046</v>
      </c>
      <c r="F123">
        <f t="shared" si="30"/>
        <v>1.3593544191351814</v>
      </c>
      <c r="G123">
        <f t="shared" si="31"/>
        <v>4.5097659228790547E-2</v>
      </c>
      <c r="H123">
        <f t="shared" si="32"/>
        <v>2.4861651849677506</v>
      </c>
      <c r="I123">
        <f t="shared" si="33"/>
        <v>0.27969358330887195</v>
      </c>
      <c r="J123">
        <f t="shared" si="34"/>
        <v>1.2430825924838753</v>
      </c>
      <c r="K123">
        <f t="shared" si="35"/>
        <v>0.30440919979433617</v>
      </c>
      <c r="L123">
        <v>122</v>
      </c>
      <c r="M123">
        <f t="shared" si="51"/>
        <v>0.1</v>
      </c>
      <c r="N123">
        <f t="shared" si="36"/>
        <v>4.2226960393926039</v>
      </c>
      <c r="O123">
        <f t="shared" si="37"/>
        <v>0.94356032080730312</v>
      </c>
      <c r="P123">
        <f t="shared" si="38"/>
        <v>17.439212525624136</v>
      </c>
      <c r="Q123">
        <f t="shared" si="39"/>
        <v>1.9619114091327154</v>
      </c>
      <c r="R123">
        <f t="shared" si="40"/>
        <v>8.7196062628120679</v>
      </c>
      <c r="S123">
        <f t="shared" si="41"/>
        <v>6.3690321654492958</v>
      </c>
      <c r="T123">
        <f t="shared" si="42"/>
        <v>0.15</v>
      </c>
      <c r="U123">
        <f t="shared" si="52"/>
        <v>1.666695381759703</v>
      </c>
      <c r="V123">
        <f t="shared" si="43"/>
        <v>0.8616423817851514</v>
      </c>
      <c r="W123">
        <f t="shared" si="44"/>
        <v>1.1867682481922286</v>
      </c>
      <c r="X123">
        <f t="shared" si="45"/>
        <v>7.7140958477314641</v>
      </c>
      <c r="Y123">
        <f t="shared" si="46"/>
        <v>0.86783578286978968</v>
      </c>
      <c r="Z123">
        <f t="shared" si="47"/>
        <v>3.857047923865732</v>
      </c>
      <c r="AA123">
        <f t="shared" si="48"/>
        <v>8.0106856752975428</v>
      </c>
      <c r="AB123">
        <f t="shared" si="49"/>
        <v>1E-4</v>
      </c>
      <c r="AC123">
        <f t="shared" si="53"/>
        <v>2.7127104024765663</v>
      </c>
      <c r="AD123">
        <f t="shared" si="54"/>
        <v>4.7645172590970324</v>
      </c>
      <c r="AE123">
        <f t="shared" si="55"/>
        <v>26.999273168774103</v>
      </c>
      <c r="AF123">
        <f t="shared" si="56"/>
        <v>3.037418231487087</v>
      </c>
      <c r="AG123">
        <f t="shared" si="57"/>
        <v>13.499636584387051</v>
      </c>
      <c r="AH123">
        <f t="shared" si="58"/>
        <v>32.160491498904968</v>
      </c>
      <c r="AI123">
        <f t="shared" si="59"/>
        <v>0.01</v>
      </c>
    </row>
    <row r="124" spans="5:35" x14ac:dyDescent="0.25">
      <c r="E124">
        <f t="shared" si="50"/>
        <v>34.983641939551632</v>
      </c>
      <c r="F124">
        <f t="shared" si="30"/>
        <v>1.3478089443968102</v>
      </c>
      <c r="G124">
        <f t="shared" si="31"/>
        <v>4.2506958656209286E-2</v>
      </c>
      <c r="H124">
        <f t="shared" si="32"/>
        <v>2.4117313141445518</v>
      </c>
      <c r="I124">
        <f t="shared" si="33"/>
        <v>0.27131977284126207</v>
      </c>
      <c r="J124">
        <f t="shared" si="34"/>
        <v>1.2058656570722759</v>
      </c>
      <c r="K124">
        <f t="shared" si="35"/>
        <v>0.28692197092941268</v>
      </c>
      <c r="L124">
        <v>123</v>
      </c>
      <c r="M124">
        <f t="shared" si="51"/>
        <v>0.1</v>
      </c>
      <c r="N124">
        <f t="shared" si="36"/>
        <v>4.1706369875932641</v>
      </c>
      <c r="O124">
        <f t="shared" si="37"/>
        <v>0.88899483413137581</v>
      </c>
      <c r="P124">
        <f t="shared" si="38"/>
        <v>16.883630732878636</v>
      </c>
      <c r="Q124">
        <f t="shared" si="39"/>
        <v>1.8994084574488466</v>
      </c>
      <c r="R124">
        <f t="shared" si="40"/>
        <v>8.4418153664393181</v>
      </c>
      <c r="S124">
        <f t="shared" si="41"/>
        <v>6.0007151303867872</v>
      </c>
      <c r="T124">
        <f t="shared" si="42"/>
        <v>0.15</v>
      </c>
      <c r="U124">
        <f t="shared" si="52"/>
        <v>1.6833623355773</v>
      </c>
      <c r="V124">
        <f t="shared" si="43"/>
        <v>0.85449436739276352</v>
      </c>
      <c r="W124">
        <f t="shared" si="44"/>
        <v>1.1611215841189957</v>
      </c>
      <c r="X124">
        <f t="shared" si="45"/>
        <v>7.6054474013737945</v>
      </c>
      <c r="Y124">
        <f t="shared" si="46"/>
        <v>0.8556128326545519</v>
      </c>
      <c r="Z124">
        <f t="shared" si="47"/>
        <v>3.8027237006868972</v>
      </c>
      <c r="AA124">
        <f t="shared" si="48"/>
        <v>7.8375706928032205</v>
      </c>
      <c r="AB124">
        <f t="shared" si="49"/>
        <v>1E-4</v>
      </c>
      <c r="AC124">
        <f t="shared" si="53"/>
        <v>2.6862771228305053</v>
      </c>
      <c r="AD124">
        <f t="shared" si="54"/>
        <v>4.6569750730650759</v>
      </c>
      <c r="AE124">
        <f t="shared" si="55"/>
        <v>26.583903698897849</v>
      </c>
      <c r="AF124">
        <f t="shared" si="56"/>
        <v>2.9906891661260082</v>
      </c>
      <c r="AG124">
        <f t="shared" si="57"/>
        <v>13.291951849448925</v>
      </c>
      <c r="AH124">
        <f t="shared" si="58"/>
        <v>31.434581743189263</v>
      </c>
      <c r="AI124">
        <f t="shared" si="59"/>
        <v>0.01</v>
      </c>
    </row>
    <row r="125" spans="5:35" x14ac:dyDescent="0.25">
      <c r="E125">
        <f t="shared" si="50"/>
        <v>36.033151197738178</v>
      </c>
      <c r="F125">
        <f t="shared" si="30"/>
        <v>1.3364512816590037</v>
      </c>
      <c r="G125">
        <f t="shared" si="31"/>
        <v>4.0065188082178821E-2</v>
      </c>
      <c r="H125">
        <f t="shared" si="32"/>
        <v>2.3395845925405845</v>
      </c>
      <c r="I125">
        <f t="shared" si="33"/>
        <v>0.26320326666081578</v>
      </c>
      <c r="J125">
        <f t="shared" si="34"/>
        <v>1.1697922962702922</v>
      </c>
      <c r="K125">
        <f t="shared" si="35"/>
        <v>0.27044001955470703</v>
      </c>
      <c r="L125">
        <v>124</v>
      </c>
      <c r="M125">
        <f t="shared" si="51"/>
        <v>0.1</v>
      </c>
      <c r="N125">
        <f t="shared" si="36"/>
        <v>4.119816243116861</v>
      </c>
      <c r="O125">
        <f t="shared" si="37"/>
        <v>0.83760668810618821</v>
      </c>
      <c r="P125">
        <f t="shared" si="38"/>
        <v>16.347214250542784</v>
      </c>
      <c r="Q125">
        <f t="shared" si="39"/>
        <v>1.8390616031860634</v>
      </c>
      <c r="R125">
        <f t="shared" si="40"/>
        <v>8.173607125271392</v>
      </c>
      <c r="S125">
        <f t="shared" si="41"/>
        <v>5.6538451447167706</v>
      </c>
      <c r="T125">
        <f t="shared" si="42"/>
        <v>0.15</v>
      </c>
      <c r="U125">
        <f t="shared" si="52"/>
        <v>1.7001959589330731</v>
      </c>
      <c r="V125">
        <f t="shared" si="43"/>
        <v>0.84746258653914375</v>
      </c>
      <c r="W125">
        <f t="shared" si="44"/>
        <v>1.1360769065726717</v>
      </c>
      <c r="X125">
        <f t="shared" si="45"/>
        <v>7.4987754566351352</v>
      </c>
      <c r="Y125">
        <f t="shared" si="46"/>
        <v>0.84361223887145276</v>
      </c>
      <c r="Z125">
        <f t="shared" si="47"/>
        <v>3.7493877283175676</v>
      </c>
      <c r="AA125">
        <f t="shared" si="48"/>
        <v>7.6685191193655342</v>
      </c>
      <c r="AB125">
        <f t="shared" si="49"/>
        <v>1E-4</v>
      </c>
      <c r="AC125">
        <f t="shared" si="53"/>
        <v>2.6603489063796477</v>
      </c>
      <c r="AD125">
        <f t="shared" si="54"/>
        <v>4.552160830366474</v>
      </c>
      <c r="AE125">
        <f t="shared" si="55"/>
        <v>26.177154866055965</v>
      </c>
      <c r="AF125">
        <f t="shared" si="56"/>
        <v>2.9449299224312959</v>
      </c>
      <c r="AG125">
        <f t="shared" si="57"/>
        <v>13.088577433027982</v>
      </c>
      <c r="AH125">
        <f t="shared" si="58"/>
        <v>30.727085604973695</v>
      </c>
      <c r="AI125">
        <f t="shared" si="59"/>
        <v>0.01</v>
      </c>
    </row>
    <row r="126" spans="5:35" x14ac:dyDescent="0.25">
      <c r="E126">
        <f t="shared" si="50"/>
        <v>37.114145733670327</v>
      </c>
      <c r="F126">
        <f t="shared" si="30"/>
        <v>1.3252768870823572</v>
      </c>
      <c r="G126">
        <f t="shared" si="31"/>
        <v>3.776377451826668E-2</v>
      </c>
      <c r="H126">
        <f t="shared" si="32"/>
        <v>2.2696512895527929</v>
      </c>
      <c r="I126">
        <f t="shared" si="33"/>
        <v>0.25533577007468922</v>
      </c>
      <c r="J126">
        <f t="shared" si="34"/>
        <v>1.1348256447763965</v>
      </c>
      <c r="K126">
        <f t="shared" si="35"/>
        <v>0.2549054779983001</v>
      </c>
      <c r="L126">
        <v>125</v>
      </c>
      <c r="M126">
        <f t="shared" si="51"/>
        <v>0.1</v>
      </c>
      <c r="N126">
        <f t="shared" si="36"/>
        <v>4.0701901511716825</v>
      </c>
      <c r="O126">
        <f t="shared" si="37"/>
        <v>0.78920841468198322</v>
      </c>
      <c r="P126">
        <f t="shared" si="38"/>
        <v>15.829210680395999</v>
      </c>
      <c r="Q126">
        <f t="shared" si="39"/>
        <v>1.7807862015445501</v>
      </c>
      <c r="R126">
        <f t="shared" si="40"/>
        <v>7.9146053401979994</v>
      </c>
      <c r="S126">
        <f t="shared" si="41"/>
        <v>5.3271567991033866</v>
      </c>
      <c r="T126">
        <f t="shared" si="42"/>
        <v>0.15</v>
      </c>
      <c r="U126">
        <f t="shared" si="52"/>
        <v>1.7171979185224038</v>
      </c>
      <c r="V126">
        <f t="shared" si="43"/>
        <v>0.84054422712252308</v>
      </c>
      <c r="W126">
        <f t="shared" si="44"/>
        <v>1.1116180536645215</v>
      </c>
      <c r="X126">
        <f t="shared" si="45"/>
        <v>7.3940317043307084</v>
      </c>
      <c r="Y126">
        <f t="shared" si="46"/>
        <v>0.83182856673720473</v>
      </c>
      <c r="Z126">
        <f t="shared" si="47"/>
        <v>3.6970158521653542</v>
      </c>
      <c r="AA126">
        <f t="shared" si="48"/>
        <v>7.5034218622355189</v>
      </c>
      <c r="AB126">
        <f t="shared" si="49"/>
        <v>1E-4</v>
      </c>
      <c r="AC126">
        <f t="shared" si="53"/>
        <v>2.6349114151700728</v>
      </c>
      <c r="AD126">
        <f t="shared" si="54"/>
        <v>4.4499920129478046</v>
      </c>
      <c r="AE126">
        <f t="shared" si="55"/>
        <v>25.778780574609939</v>
      </c>
      <c r="AF126">
        <f t="shared" si="56"/>
        <v>2.9001128146436179</v>
      </c>
      <c r="AG126">
        <f t="shared" si="57"/>
        <v>12.88939028730497</v>
      </c>
      <c r="AH126">
        <f t="shared" si="58"/>
        <v>30.037446087397679</v>
      </c>
      <c r="AI126">
        <f t="shared" si="59"/>
        <v>0.01</v>
      </c>
    </row>
    <row r="127" spans="5:35" x14ac:dyDescent="0.25">
      <c r="E127">
        <f t="shared" si="50"/>
        <v>38.227570105680435</v>
      </c>
      <c r="F127">
        <f t="shared" si="30"/>
        <v>1.3142813622303111</v>
      </c>
      <c r="G127">
        <f t="shared" si="31"/>
        <v>3.5594639758270166E-2</v>
      </c>
      <c r="H127">
        <f t="shared" si="32"/>
        <v>2.2018602544990578</v>
      </c>
      <c r="I127">
        <f t="shared" si="33"/>
        <v>0.247709278631144</v>
      </c>
      <c r="J127">
        <f t="shared" si="34"/>
        <v>1.1009301272495289</v>
      </c>
      <c r="K127">
        <f t="shared" si="35"/>
        <v>0.24026381836832364</v>
      </c>
      <c r="L127">
        <v>126</v>
      </c>
      <c r="M127">
        <f t="shared" si="51"/>
        <v>0.1</v>
      </c>
      <c r="N127">
        <f t="shared" si="36"/>
        <v>4.02171708511744</v>
      </c>
      <c r="O127">
        <f t="shared" si="37"/>
        <v>0.7436238816221421</v>
      </c>
      <c r="P127">
        <f t="shared" si="38"/>
        <v>15.328902855917537</v>
      </c>
      <c r="Q127">
        <f t="shared" si="39"/>
        <v>1.7245015712907228</v>
      </c>
      <c r="R127">
        <f t="shared" si="40"/>
        <v>7.6644514279587685</v>
      </c>
      <c r="S127">
        <f t="shared" si="41"/>
        <v>5.0194612009494595</v>
      </c>
      <c r="T127">
        <f t="shared" si="42"/>
        <v>0.15</v>
      </c>
      <c r="U127">
        <f t="shared" si="52"/>
        <v>1.7343698977076278</v>
      </c>
      <c r="V127">
        <f t="shared" si="43"/>
        <v>0.83373656702841425</v>
      </c>
      <c r="W127">
        <f t="shared" si="44"/>
        <v>1.0877293841774582</v>
      </c>
      <c r="X127">
        <f t="shared" si="45"/>
        <v>7.2911693785745051</v>
      </c>
      <c r="Y127">
        <f t="shared" si="46"/>
        <v>0.8202565550896318</v>
      </c>
      <c r="Z127">
        <f t="shared" si="47"/>
        <v>3.6455846892872525</v>
      </c>
      <c r="AA127">
        <f t="shared" si="48"/>
        <v>7.3421733431978433</v>
      </c>
      <c r="AB127">
        <f t="shared" si="49"/>
        <v>1E-4</v>
      </c>
      <c r="AC127">
        <f t="shared" si="53"/>
        <v>2.6099508488698611</v>
      </c>
      <c r="AD127">
        <f t="shared" si="54"/>
        <v>4.3503891944186028</v>
      </c>
      <c r="AE127">
        <f t="shared" si="55"/>
        <v>25.388543946908314</v>
      </c>
      <c r="AF127">
        <f t="shared" si="56"/>
        <v>2.8562111940271855</v>
      </c>
      <c r="AG127">
        <f t="shared" si="57"/>
        <v>12.694271973454157</v>
      </c>
      <c r="AH127">
        <f t="shared" si="58"/>
        <v>29.36512706232557</v>
      </c>
      <c r="AI127">
        <f t="shared" si="59"/>
        <v>0.01</v>
      </c>
    </row>
    <row r="128" spans="5:35" x14ac:dyDescent="0.25">
      <c r="E128">
        <f t="shared" si="50"/>
        <v>39.374397208850851</v>
      </c>
      <c r="F128">
        <f t="shared" si="30"/>
        <v>1.3034604482992147</v>
      </c>
      <c r="G128">
        <f t="shared" si="31"/>
        <v>3.3550171678695083E-2</v>
      </c>
      <c r="H128">
        <f t="shared" si="32"/>
        <v>2.1361428145213246</v>
      </c>
      <c r="I128">
        <f t="shared" si="33"/>
        <v>0.24031606663364904</v>
      </c>
      <c r="J128">
        <f t="shared" si="34"/>
        <v>1.0680714072606623</v>
      </c>
      <c r="K128">
        <f t="shared" si="35"/>
        <v>0.22646365883119182</v>
      </c>
      <c r="L128">
        <v>127</v>
      </c>
      <c r="M128">
        <f t="shared" si="51"/>
        <v>0.1</v>
      </c>
      <c r="N128">
        <f t="shared" si="36"/>
        <v>3.974357330035708</v>
      </c>
      <c r="O128">
        <f t="shared" si="37"/>
        <v>0.70068757635437884</v>
      </c>
      <c r="P128">
        <f t="shared" si="38"/>
        <v>14.845606839873728</v>
      </c>
      <c r="Q128">
        <f t="shared" si="39"/>
        <v>1.6701307694857941</v>
      </c>
      <c r="R128">
        <f t="shared" si="40"/>
        <v>7.422803419936864</v>
      </c>
      <c r="S128">
        <f t="shared" si="41"/>
        <v>4.7296411403920571</v>
      </c>
      <c r="T128">
        <f t="shared" si="42"/>
        <v>0.15</v>
      </c>
      <c r="U128">
        <f t="shared" si="52"/>
        <v>1.7517135966847042</v>
      </c>
      <c r="V128">
        <f t="shared" si="43"/>
        <v>0.82703697055865677</v>
      </c>
      <c r="W128">
        <f t="shared" si="44"/>
        <v>1.0643957571028548</v>
      </c>
      <c r="X128">
        <f t="shared" si="45"/>
        <v>7.1901431955660238</v>
      </c>
      <c r="Y128">
        <f t="shared" si="46"/>
        <v>0.80889110950117771</v>
      </c>
      <c r="Z128">
        <f t="shared" si="47"/>
        <v>3.5950715977830119</v>
      </c>
      <c r="AA128">
        <f t="shared" si="48"/>
        <v>7.1846713604442698</v>
      </c>
      <c r="AB128">
        <f t="shared" si="49"/>
        <v>1E-4</v>
      </c>
      <c r="AC128">
        <f t="shared" si="53"/>
        <v>2.5854539198045403</v>
      </c>
      <c r="AD128">
        <f t="shared" si="54"/>
        <v>4.2532758973003553</v>
      </c>
      <c r="AE128">
        <f t="shared" si="55"/>
        <v>25.006216895331452</v>
      </c>
      <c r="AF128">
        <f t="shared" si="56"/>
        <v>2.8131994007247885</v>
      </c>
      <c r="AG128">
        <f t="shared" si="57"/>
        <v>12.503108447665726</v>
      </c>
      <c r="AH128">
        <f t="shared" si="58"/>
        <v>28.709612306777402</v>
      </c>
      <c r="AI128">
        <f t="shared" si="59"/>
        <v>0.01</v>
      </c>
    </row>
    <row r="129" spans="5:35" x14ac:dyDescent="0.25">
      <c r="E129">
        <f t="shared" si="50"/>
        <v>40.555629125116376</v>
      </c>
      <c r="F129">
        <f t="shared" si="30"/>
        <v>1.292810020620961</v>
      </c>
      <c r="G129">
        <f t="shared" si="31"/>
        <v>3.1623197219927346E-2</v>
      </c>
      <c r="H129">
        <f t="shared" si="32"/>
        <v>2.0724326772011303</v>
      </c>
      <c r="I129">
        <f t="shared" si="33"/>
        <v>0.23314867618512719</v>
      </c>
      <c r="J129">
        <f t="shared" si="34"/>
        <v>1.0362163386005652</v>
      </c>
      <c r="K129">
        <f t="shared" si="35"/>
        <v>0.21345658123450958</v>
      </c>
      <c r="L129">
        <v>128</v>
      </c>
      <c r="M129">
        <f t="shared" si="51"/>
        <v>0.1</v>
      </c>
      <c r="N129">
        <f t="shared" si="36"/>
        <v>3.9280729742297154</v>
      </c>
      <c r="O129">
        <f t="shared" si="37"/>
        <v>0.66024393845454032</v>
      </c>
      <c r="P129">
        <f t="shared" si="38"/>
        <v>14.378670057716061</v>
      </c>
      <c r="Q129">
        <f t="shared" si="39"/>
        <v>1.6176003814930568</v>
      </c>
      <c r="R129">
        <f t="shared" si="40"/>
        <v>7.1893350288580304</v>
      </c>
      <c r="S129">
        <f t="shared" si="41"/>
        <v>4.4566465845681469</v>
      </c>
      <c r="T129">
        <f t="shared" si="42"/>
        <v>0.15</v>
      </c>
      <c r="U129">
        <f t="shared" si="52"/>
        <v>1.7692307326515513</v>
      </c>
      <c r="V129">
        <f t="shared" si="43"/>
        <v>0.82044288502920704</v>
      </c>
      <c r="W129">
        <f t="shared" si="44"/>
        <v>1.0416025121405257</v>
      </c>
      <c r="X129">
        <f t="shared" si="45"/>
        <v>7.0909092952690242</v>
      </c>
      <c r="Y129">
        <f t="shared" si="46"/>
        <v>0.79772729571776535</v>
      </c>
      <c r="Z129">
        <f t="shared" si="47"/>
        <v>3.5454546476345121</v>
      </c>
      <c r="AA129">
        <f t="shared" si="48"/>
        <v>7.0308169569485477</v>
      </c>
      <c r="AB129">
        <f t="shared" si="49"/>
        <v>1E-4</v>
      </c>
      <c r="AC129">
        <f t="shared" si="53"/>
        <v>2.5614078293707072</v>
      </c>
      <c r="AD129">
        <f t="shared" si="54"/>
        <v>4.1585784581474128</v>
      </c>
      <c r="AE129">
        <f t="shared" si="55"/>
        <v>24.631579717963884</v>
      </c>
      <c r="AF129">
        <f t="shared" si="56"/>
        <v>2.771052718270937</v>
      </c>
      <c r="AG129">
        <f t="shared" si="57"/>
        <v>12.315789858981942</v>
      </c>
      <c r="AH129">
        <f t="shared" si="58"/>
        <v>28.070404592495038</v>
      </c>
      <c r="AI129">
        <f t="shared" si="59"/>
        <v>0.01</v>
      </c>
    </row>
    <row r="130" spans="5:35" x14ac:dyDescent="0.25">
      <c r="E130">
        <f t="shared" si="50"/>
        <v>41.772297998869867</v>
      </c>
      <c r="F130">
        <f t="shared" si="30"/>
        <v>1.2823260834233143</v>
      </c>
      <c r="G130">
        <f t="shared" si="31"/>
        <v>2.980695694789702E-2</v>
      </c>
      <c r="H130">
        <f t="shared" si="32"/>
        <v>2.0106658376329603</v>
      </c>
      <c r="I130">
        <f t="shared" si="33"/>
        <v>0.22619990673370802</v>
      </c>
      <c r="J130">
        <f t="shared" si="34"/>
        <v>1.0053329188164801</v>
      </c>
      <c r="K130">
        <f t="shared" si="35"/>
        <v>0.20119695939830487</v>
      </c>
      <c r="L130">
        <v>129</v>
      </c>
      <c r="M130">
        <f t="shared" si="51"/>
        <v>0.1</v>
      </c>
      <c r="N130">
        <f t="shared" si="36"/>
        <v>3.882827808030898</v>
      </c>
      <c r="O130">
        <f t="shared" si="37"/>
        <v>0.62214673709487445</v>
      </c>
      <c r="P130">
        <f t="shared" si="38"/>
        <v>13.927469556118131</v>
      </c>
      <c r="Q130">
        <f t="shared" si="39"/>
        <v>1.5668403250632899</v>
      </c>
      <c r="R130">
        <f t="shared" si="40"/>
        <v>6.9637347780590657</v>
      </c>
      <c r="S130">
        <f t="shared" si="41"/>
        <v>4.1994904753904017</v>
      </c>
      <c r="T130">
        <f t="shared" si="42"/>
        <v>0.15</v>
      </c>
      <c r="U130">
        <f t="shared" si="52"/>
        <v>1.7869230399780669</v>
      </c>
      <c r="V130">
        <f t="shared" si="43"/>
        <v>0.81395183752739297</v>
      </c>
      <c r="W130">
        <f t="shared" si="44"/>
        <v>1.0193354511091939</v>
      </c>
      <c r="X130">
        <f t="shared" si="45"/>
        <v>6.9934251858241554</v>
      </c>
      <c r="Y130">
        <f t="shared" si="46"/>
        <v>0.78676033340521745</v>
      </c>
      <c r="Z130">
        <f t="shared" si="47"/>
        <v>3.4967125929120777</v>
      </c>
      <c r="AA130">
        <f t="shared" si="48"/>
        <v>6.8805142949870577</v>
      </c>
      <c r="AB130">
        <f t="shared" si="49"/>
        <v>1E-4</v>
      </c>
      <c r="AC130">
        <f t="shared" si="53"/>
        <v>2.537800245740045</v>
      </c>
      <c r="AD130">
        <f t="shared" si="54"/>
        <v>4.0662259000372725</v>
      </c>
      <c r="AE130">
        <f t="shared" si="55"/>
        <v>24.26442071638629</v>
      </c>
      <c r="AF130">
        <f t="shared" si="56"/>
        <v>2.7297473305934576</v>
      </c>
      <c r="AG130">
        <f t="shared" si="57"/>
        <v>12.132210358193145</v>
      </c>
      <c r="AH130">
        <f t="shared" si="58"/>
        <v>27.447024825251585</v>
      </c>
      <c r="AI130">
        <f t="shared" si="59"/>
        <v>0.01</v>
      </c>
    </row>
    <row r="131" spans="5:35" x14ac:dyDescent="0.25">
      <c r="E131">
        <f t="shared" si="50"/>
        <v>43.025466938835962</v>
      </c>
      <c r="F131">
        <f t="shared" ref="F131:F194" si="60">((0.14)/(($E131/$B$5)^0.02-1))*$B$4</f>
        <v>1.2720047648339439</v>
      </c>
      <c r="G131">
        <f t="shared" ref="G131:G194" si="61">((80)/(($E131/$B$5)^2-1))*$B$4</f>
        <v>2.809508110220409E-2</v>
      </c>
      <c r="H131">
        <f t="shared" ref="H131:H194" si="62">((120)/(($E131/$B$5)-1))*$B$4</f>
        <v>1.9507804897166701</v>
      </c>
      <c r="I131">
        <f t="shared" ref="I131:I194" si="63">((13.5)/(($E131/$B$5)-1))*$B$4</f>
        <v>0.21946280509312541</v>
      </c>
      <c r="J131">
        <f t="shared" ref="J131:J194" si="64">((60)/(($E131/$B$5)-1))*$B$4</f>
        <v>0.97539024485833503</v>
      </c>
      <c r="K131">
        <f t="shared" ref="K131:K194" si="65">((540)/(($E131/$B$5)^2-1))*$B$4</f>
        <v>0.18964179743987761</v>
      </c>
      <c r="L131">
        <v>130</v>
      </c>
      <c r="M131">
        <f t="shared" si="51"/>
        <v>0.1</v>
      </c>
      <c r="N131">
        <f t="shared" ref="N131:N194" si="66">((0.14)/(($E131/$B$28)^0.02-1))*$B$27</f>
        <v>3.8385872293442889</v>
      </c>
      <c r="O131">
        <f t="shared" ref="O131:O194" si="67">((80)/(($E131/$B$28)^2-1))*$B$27</f>
        <v>0.58625849010318432</v>
      </c>
      <c r="P131">
        <f t="shared" ref="P131:P194" si="68">((120)/(($E131/$B$28)-1))*$B$27</f>
        <v>13.491410376927998</v>
      </c>
      <c r="Q131">
        <f t="shared" ref="Q131:Q194" si="69">((13.5)/(($E131/$B$28)-1))*$B$27</f>
        <v>1.5177836674043998</v>
      </c>
      <c r="R131">
        <f t="shared" ref="R131:R194" si="70">((60)/(($E131/$B$28)-1))*$B$27</f>
        <v>6.7457051884639991</v>
      </c>
      <c r="S131">
        <f t="shared" ref="S131:S194" si="71">((540)/(($E131/$B$28)^2-1))*$B$27</f>
        <v>3.9572448081964944</v>
      </c>
      <c r="T131">
        <f t="shared" ref="T131:T194" si="72">IF($E131&lt;$B$31,HLOOKUP($B$29,$N$2:$S$242,$L131,FALSE),$B$30)</f>
        <v>0.15</v>
      </c>
      <c r="U131">
        <f t="shared" si="52"/>
        <v>1.8047922703778476</v>
      </c>
      <c r="V131">
        <f t="shared" ref="V131:V194" si="73">((0.14)/(($U131/$B$18)^0.02-1))*$B$17</f>
        <v>0.80756143182000628</v>
      </c>
      <c r="W131">
        <f t="shared" ref="W131:W194" si="74">((80)/(($U131/$B$18)^2-1))*$B$17</f>
        <v>0.99758082021802519</v>
      </c>
      <c r="X131">
        <f t="shared" ref="X131:X194" si="75">((120)/(($U131/$B$18)-1))*$B$17</f>
        <v>6.8976496905470936</v>
      </c>
      <c r="Y131">
        <f t="shared" ref="Y131:Y194" si="76">((13.5)/(($U131/$B$18)-1))*$B$17</f>
        <v>0.775985590186548</v>
      </c>
      <c r="Z131">
        <f t="shared" ref="Z131:Z194" si="77">((60)/(($U131/$B$18)-1))*$B$17</f>
        <v>3.4488248452735468</v>
      </c>
      <c r="AA131">
        <f t="shared" ref="AA131:AA194" si="78">((540)/(($U131/$B$18)^2-1))*$B$17</f>
        <v>6.7336705364716707</v>
      </c>
      <c r="AB131">
        <f t="shared" ref="AB131:AB194" si="79">IF($U131&lt;$B$21,HLOOKUP($B$19,$V$2:$AA$242,$L131,FALSE),$B$20)</f>
        <v>1E-4</v>
      </c>
      <c r="AC131">
        <f t="shared" si="53"/>
        <v>2.5146192827720277</v>
      </c>
      <c r="AD131">
        <f t="shared" si="54"/>
        <v>3.9761498119639356</v>
      </c>
      <c r="AE131">
        <f t="shared" si="55"/>
        <v>23.904535834188017</v>
      </c>
      <c r="AF131">
        <f t="shared" si="56"/>
        <v>2.6892602813461521</v>
      </c>
      <c r="AG131">
        <f t="shared" si="57"/>
        <v>11.952267917094009</v>
      </c>
      <c r="AH131">
        <f t="shared" si="58"/>
        <v>26.839011230756569</v>
      </c>
      <c r="AI131">
        <f t="shared" si="59"/>
        <v>0.01</v>
      </c>
    </row>
    <row r="132" spans="5:35" x14ac:dyDescent="0.25">
      <c r="E132">
        <f t="shared" ref="E132:E195" si="80">E131*(1+$B$15)</f>
        <v>44.316230947001038</v>
      </c>
      <c r="F132">
        <f t="shared" si="60"/>
        <v>1.2618423121150522</v>
      </c>
      <c r="G132">
        <f t="shared" si="61"/>
        <v>2.6481567042443876E-2</v>
      </c>
      <c r="H132">
        <f t="shared" si="62"/>
        <v>1.8927169414448775</v>
      </c>
      <c r="I132">
        <f t="shared" si="63"/>
        <v>0.2129306559125487</v>
      </c>
      <c r="J132">
        <f t="shared" si="64"/>
        <v>0.94635847072243873</v>
      </c>
      <c r="K132">
        <f t="shared" si="65"/>
        <v>0.17875057753649615</v>
      </c>
      <c r="L132">
        <v>131</v>
      </c>
      <c r="M132">
        <f t="shared" ref="M132:M195" si="81">IF($E132&lt;$B$8,HLOOKUP($B$6,$F$2:$K$242,L132,FALSE),$B$7)</f>
        <v>0.1</v>
      </c>
      <c r="N132">
        <f t="shared" si="66"/>
        <v>3.7953181554149831</v>
      </c>
      <c r="O132">
        <f t="shared" si="67"/>
        <v>0.55244992156312667</v>
      </c>
      <c r="P132">
        <f t="shared" si="68"/>
        <v>13.069924037666757</v>
      </c>
      <c r="Q132">
        <f t="shared" si="69"/>
        <v>1.4703664542375101</v>
      </c>
      <c r="R132">
        <f t="shared" si="70"/>
        <v>6.5349620188333786</v>
      </c>
      <c r="S132">
        <f t="shared" si="71"/>
        <v>3.7290369705511055</v>
      </c>
      <c r="T132">
        <f t="shared" si="72"/>
        <v>0.15</v>
      </c>
      <c r="U132">
        <f t="shared" ref="U132:U195" si="82">U131*(1+$B$23)</f>
        <v>1.822840193081626</v>
      </c>
      <c r="V132">
        <f t="shared" si="73"/>
        <v>0.8012693454041</v>
      </c>
      <c r="W132">
        <f t="shared" si="74"/>
        <v>0.97632529315285821</v>
      </c>
      <c r="X132">
        <f t="shared" si="75"/>
        <v>6.8035428973729806</v>
      </c>
      <c r="Y132">
        <f t="shared" si="76"/>
        <v>0.76539857595446037</v>
      </c>
      <c r="Z132">
        <f t="shared" si="77"/>
        <v>3.4017714486864903</v>
      </c>
      <c r="AA132">
        <f t="shared" si="78"/>
        <v>6.5901957287817936</v>
      </c>
      <c r="AB132">
        <f t="shared" si="79"/>
        <v>1E-4</v>
      </c>
      <c r="AC132">
        <f t="shared" ref="AC132:AC195" si="83">((0.14)/(($U132/$B$34)^0.02-1))*$B$33</f>
        <v>2.4918534800595422</v>
      </c>
      <c r="AD132">
        <f t="shared" ref="AD132:AD195" si="84">((80)/(($U132/$B$34)^2-1))*$B$33</f>
        <v>3.888284234701552</v>
      </c>
      <c r="AE132">
        <f t="shared" ref="AE132:AE195" si="85">((120)/(($U132/$B$34)-1))*$B$33</f>
        <v>23.551728314901382</v>
      </c>
      <c r="AF132">
        <f t="shared" ref="AF132:AF195" si="86">((13.5)/(($U132/$B$34)-1))*$B$33</f>
        <v>2.6495694354264052</v>
      </c>
      <c r="AG132">
        <f t="shared" ref="AG132:AG195" si="87">((60)/(($U132/$B$34)-1))*$B$33</f>
        <v>11.775864157450691</v>
      </c>
      <c r="AH132">
        <f t="shared" ref="AH132:AH195" si="88">((540)/(($U132/$B$34)^2-1))*$B$33</f>
        <v>26.245918584235479</v>
      </c>
      <c r="AI132">
        <f t="shared" ref="AI132:AI195" si="89">IF($U132&lt;$B$37,HLOOKUP($B$35,$AC$2:$AH$242,$L132,FALSE),$B$36)</f>
        <v>0.01</v>
      </c>
    </row>
    <row r="133" spans="5:35" x14ac:dyDescent="0.25">
      <c r="E133">
        <f t="shared" si="80"/>
        <v>45.645717875411073</v>
      </c>
      <c r="F133">
        <f t="shared" si="60"/>
        <v>1.2518350871162451</v>
      </c>
      <c r="G133">
        <f t="shared" si="61"/>
        <v>2.496075800986549E-2</v>
      </c>
      <c r="H133">
        <f t="shared" si="62"/>
        <v>1.836417533974894</v>
      </c>
      <c r="I133">
        <f t="shared" si="63"/>
        <v>0.20659697257217557</v>
      </c>
      <c r="J133">
        <f t="shared" si="64"/>
        <v>0.91820876698744702</v>
      </c>
      <c r="K133">
        <f t="shared" si="65"/>
        <v>0.16848511656659204</v>
      </c>
      <c r="L133">
        <v>132</v>
      </c>
      <c r="M133">
        <f t="shared" si="81"/>
        <v>0.1</v>
      </c>
      <c r="N133">
        <f t="shared" si="66"/>
        <v>3.7529889403429664</v>
      </c>
      <c r="O133">
        <f t="shared" si="67"/>
        <v>0.5205994551424129</v>
      </c>
      <c r="P133">
        <f t="shared" si="68"/>
        <v>12.662467110475269</v>
      </c>
      <c r="Q133">
        <f t="shared" si="69"/>
        <v>1.424527549928468</v>
      </c>
      <c r="R133">
        <f t="shared" si="70"/>
        <v>6.3312335552376346</v>
      </c>
      <c r="S133">
        <f t="shared" si="71"/>
        <v>3.5140463222112865</v>
      </c>
      <c r="T133">
        <f t="shared" si="72"/>
        <v>0.15</v>
      </c>
      <c r="U133">
        <f t="shared" si="82"/>
        <v>1.8410685950124424</v>
      </c>
      <c r="V133">
        <f t="shared" si="73"/>
        <v>0.79507332669284236</v>
      </c>
      <c r="W133">
        <f t="shared" si="74"/>
        <v>0.95555595493358703</v>
      </c>
      <c r="X133">
        <f t="shared" si="75"/>
        <v>6.7110661106164367</v>
      </c>
      <c r="Y133">
        <f t="shared" si="76"/>
        <v>0.75499493744434898</v>
      </c>
      <c r="Z133">
        <f t="shared" si="77"/>
        <v>3.3555330553082183</v>
      </c>
      <c r="AA133">
        <f t="shared" si="78"/>
        <v>6.4500026958017127</v>
      </c>
      <c r="AB133">
        <f t="shared" si="79"/>
        <v>1E-4</v>
      </c>
      <c r="AC133">
        <f t="shared" si="83"/>
        <v>2.4694917840371464</v>
      </c>
      <c r="AD133">
        <f t="shared" si="84"/>
        <v>3.802565552736195</v>
      </c>
      <c r="AE133">
        <f t="shared" si="85"/>
        <v>23.20580837815114</v>
      </c>
      <c r="AF133">
        <f t="shared" si="86"/>
        <v>2.6106534425420036</v>
      </c>
      <c r="AG133">
        <f t="shared" si="87"/>
        <v>11.60290418907557</v>
      </c>
      <c r="AH133">
        <f t="shared" si="88"/>
        <v>25.66731748096932</v>
      </c>
      <c r="AI133">
        <f t="shared" si="89"/>
        <v>0.01</v>
      </c>
    </row>
    <row r="134" spans="5:35" x14ac:dyDescent="0.25">
      <c r="E134">
        <f t="shared" si="80"/>
        <v>47.015089411673408</v>
      </c>
      <c r="F134">
        <f t="shared" si="60"/>
        <v>1.2419795619341085</v>
      </c>
      <c r="G134">
        <f t="shared" si="61"/>
        <v>2.3527323126545856E-2</v>
      </c>
      <c r="H134">
        <f t="shared" si="62"/>
        <v>1.7818265642875319</v>
      </c>
      <c r="I134">
        <f t="shared" si="63"/>
        <v>0.20045548848234734</v>
      </c>
      <c r="J134">
        <f t="shared" si="64"/>
        <v>0.89091328214376597</v>
      </c>
      <c r="K134">
        <f t="shared" si="65"/>
        <v>0.15880943110418455</v>
      </c>
      <c r="L134">
        <v>133</v>
      </c>
      <c r="M134">
        <f t="shared" si="81"/>
        <v>0.1</v>
      </c>
      <c r="N134">
        <f t="shared" si="66"/>
        <v>3.7115692979138721</v>
      </c>
      <c r="O134">
        <f t="shared" si="67"/>
        <v>0.49059274056776675</v>
      </c>
      <c r="P134">
        <f t="shared" si="68"/>
        <v>12.268519892107378</v>
      </c>
      <c r="Q134">
        <f t="shared" si="69"/>
        <v>1.3802084878620799</v>
      </c>
      <c r="R134">
        <f t="shared" si="70"/>
        <v>6.1342599460536889</v>
      </c>
      <c r="S134">
        <f t="shared" si="71"/>
        <v>3.3115009988324258</v>
      </c>
      <c r="T134">
        <f t="shared" si="72"/>
        <v>0.15</v>
      </c>
      <c r="U134">
        <f t="shared" si="82"/>
        <v>1.8594792809625669</v>
      </c>
      <c r="V134">
        <f t="shared" si="73"/>
        <v>0.78897119232929425</v>
      </c>
      <c r="W134">
        <f t="shared" si="74"/>
        <v>0.93526028650179982</v>
      </c>
      <c r="X134">
        <f t="shared" si="75"/>
        <v>6.6201818049243331</v>
      </c>
      <c r="Y134">
        <f t="shared" si="76"/>
        <v>0.74477045305398737</v>
      </c>
      <c r="Z134">
        <f t="shared" si="77"/>
        <v>3.3100909024621665</v>
      </c>
      <c r="AA134">
        <f t="shared" si="78"/>
        <v>6.3130069338871486</v>
      </c>
      <c r="AB134">
        <f t="shared" si="79"/>
        <v>1E-4</v>
      </c>
      <c r="AC134">
        <f t="shared" si="83"/>
        <v>2.4475235300863374</v>
      </c>
      <c r="AD134">
        <f t="shared" si="84"/>
        <v>3.7189323918920425</v>
      </c>
      <c r="AE134">
        <f t="shared" si="85"/>
        <v>22.866592912897602</v>
      </c>
      <c r="AF134">
        <f t="shared" si="86"/>
        <v>2.5724917027009799</v>
      </c>
      <c r="AG134">
        <f t="shared" si="87"/>
        <v>11.433296456448801</v>
      </c>
      <c r="AH134">
        <f t="shared" si="88"/>
        <v>25.102793645271287</v>
      </c>
      <c r="AI134">
        <f t="shared" si="89"/>
        <v>0.01</v>
      </c>
    </row>
    <row r="135" spans="5:35" x14ac:dyDescent="0.25">
      <c r="E135">
        <f t="shared" si="80"/>
        <v>48.425542094023612</v>
      </c>
      <c r="F135">
        <f t="shared" si="60"/>
        <v>1.2322723147675791</v>
      </c>
      <c r="G135">
        <f t="shared" si="61"/>
        <v>2.2176238558987611E-2</v>
      </c>
      <c r="H135">
        <f t="shared" si="62"/>
        <v>1.7288902112469509</v>
      </c>
      <c r="I135">
        <f t="shared" si="63"/>
        <v>0.19450014876528199</v>
      </c>
      <c r="J135">
        <f t="shared" si="64"/>
        <v>0.86444510562347543</v>
      </c>
      <c r="K135">
        <f t="shared" si="65"/>
        <v>0.14968961027316638</v>
      </c>
      <c r="L135">
        <v>134</v>
      </c>
      <c r="M135">
        <f t="shared" si="81"/>
        <v>0.1</v>
      </c>
      <c r="N135">
        <f t="shared" si="66"/>
        <v>3.6710302293503716</v>
      </c>
      <c r="O135">
        <f t="shared" si="67"/>
        <v>0.46232221087579795</v>
      </c>
      <c r="P135">
        <f t="shared" si="68"/>
        <v>11.887585158197702</v>
      </c>
      <c r="Q135">
        <f t="shared" si="69"/>
        <v>1.3373533302972413</v>
      </c>
      <c r="R135">
        <f t="shared" si="70"/>
        <v>5.9437925790988508</v>
      </c>
      <c r="S135">
        <f t="shared" si="71"/>
        <v>3.1206749234116362</v>
      </c>
      <c r="T135">
        <f t="shared" si="72"/>
        <v>0.15</v>
      </c>
      <c r="U135">
        <f t="shared" si="82"/>
        <v>1.8780740737721926</v>
      </c>
      <c r="V135">
        <f t="shared" si="73"/>
        <v>0.78296082462140126</v>
      </c>
      <c r="W135">
        <f t="shared" si="74"/>
        <v>0.9154261500002332</v>
      </c>
      <c r="X135">
        <f t="shared" si="75"/>
        <v>6.530853581305947</v>
      </c>
      <c r="Y135">
        <f t="shared" si="76"/>
        <v>0.73472102789691895</v>
      </c>
      <c r="Z135">
        <f t="shared" si="77"/>
        <v>3.2654267906529735</v>
      </c>
      <c r="AA135">
        <f t="shared" si="78"/>
        <v>6.1791265125015746</v>
      </c>
      <c r="AB135">
        <f t="shared" si="79"/>
        <v>1E-4</v>
      </c>
      <c r="AC135">
        <f t="shared" si="83"/>
        <v>2.4259384255772773</v>
      </c>
      <c r="AD135">
        <f t="shared" si="84"/>
        <v>3.6373255223041805</v>
      </c>
      <c r="AE135">
        <f t="shared" si="85"/>
        <v>22.533905186729726</v>
      </c>
      <c r="AF135">
        <f t="shared" si="86"/>
        <v>2.5350643335070941</v>
      </c>
      <c r="AG135">
        <f t="shared" si="87"/>
        <v>11.266952593364863</v>
      </c>
      <c r="AH135">
        <f t="shared" si="88"/>
        <v>24.551947275553218</v>
      </c>
      <c r="AI135">
        <f t="shared" si="89"/>
        <v>0.01</v>
      </c>
    </row>
    <row r="136" spans="5:35" x14ac:dyDescent="0.25">
      <c r="E136">
        <f t="shared" si="80"/>
        <v>49.878308356844322</v>
      </c>
      <c r="F136">
        <f t="shared" si="60"/>
        <v>1.2227100259589099</v>
      </c>
      <c r="G136">
        <f t="shared" si="61"/>
        <v>2.0902769777475527E-2</v>
      </c>
      <c r="H136">
        <f t="shared" si="62"/>
        <v>1.6775564648868195</v>
      </c>
      <c r="I136">
        <f t="shared" si="63"/>
        <v>0.18872510229976722</v>
      </c>
      <c r="J136">
        <f t="shared" si="64"/>
        <v>0.83877823244340977</v>
      </c>
      <c r="K136">
        <f t="shared" si="65"/>
        <v>0.14109369599795982</v>
      </c>
      <c r="L136">
        <v>135</v>
      </c>
      <c r="M136">
        <f t="shared" si="81"/>
        <v>0.1</v>
      </c>
      <c r="N136">
        <f t="shared" si="66"/>
        <v>3.6313439556219169</v>
      </c>
      <c r="O136">
        <f t="shared" si="67"/>
        <v>0.43568666825974223</v>
      </c>
      <c r="P136">
        <f t="shared" si="68"/>
        <v>11.519186995602391</v>
      </c>
      <c r="Q136">
        <f t="shared" si="69"/>
        <v>1.295908537005269</v>
      </c>
      <c r="R136">
        <f t="shared" si="70"/>
        <v>5.7595934978011956</v>
      </c>
      <c r="S136">
        <f t="shared" si="71"/>
        <v>2.9408850107532603</v>
      </c>
      <c r="T136">
        <f t="shared" si="72"/>
        <v>0.15</v>
      </c>
      <c r="U136">
        <f t="shared" si="82"/>
        <v>1.8968548145099144</v>
      </c>
      <c r="V136">
        <f t="shared" si="73"/>
        <v>0.77704016909179885</v>
      </c>
      <c r="W136">
        <f t="shared" si="74"/>
        <v>0.89604177470790369</v>
      </c>
      <c r="X136">
        <f t="shared" si="75"/>
        <v>6.4430461251319411</v>
      </c>
      <c r="Y136">
        <f t="shared" si="76"/>
        <v>0.72484268907734328</v>
      </c>
      <c r="Z136">
        <f t="shared" si="77"/>
        <v>3.2215230625659705</v>
      </c>
      <c r="AA136">
        <f t="shared" si="78"/>
        <v>6.0482819792783493</v>
      </c>
      <c r="AB136">
        <f t="shared" si="79"/>
        <v>1E-4</v>
      </c>
      <c r="AC136">
        <f t="shared" si="83"/>
        <v>2.40472653378982</v>
      </c>
      <c r="AD136">
        <f t="shared" si="84"/>
        <v>3.5576877664144173</v>
      </c>
      <c r="AE136">
        <f t="shared" si="85"/>
        <v>22.207574570237156</v>
      </c>
      <c r="AF136">
        <f t="shared" si="86"/>
        <v>2.4983521391516801</v>
      </c>
      <c r="AG136">
        <f t="shared" si="87"/>
        <v>11.103787285118578</v>
      </c>
      <c r="AH136">
        <f t="shared" si="88"/>
        <v>24.01439242329732</v>
      </c>
      <c r="AI136">
        <f t="shared" si="89"/>
        <v>0.01</v>
      </c>
    </row>
    <row r="137" spans="5:35" x14ac:dyDescent="0.25">
      <c r="E137">
        <f t="shared" si="80"/>
        <v>51.374657607549651</v>
      </c>
      <c r="F137">
        <f t="shared" si="60"/>
        <v>1.2132894742105715</v>
      </c>
      <c r="G137">
        <f t="shared" si="61"/>
        <v>1.9702454846671689E-2</v>
      </c>
      <c r="H137">
        <f t="shared" si="62"/>
        <v>1.6277750587583733</v>
      </c>
      <c r="I137">
        <f t="shared" si="63"/>
        <v>0.18312469411031701</v>
      </c>
      <c r="J137">
        <f t="shared" si="64"/>
        <v>0.81388752937918663</v>
      </c>
      <c r="K137">
        <f t="shared" si="65"/>
        <v>0.13299157021503388</v>
      </c>
      <c r="L137">
        <v>136</v>
      </c>
      <c r="M137">
        <f t="shared" si="81"/>
        <v>0.1</v>
      </c>
      <c r="N137">
        <f t="shared" si="66"/>
        <v>3.5924838539809167</v>
      </c>
      <c r="O137">
        <f t="shared" si="67"/>
        <v>0.41059089650535979</v>
      </c>
      <c r="P137">
        <f t="shared" si="68"/>
        <v>11.162869707127896</v>
      </c>
      <c r="Q137">
        <f t="shared" si="69"/>
        <v>1.2558228420518882</v>
      </c>
      <c r="R137">
        <f t="shared" si="70"/>
        <v>5.5814348535639482</v>
      </c>
      <c r="S137">
        <f t="shared" si="71"/>
        <v>2.7714885514111782</v>
      </c>
      <c r="T137">
        <f t="shared" si="72"/>
        <v>0.15</v>
      </c>
      <c r="U137">
        <f t="shared" si="82"/>
        <v>1.9158233626550136</v>
      </c>
      <c r="V137">
        <f t="shared" si="73"/>
        <v>0.77120723213650855</v>
      </c>
      <c r="W137">
        <f t="shared" si="74"/>
        <v>0.87709574359691433</v>
      </c>
      <c r="X137">
        <f t="shared" si="75"/>
        <v>6.3567251660000919</v>
      </c>
      <c r="Y137">
        <f t="shared" si="76"/>
        <v>0.7151315811750103</v>
      </c>
      <c r="Z137">
        <f t="shared" si="77"/>
        <v>3.1783625830000459</v>
      </c>
      <c r="AA137">
        <f t="shared" si="78"/>
        <v>5.9203962692791716</v>
      </c>
      <c r="AB137">
        <f t="shared" si="79"/>
        <v>1E-4</v>
      </c>
      <c r="AC137">
        <f t="shared" si="83"/>
        <v>2.3838782586617748</v>
      </c>
      <c r="AD137">
        <f t="shared" si="84"/>
        <v>3.4799639116886256</v>
      </c>
      <c r="AE137">
        <f t="shared" si="85"/>
        <v>21.887436275556439</v>
      </c>
      <c r="AF137">
        <f t="shared" si="86"/>
        <v>2.4623365810000992</v>
      </c>
      <c r="AG137">
        <f t="shared" si="87"/>
        <v>10.94371813777822</v>
      </c>
      <c r="AH137">
        <f t="shared" si="88"/>
        <v>23.489756403898227</v>
      </c>
      <c r="AI137">
        <f t="shared" si="89"/>
        <v>0.01</v>
      </c>
    </row>
    <row r="138" spans="5:35" x14ac:dyDescent="0.25">
      <c r="E138">
        <f t="shared" si="80"/>
        <v>52.915897335776144</v>
      </c>
      <c r="F138">
        <f t="shared" si="60"/>
        <v>1.204007532969076</v>
      </c>
      <c r="G138">
        <f t="shared" si="61"/>
        <v>1.8571088686814619E-2</v>
      </c>
      <c r="H138">
        <f t="shared" si="62"/>
        <v>1.5794974051856057</v>
      </c>
      <c r="I138">
        <f t="shared" si="63"/>
        <v>0.17769345808338061</v>
      </c>
      <c r="J138">
        <f t="shared" si="64"/>
        <v>0.78974870259280283</v>
      </c>
      <c r="K138">
        <f t="shared" si="65"/>
        <v>0.12535484863599866</v>
      </c>
      <c r="L138">
        <v>137</v>
      </c>
      <c r="M138">
        <f t="shared" si="81"/>
        <v>0.1</v>
      </c>
      <c r="N138">
        <f t="shared" si="66"/>
        <v>3.5544243984203927</v>
      </c>
      <c r="O138">
        <f t="shared" si="67"/>
        <v>0.38694529816693063</v>
      </c>
      <c r="P138">
        <f t="shared" si="68"/>
        <v>10.818196783431691</v>
      </c>
      <c r="Q138">
        <f t="shared" si="69"/>
        <v>1.2170471381360652</v>
      </c>
      <c r="R138">
        <f t="shared" si="70"/>
        <v>5.4090983917158457</v>
      </c>
      <c r="S138">
        <f t="shared" si="71"/>
        <v>2.6118807626267815</v>
      </c>
      <c r="T138">
        <f t="shared" si="72"/>
        <v>0.15</v>
      </c>
      <c r="U138">
        <f t="shared" si="82"/>
        <v>1.9349815962815637</v>
      </c>
      <c r="V138">
        <f t="shared" si="73"/>
        <v>0.76546007878697664</v>
      </c>
      <c r="W138">
        <f t="shared" si="74"/>
        <v>0.85857698047894748</v>
      </c>
      <c r="X138">
        <f t="shared" si="75"/>
        <v>6.2718574393716979</v>
      </c>
      <c r="Y138">
        <f t="shared" si="76"/>
        <v>0.70558396192931605</v>
      </c>
      <c r="Z138">
        <f t="shared" si="77"/>
        <v>3.135928719685849</v>
      </c>
      <c r="AA138">
        <f t="shared" si="78"/>
        <v>5.7953946182328959</v>
      </c>
      <c r="AB138">
        <f t="shared" si="79"/>
        <v>1E-4</v>
      </c>
      <c r="AC138">
        <f t="shared" si="83"/>
        <v>2.3633843303144673</v>
      </c>
      <c r="AD138">
        <f t="shared" si="84"/>
        <v>3.404100627774671</v>
      </c>
      <c r="AE138">
        <f t="shared" si="85"/>
        <v>21.573331108248276</v>
      </c>
      <c r="AF138">
        <f t="shared" si="86"/>
        <v>2.4269997496779308</v>
      </c>
      <c r="AG138">
        <f t="shared" si="87"/>
        <v>10.786665554124138</v>
      </c>
      <c r="AH138">
        <f t="shared" si="88"/>
        <v>22.97767923747903</v>
      </c>
      <c r="AI138">
        <f t="shared" si="89"/>
        <v>0.01</v>
      </c>
    </row>
    <row r="139" spans="5:35" x14ac:dyDescent="0.25">
      <c r="E139">
        <f t="shared" si="80"/>
        <v>54.50337425584943</v>
      </c>
      <c r="F139">
        <f t="shared" si="60"/>
        <v>1.1948611669671632</v>
      </c>
      <c r="G139">
        <f t="shared" si="61"/>
        <v>1.7504708248529528E-2</v>
      </c>
      <c r="H139">
        <f t="shared" si="62"/>
        <v>1.5326765332818355</v>
      </c>
      <c r="I139">
        <f t="shared" si="63"/>
        <v>0.17242610999420649</v>
      </c>
      <c r="J139">
        <f t="shared" si="64"/>
        <v>0.76633826664091775</v>
      </c>
      <c r="K139">
        <f t="shared" si="65"/>
        <v>0.11815678067757431</v>
      </c>
      <c r="L139">
        <v>138</v>
      </c>
      <c r="M139">
        <f t="shared" si="81"/>
        <v>0.1</v>
      </c>
      <c r="N139">
        <f t="shared" si="66"/>
        <v>3.5171411037736675</v>
      </c>
      <c r="O139">
        <f t="shared" si="67"/>
        <v>0.36466555477788154</v>
      </c>
      <c r="P139">
        <f t="shared" si="68"/>
        <v>10.484749937304741</v>
      </c>
      <c r="Q139">
        <f t="shared" si="69"/>
        <v>1.1795343679467836</v>
      </c>
      <c r="R139">
        <f t="shared" si="70"/>
        <v>5.2423749686523706</v>
      </c>
      <c r="S139">
        <f t="shared" si="71"/>
        <v>2.4614924947507002</v>
      </c>
      <c r="T139">
        <f t="shared" si="72"/>
        <v>0.15</v>
      </c>
      <c r="U139">
        <f t="shared" si="82"/>
        <v>1.9543314122443793</v>
      </c>
      <c r="V139">
        <f t="shared" si="73"/>
        <v>0.75979683057008396</v>
      </c>
      <c r="W139">
        <f t="shared" si="74"/>
        <v>0.84047473771130787</v>
      </c>
      <c r="X139">
        <f t="shared" si="75"/>
        <v>6.1884106498881559</v>
      </c>
      <c r="Y139">
        <f t="shared" si="76"/>
        <v>0.69619619811241751</v>
      </c>
      <c r="Z139">
        <f t="shared" si="77"/>
        <v>3.094205324944078</v>
      </c>
      <c r="AA139">
        <f t="shared" si="78"/>
        <v>5.6732044795513286</v>
      </c>
      <c r="AB139">
        <f t="shared" si="79"/>
        <v>1E-4</v>
      </c>
      <c r="AC139">
        <f t="shared" si="83"/>
        <v>2.3432357913103012</v>
      </c>
      <c r="AD139">
        <f t="shared" si="84"/>
        <v>3.3300463878388862</v>
      </c>
      <c r="AE139">
        <f t="shared" si="85"/>
        <v>21.265105231719492</v>
      </c>
      <c r="AF139">
        <f t="shared" si="86"/>
        <v>2.3923243385684425</v>
      </c>
      <c r="AG139">
        <f t="shared" si="87"/>
        <v>10.632552615859746</v>
      </c>
      <c r="AH139">
        <f t="shared" si="88"/>
        <v>22.477813117912483</v>
      </c>
      <c r="AI139">
        <f t="shared" si="89"/>
        <v>0.01</v>
      </c>
    </row>
    <row r="140" spans="5:35" x14ac:dyDescent="0.25">
      <c r="E140">
        <f t="shared" si="80"/>
        <v>56.138475483524914</v>
      </c>
      <c r="F140">
        <f t="shared" si="60"/>
        <v>1.1858474289163292</v>
      </c>
      <c r="G140">
        <f t="shared" si="61"/>
        <v>1.6499578547670819E-2</v>
      </c>
      <c r="H140">
        <f t="shared" si="62"/>
        <v>1.4872670295903143</v>
      </c>
      <c r="I140">
        <f t="shared" si="63"/>
        <v>0.16731754082891037</v>
      </c>
      <c r="J140">
        <f t="shared" si="64"/>
        <v>0.74363351479515716</v>
      </c>
      <c r="K140">
        <f t="shared" si="65"/>
        <v>0.11137215519677802</v>
      </c>
      <c r="L140">
        <v>139</v>
      </c>
      <c r="M140">
        <f t="shared" si="81"/>
        <v>0.1</v>
      </c>
      <c r="N140">
        <f t="shared" si="66"/>
        <v>3.4806104731983489</v>
      </c>
      <c r="O140">
        <f t="shared" si="67"/>
        <v>0.34367230852149988</v>
      </c>
      <c r="P140">
        <f t="shared" si="68"/>
        <v>10.162128195932567</v>
      </c>
      <c r="Q140">
        <f t="shared" si="69"/>
        <v>1.1432394220424138</v>
      </c>
      <c r="R140">
        <f t="shared" si="70"/>
        <v>5.0810640979662836</v>
      </c>
      <c r="S140">
        <f t="shared" si="71"/>
        <v>2.3197880825201245</v>
      </c>
      <c r="T140">
        <f t="shared" si="72"/>
        <v>0.15</v>
      </c>
      <c r="U140">
        <f t="shared" si="82"/>
        <v>1.973874726366823</v>
      </c>
      <c r="V140">
        <f t="shared" si="73"/>
        <v>0.75421566346120239</v>
      </c>
      <c r="W140">
        <f t="shared" si="74"/>
        <v>0.82277858443414587</v>
      </c>
      <c r="X140">
        <f t="shared" si="75"/>
        <v>6.1063534362825145</v>
      </c>
      <c r="Y140">
        <f t="shared" si="76"/>
        <v>0.68696476158178288</v>
      </c>
      <c r="Z140">
        <f t="shared" si="77"/>
        <v>3.0531767181412572</v>
      </c>
      <c r="AA140">
        <f t="shared" si="78"/>
        <v>5.5537554449304851</v>
      </c>
      <c r="AB140">
        <f t="shared" si="79"/>
        <v>1E-4</v>
      </c>
      <c r="AC140">
        <f t="shared" si="83"/>
        <v>2.3234239835991142</v>
      </c>
      <c r="AD140">
        <f t="shared" si="84"/>
        <v>3.2577513938366263</v>
      </c>
      <c r="AE140">
        <f t="shared" si="85"/>
        <v>20.962609943455959</v>
      </c>
      <c r="AF140">
        <f t="shared" si="86"/>
        <v>2.3582936186387951</v>
      </c>
      <c r="AG140">
        <f t="shared" si="87"/>
        <v>10.48130497172798</v>
      </c>
      <c r="AH140">
        <f t="shared" si="88"/>
        <v>21.989821908397225</v>
      </c>
      <c r="AI140">
        <f t="shared" si="89"/>
        <v>0.01</v>
      </c>
    </row>
    <row r="141" spans="5:35" x14ac:dyDescent="0.25">
      <c r="E141">
        <f t="shared" si="80"/>
        <v>57.822629748030664</v>
      </c>
      <c r="F141">
        <f t="shared" si="60"/>
        <v>1.1769634563421241</v>
      </c>
      <c r="G141">
        <f t="shared" si="61"/>
        <v>1.5552179509821126E-2</v>
      </c>
      <c r="H141">
        <f t="shared" si="62"/>
        <v>1.4432249812194098</v>
      </c>
      <c r="I141">
        <f t="shared" si="63"/>
        <v>0.16236281038718356</v>
      </c>
      <c r="J141">
        <f t="shared" si="64"/>
        <v>0.72161249060970489</v>
      </c>
      <c r="K141">
        <f t="shared" si="65"/>
        <v>0.10497721169129259</v>
      </c>
      <c r="L141">
        <v>140</v>
      </c>
      <c r="M141">
        <f t="shared" si="81"/>
        <v>0.1</v>
      </c>
      <c r="N141">
        <f t="shared" si="66"/>
        <v>3.4448099488085022</v>
      </c>
      <c r="O141">
        <f t="shared" si="67"/>
        <v>0.32389086390671989</v>
      </c>
      <c r="P141">
        <f t="shared" si="68"/>
        <v>9.8499470470841075</v>
      </c>
      <c r="Q141">
        <f t="shared" si="69"/>
        <v>1.1081190427969623</v>
      </c>
      <c r="R141">
        <f t="shared" si="70"/>
        <v>4.9249735235420538</v>
      </c>
      <c r="S141">
        <f t="shared" si="71"/>
        <v>2.1862633313703594</v>
      </c>
      <c r="T141">
        <f t="shared" si="72"/>
        <v>0.15</v>
      </c>
      <c r="U141">
        <f t="shared" si="82"/>
        <v>1.9936134736304914</v>
      </c>
      <c r="V141">
        <f t="shared" si="73"/>
        <v>0.74871480592561657</v>
      </c>
      <c r="W141">
        <f t="shared" si="74"/>
        <v>0.80547839531211129</v>
      </c>
      <c r="X141">
        <f t="shared" si="75"/>
        <v>6.0256553378056434</v>
      </c>
      <c r="Y141">
        <f t="shared" si="76"/>
        <v>0.67788622550313493</v>
      </c>
      <c r="Z141">
        <f t="shared" si="77"/>
        <v>3.0128276689028217</v>
      </c>
      <c r="AA141">
        <f t="shared" si="78"/>
        <v>5.4369791683567517</v>
      </c>
      <c r="AB141">
        <f t="shared" si="79"/>
        <v>1E-4</v>
      </c>
      <c r="AC141">
        <f t="shared" si="83"/>
        <v>2.3039405361138607</v>
      </c>
      <c r="AD141">
        <f t="shared" si="84"/>
        <v>3.1871675054886097</v>
      </c>
      <c r="AE141">
        <f t="shared" si="85"/>
        <v>20.665701462381353</v>
      </c>
      <c r="AF141">
        <f t="shared" si="86"/>
        <v>2.3248914145179023</v>
      </c>
      <c r="AG141">
        <f t="shared" si="87"/>
        <v>10.332850731190677</v>
      </c>
      <c r="AH141">
        <f t="shared" si="88"/>
        <v>21.513380662048117</v>
      </c>
      <c r="AI141">
        <f t="shared" si="89"/>
        <v>0.01</v>
      </c>
    </row>
    <row r="142" spans="5:35" x14ac:dyDescent="0.25">
      <c r="E142">
        <f t="shared" si="80"/>
        <v>59.557308640471582</v>
      </c>
      <c r="F142">
        <f t="shared" si="60"/>
        <v>1.1682064685550806</v>
      </c>
      <c r="G142">
        <f t="shared" si="61"/>
        <v>1.4659193577075038E-2</v>
      </c>
      <c r="H142">
        <f t="shared" si="62"/>
        <v>1.40050792135026</v>
      </c>
      <c r="I142">
        <f t="shared" si="63"/>
        <v>0.15755714115190425</v>
      </c>
      <c r="J142">
        <f t="shared" si="64"/>
        <v>0.70025396067513002</v>
      </c>
      <c r="K142">
        <f t="shared" si="65"/>
        <v>9.8949556645256495E-2</v>
      </c>
      <c r="L142">
        <v>141</v>
      </c>
      <c r="M142">
        <f t="shared" si="81"/>
        <v>0.1</v>
      </c>
      <c r="N142">
        <f t="shared" si="66"/>
        <v>3.4097178652364519</v>
      </c>
      <c r="O142">
        <f t="shared" si="67"/>
        <v>0.30525090810321476</v>
      </c>
      <c r="P142">
        <f t="shared" si="68"/>
        <v>9.5478376354985155</v>
      </c>
      <c r="Q142">
        <f t="shared" si="69"/>
        <v>1.074131733993583</v>
      </c>
      <c r="R142">
        <f t="shared" si="70"/>
        <v>4.7739188177492577</v>
      </c>
      <c r="S142">
        <f t="shared" si="71"/>
        <v>2.0604436296966995</v>
      </c>
      <c r="T142">
        <f t="shared" si="72"/>
        <v>0.15</v>
      </c>
      <c r="U142">
        <f t="shared" si="82"/>
        <v>2.0135496083667963</v>
      </c>
      <c r="V142">
        <f t="shared" si="73"/>
        <v>0.74329253704389653</v>
      </c>
      <c r="W142">
        <f t="shared" si="74"/>
        <v>0.78856433975522888</v>
      </c>
      <c r="X142">
        <f t="shared" si="75"/>
        <v>5.9462867620913311</v>
      </c>
      <c r="Y142">
        <f t="shared" si="76"/>
        <v>0.66895726073527484</v>
      </c>
      <c r="Z142">
        <f t="shared" si="77"/>
        <v>2.9731433810456656</v>
      </c>
      <c r="AA142">
        <f t="shared" si="78"/>
        <v>5.3228092933477953</v>
      </c>
      <c r="AB142">
        <f t="shared" si="79"/>
        <v>1E-4</v>
      </c>
      <c r="AC142">
        <f t="shared" si="83"/>
        <v>2.2847773529776014</v>
      </c>
      <c r="AD142">
        <f t="shared" si="84"/>
        <v>3.1182481727497833</v>
      </c>
      <c r="AE142">
        <f t="shared" si="85"/>
        <v>20.374240726701686</v>
      </c>
      <c r="AF142">
        <f t="shared" si="86"/>
        <v>2.2921020817539399</v>
      </c>
      <c r="AG142">
        <f t="shared" si="87"/>
        <v>10.187120363350843</v>
      </c>
      <c r="AH142">
        <f t="shared" si="88"/>
        <v>21.048175166061036</v>
      </c>
      <c r="AI142">
        <f t="shared" si="89"/>
        <v>0.01</v>
      </c>
    </row>
    <row r="143" spans="5:35" x14ac:dyDescent="0.25">
      <c r="E143">
        <f t="shared" si="80"/>
        <v>61.344027899685734</v>
      </c>
      <c r="F143">
        <f t="shared" si="60"/>
        <v>1.1595737637505248</v>
      </c>
      <c r="G143">
        <f t="shared" si="61"/>
        <v>1.3817494032555364E-2</v>
      </c>
      <c r="H143">
        <f t="shared" si="62"/>
        <v>1.3590747770017026</v>
      </c>
      <c r="I143">
        <f t="shared" si="63"/>
        <v>0.15289591241269154</v>
      </c>
      <c r="J143">
        <f t="shared" si="64"/>
        <v>0.67953738850085132</v>
      </c>
      <c r="K143">
        <f t="shared" si="65"/>
        <v>9.3268084719748706E-2</v>
      </c>
      <c r="L143">
        <v>142</v>
      </c>
      <c r="M143">
        <f t="shared" si="81"/>
        <v>0.1</v>
      </c>
      <c r="N143">
        <f t="shared" si="66"/>
        <v>3.3753134059238183</v>
      </c>
      <c r="O143">
        <f t="shared" si="67"/>
        <v>0.28768624868999815</v>
      </c>
      <c r="P143">
        <f t="shared" si="68"/>
        <v>9.2554460060325852</v>
      </c>
      <c r="Q143">
        <f t="shared" si="69"/>
        <v>1.0412376756786657</v>
      </c>
      <c r="R143">
        <f t="shared" si="70"/>
        <v>4.6277230030162926</v>
      </c>
      <c r="S143">
        <f t="shared" si="71"/>
        <v>1.9418821786574876</v>
      </c>
      <c r="T143">
        <f t="shared" si="72"/>
        <v>0.15</v>
      </c>
      <c r="U143">
        <f t="shared" si="82"/>
        <v>2.0336851044504645</v>
      </c>
      <c r="V143">
        <f t="shared" si="73"/>
        <v>0.73794718471701726</v>
      </c>
      <c r="W143">
        <f t="shared" si="74"/>
        <v>0.77202687159520822</v>
      </c>
      <c r="X143">
        <f t="shared" si="75"/>
        <v>5.8682189543888112</v>
      </c>
      <c r="Y143">
        <f t="shared" si="76"/>
        <v>0.6601746323687413</v>
      </c>
      <c r="Z143">
        <f t="shared" si="77"/>
        <v>2.9341094771944056</v>
      </c>
      <c r="AA143">
        <f t="shared" si="78"/>
        <v>5.2111813832676557</v>
      </c>
      <c r="AB143">
        <f t="shared" si="79"/>
        <v>1E-4</v>
      </c>
      <c r="AC143">
        <f t="shared" si="83"/>
        <v>2.265926602287466</v>
      </c>
      <c r="AD143">
        <f t="shared" si="84"/>
        <v>3.0509483715713666</v>
      </c>
      <c r="AE143">
        <f t="shared" si="85"/>
        <v>20.088093201637275</v>
      </c>
      <c r="AF143">
        <f t="shared" si="86"/>
        <v>2.2599104851841934</v>
      </c>
      <c r="AG143">
        <f t="shared" si="87"/>
        <v>10.044046600818637</v>
      </c>
      <c r="AH143">
        <f t="shared" si="88"/>
        <v>20.593901508106725</v>
      </c>
      <c r="AI143">
        <f t="shared" si="89"/>
        <v>0.01</v>
      </c>
    </row>
    <row r="144" spans="5:35" x14ac:dyDescent="0.25">
      <c r="E144">
        <f t="shared" si="80"/>
        <v>63.184348736676306</v>
      </c>
      <c r="F144">
        <f t="shared" si="60"/>
        <v>1.1510627162309599</v>
      </c>
      <c r="G144">
        <f t="shared" si="61"/>
        <v>1.3024134000755947E-2</v>
      </c>
      <c r="H144">
        <f t="shared" si="62"/>
        <v>1.3188858189437134</v>
      </c>
      <c r="I144">
        <f t="shared" si="63"/>
        <v>0.14837465463116775</v>
      </c>
      <c r="J144">
        <f t="shared" si="64"/>
        <v>0.65944290947185669</v>
      </c>
      <c r="K144">
        <f t="shared" si="65"/>
        <v>8.791290450510264E-2</v>
      </c>
      <c r="L144">
        <v>143</v>
      </c>
      <c r="M144">
        <f t="shared" si="81"/>
        <v>0.1</v>
      </c>
      <c r="N144">
        <f t="shared" si="66"/>
        <v>3.3415765619561943</v>
      </c>
      <c r="O144">
        <f t="shared" si="67"/>
        <v>0.27113456766332134</v>
      </c>
      <c r="P144">
        <f t="shared" si="68"/>
        <v>8.9724323903986072</v>
      </c>
      <c r="Q144">
        <f t="shared" si="69"/>
        <v>1.0093986439198435</v>
      </c>
      <c r="R144">
        <f t="shared" si="70"/>
        <v>4.4862161951993036</v>
      </c>
      <c r="S144">
        <f t="shared" si="71"/>
        <v>1.8301583317274186</v>
      </c>
      <c r="T144">
        <f t="shared" si="72"/>
        <v>0.15</v>
      </c>
      <c r="U144">
        <f t="shared" si="82"/>
        <v>2.054021955494969</v>
      </c>
      <c r="V144">
        <f t="shared" si="73"/>
        <v>0.73267712394733597</v>
      </c>
      <c r="W144">
        <f t="shared" si="74"/>
        <v>0.75585671919475117</v>
      </c>
      <c r="X144">
        <f t="shared" si="75"/>
        <v>5.7914239680953692</v>
      </c>
      <c r="Y144">
        <f t="shared" si="76"/>
        <v>0.6515351964107291</v>
      </c>
      <c r="Z144">
        <f t="shared" si="77"/>
        <v>2.8957119840476846</v>
      </c>
      <c r="AA144">
        <f t="shared" si="78"/>
        <v>5.1020328545645697</v>
      </c>
      <c r="AB144">
        <f t="shared" si="79"/>
        <v>1E-4</v>
      </c>
      <c r="AC144">
        <f t="shared" si="83"/>
        <v>2.2473807054428492</v>
      </c>
      <c r="AD144">
        <f t="shared" si="84"/>
        <v>2.9852245427696196</v>
      </c>
      <c r="AE144">
        <f t="shared" si="85"/>
        <v>19.807128696482501</v>
      </c>
      <c r="AF144">
        <f t="shared" si="86"/>
        <v>2.2283019783542812</v>
      </c>
      <c r="AG144">
        <f t="shared" si="87"/>
        <v>9.9035643482412503</v>
      </c>
      <c r="AH144">
        <f t="shared" si="88"/>
        <v>20.150265663694931</v>
      </c>
      <c r="AI144">
        <f t="shared" si="89"/>
        <v>0.01</v>
      </c>
    </row>
    <row r="145" spans="5:35" x14ac:dyDescent="0.25">
      <c r="E145">
        <f t="shared" si="80"/>
        <v>65.079879198776595</v>
      </c>
      <c r="F145">
        <f t="shared" si="60"/>
        <v>1.1426707737449679</v>
      </c>
      <c r="G145">
        <f t="shared" si="61"/>
        <v>1.2276336084289498E-2</v>
      </c>
      <c r="H145">
        <f t="shared" si="62"/>
        <v>1.2799026136566594</v>
      </c>
      <c r="I145">
        <f t="shared" si="63"/>
        <v>0.14398904403637416</v>
      </c>
      <c r="J145">
        <f t="shared" si="64"/>
        <v>0.63995130682832968</v>
      </c>
      <c r="K145">
        <f t="shared" si="65"/>
        <v>8.2865268568954112E-2</v>
      </c>
      <c r="L145">
        <v>144</v>
      </c>
      <c r="M145">
        <f t="shared" si="81"/>
        <v>0.1</v>
      </c>
      <c r="N145">
        <f t="shared" si="66"/>
        <v>3.3084880932705762</v>
      </c>
      <c r="O145">
        <f t="shared" si="67"/>
        <v>0.25553719063363778</v>
      </c>
      <c r="P145">
        <f t="shared" si="68"/>
        <v>8.698470534566404</v>
      </c>
      <c r="Q145">
        <f t="shared" si="69"/>
        <v>0.97857793513872038</v>
      </c>
      <c r="R145">
        <f t="shared" si="70"/>
        <v>4.349235267283202</v>
      </c>
      <c r="S145">
        <f t="shared" si="71"/>
        <v>1.7248760367770553</v>
      </c>
      <c r="T145">
        <f t="shared" si="72"/>
        <v>0.15</v>
      </c>
      <c r="U145">
        <f t="shared" si="82"/>
        <v>2.0745621750499188</v>
      </c>
      <c r="V145">
        <f t="shared" si="73"/>
        <v>0.72748077519168541</v>
      </c>
      <c r="W145">
        <f t="shared" si="74"/>
        <v>0.74004487596866975</v>
      </c>
      <c r="X145">
        <f t="shared" si="75"/>
        <v>5.7158746365253377</v>
      </c>
      <c r="Y145">
        <f t="shared" si="76"/>
        <v>0.64303589660910043</v>
      </c>
      <c r="Z145">
        <f t="shared" si="77"/>
        <v>2.8579373182626688</v>
      </c>
      <c r="AA145">
        <f t="shared" si="78"/>
        <v>4.9953029127885209</v>
      </c>
      <c r="AB145">
        <f t="shared" si="79"/>
        <v>1E-4</v>
      </c>
      <c r="AC145">
        <f t="shared" si="83"/>
        <v>2.2291323269869121</v>
      </c>
      <c r="AD145">
        <f t="shared" si="84"/>
        <v>2.9210345338268482</v>
      </c>
      <c r="AE145">
        <f t="shared" si="85"/>
        <v>19.531221190469655</v>
      </c>
      <c r="AF145">
        <f t="shared" si="86"/>
        <v>2.197262383927836</v>
      </c>
      <c r="AG145">
        <f t="shared" si="87"/>
        <v>9.7656105952348273</v>
      </c>
      <c r="AH145">
        <f t="shared" si="88"/>
        <v>19.716983103331227</v>
      </c>
      <c r="AI145">
        <f t="shared" si="89"/>
        <v>0.01</v>
      </c>
    </row>
    <row r="146" spans="5:35" x14ac:dyDescent="0.25">
      <c r="E146">
        <f t="shared" si="80"/>
        <v>67.032275574739899</v>
      </c>
      <c r="F146">
        <f t="shared" si="60"/>
        <v>1.1343954549369901</v>
      </c>
      <c r="G146">
        <f t="shared" si="61"/>
        <v>1.1571482599951872E-2</v>
      </c>
      <c r="H146">
        <f t="shared" si="62"/>
        <v>1.2420879772393199</v>
      </c>
      <c r="I146">
        <f t="shared" si="63"/>
        <v>0.13973489743942349</v>
      </c>
      <c r="J146">
        <f t="shared" si="64"/>
        <v>0.62104398861965993</v>
      </c>
      <c r="K146">
        <f t="shared" si="65"/>
        <v>7.8107507549675145E-2</v>
      </c>
      <c r="L146">
        <v>145</v>
      </c>
      <c r="M146">
        <f t="shared" si="81"/>
        <v>0.1</v>
      </c>
      <c r="N146">
        <f t="shared" si="66"/>
        <v>3.2760294920773938</v>
      </c>
      <c r="O146">
        <f t="shared" si="67"/>
        <v>0.2408388702185221</v>
      </c>
      <c r="P146">
        <f t="shared" si="68"/>
        <v>8.4332470641262773</v>
      </c>
      <c r="Q146">
        <f t="shared" si="69"/>
        <v>0.94874029471420629</v>
      </c>
      <c r="R146">
        <f t="shared" si="70"/>
        <v>4.2166235320631387</v>
      </c>
      <c r="S146">
        <f t="shared" si="71"/>
        <v>1.625662373975024</v>
      </c>
      <c r="T146">
        <f t="shared" si="72"/>
        <v>0.15</v>
      </c>
      <c r="U146">
        <f t="shared" si="82"/>
        <v>2.0953077968004181</v>
      </c>
      <c r="V146">
        <f t="shared" si="73"/>
        <v>0.72235660278310443</v>
      </c>
      <c r="W146">
        <f t="shared" si="74"/>
        <v>0.72458259129681246</v>
      </c>
      <c r="X146">
        <f t="shared" si="75"/>
        <v>5.6415445458554041</v>
      </c>
      <c r="Y146">
        <f t="shared" si="76"/>
        <v>0.63467376140873299</v>
      </c>
      <c r="Z146">
        <f t="shared" si="77"/>
        <v>2.8207722729277021</v>
      </c>
      <c r="AA146">
        <f t="shared" si="78"/>
        <v>4.8909324912534844</v>
      </c>
      <c r="AB146">
        <f t="shared" si="79"/>
        <v>1E-4</v>
      </c>
      <c r="AC146">
        <f t="shared" si="83"/>
        <v>2.2111743649332931</v>
      </c>
      <c r="AD146">
        <f t="shared" si="84"/>
        <v>2.858337543461305</v>
      </c>
      <c r="AE146">
        <f t="shared" si="85"/>
        <v>19.260248666946524</v>
      </c>
      <c r="AF146">
        <f t="shared" si="86"/>
        <v>2.1667779750314842</v>
      </c>
      <c r="AG146">
        <f t="shared" si="87"/>
        <v>9.6301243334732618</v>
      </c>
      <c r="AH146">
        <f t="shared" si="88"/>
        <v>19.293778418363811</v>
      </c>
      <c r="AI146">
        <f t="shared" si="89"/>
        <v>0.01</v>
      </c>
    </row>
    <row r="147" spans="5:35" x14ac:dyDescent="0.25">
      <c r="E147">
        <f t="shared" si="80"/>
        <v>69.043243841982104</v>
      </c>
      <c r="F147">
        <f t="shared" si="60"/>
        <v>1.1262343469026648</v>
      </c>
      <c r="G147">
        <f t="shared" si="61"/>
        <v>1.0907106379205585E-2</v>
      </c>
      <c r="H147">
        <f t="shared" si="62"/>
        <v>1.2054059311739607</v>
      </c>
      <c r="I147">
        <f t="shared" si="63"/>
        <v>0.13560816725707056</v>
      </c>
      <c r="J147">
        <f t="shared" si="64"/>
        <v>0.60270296558698033</v>
      </c>
      <c r="K147">
        <f t="shared" si="65"/>
        <v>7.3622968059637695E-2</v>
      </c>
      <c r="L147">
        <v>146</v>
      </c>
      <c r="M147">
        <f t="shared" si="81"/>
        <v>0.1</v>
      </c>
      <c r="N147">
        <f t="shared" si="66"/>
        <v>3.2441829483511544</v>
      </c>
      <c r="O147">
        <f t="shared" si="67"/>
        <v>0.22698758270929215</v>
      </c>
      <c r="P147">
        <f t="shared" si="68"/>
        <v>8.1764608851138068</v>
      </c>
      <c r="Q147">
        <f t="shared" si="69"/>
        <v>0.91985184957530342</v>
      </c>
      <c r="R147">
        <f t="shared" si="70"/>
        <v>4.0882304425569034</v>
      </c>
      <c r="S147">
        <f t="shared" si="71"/>
        <v>1.532166183287722</v>
      </c>
      <c r="T147">
        <f t="shared" si="72"/>
        <v>0.15</v>
      </c>
      <c r="U147">
        <f t="shared" si="82"/>
        <v>2.1162608747684222</v>
      </c>
      <c r="V147">
        <f t="shared" si="73"/>
        <v>0.71730311341785979</v>
      </c>
      <c r="W147">
        <f t="shared" si="74"/>
        <v>0.70946136180989194</v>
      </c>
      <c r="X147">
        <f t="shared" si="75"/>
        <v>5.5684080091894321</v>
      </c>
      <c r="Y147">
        <f t="shared" si="76"/>
        <v>0.62644590103381104</v>
      </c>
      <c r="Z147">
        <f t="shared" si="77"/>
        <v>2.7842040045947161</v>
      </c>
      <c r="AA147">
        <f t="shared" si="78"/>
        <v>4.7888641922167707</v>
      </c>
      <c r="AB147">
        <f t="shared" si="79"/>
        <v>1E-4</v>
      </c>
      <c r="AC147">
        <f t="shared" si="83"/>
        <v>2.1934999415508276</v>
      </c>
      <c r="AD147">
        <f t="shared" si="84"/>
        <v>2.7970940688128989</v>
      </c>
      <c r="AE147">
        <f t="shared" si="85"/>
        <v>18.994092955408227</v>
      </c>
      <c r="AF147">
        <f t="shared" si="86"/>
        <v>2.1368354574834254</v>
      </c>
      <c r="AG147">
        <f t="shared" si="87"/>
        <v>9.4970464777041137</v>
      </c>
      <c r="AH147">
        <f t="shared" si="88"/>
        <v>18.880384964487067</v>
      </c>
      <c r="AI147">
        <f t="shared" si="89"/>
        <v>0.01</v>
      </c>
    </row>
    <row r="148" spans="5:35" x14ac:dyDescent="0.25">
      <c r="E148">
        <f t="shared" si="80"/>
        <v>71.114541157241575</v>
      </c>
      <c r="F148">
        <f t="shared" si="60"/>
        <v>1.1181851028445799</v>
      </c>
      <c r="G148">
        <f t="shared" si="61"/>
        <v>1.0280882100243598E-2</v>
      </c>
      <c r="H148">
        <f t="shared" si="62"/>
        <v>1.1698216598617153</v>
      </c>
      <c r="I148">
        <f t="shared" si="63"/>
        <v>0.13160493673444298</v>
      </c>
      <c r="J148">
        <f t="shared" si="64"/>
        <v>0.58491082993085763</v>
      </c>
      <c r="K148">
        <f t="shared" si="65"/>
        <v>6.9395954176644292E-2</v>
      </c>
      <c r="L148">
        <v>147</v>
      </c>
      <c r="M148">
        <f t="shared" si="81"/>
        <v>0.1</v>
      </c>
      <c r="N148">
        <f t="shared" si="66"/>
        <v>3.2129313172543235</v>
      </c>
      <c r="O148">
        <f t="shared" si="67"/>
        <v>0.21393433715428611</v>
      </c>
      <c r="P148">
        <f t="shared" si="68"/>
        <v>7.9278226179842672</v>
      </c>
      <c r="Q148">
        <f t="shared" si="69"/>
        <v>0.89188004452323</v>
      </c>
      <c r="R148">
        <f t="shared" si="70"/>
        <v>3.9639113089921336</v>
      </c>
      <c r="S148">
        <f t="shared" si="71"/>
        <v>1.4440567757914313</v>
      </c>
      <c r="T148">
        <f t="shared" si="72"/>
        <v>0.15</v>
      </c>
      <c r="U148">
        <f t="shared" si="82"/>
        <v>2.1374234835161063</v>
      </c>
      <c r="V148">
        <f t="shared" si="73"/>
        <v>0.71231885470463974</v>
      </c>
      <c r="W148">
        <f t="shared" si="74"/>
        <v>0.69467292303035599</v>
      </c>
      <c r="X148">
        <f t="shared" si="75"/>
        <v>5.4964400416891124</v>
      </c>
      <c r="Y148">
        <f t="shared" si="76"/>
        <v>0.61834950469002514</v>
      </c>
      <c r="Z148">
        <f t="shared" si="77"/>
        <v>2.7482200208445562</v>
      </c>
      <c r="AA148">
        <f t="shared" si="78"/>
        <v>4.6890422304549029</v>
      </c>
      <c r="AB148">
        <f t="shared" si="79"/>
        <v>1E-4</v>
      </c>
      <c r="AC148">
        <f t="shared" si="83"/>
        <v>2.176102394581525</v>
      </c>
      <c r="AD148">
        <f t="shared" si="84"/>
        <v>2.7372658551012954</v>
      </c>
      <c r="AE148">
        <f t="shared" si="85"/>
        <v>18.732639580952704</v>
      </c>
      <c r="AF148">
        <f t="shared" si="86"/>
        <v>2.1074219528571789</v>
      </c>
      <c r="AG148">
        <f t="shared" si="87"/>
        <v>9.3663197904763518</v>
      </c>
      <c r="AH148">
        <f t="shared" si="88"/>
        <v>18.476544521933743</v>
      </c>
      <c r="AI148">
        <f t="shared" si="89"/>
        <v>0.01</v>
      </c>
    </row>
    <row r="149" spans="5:35" x14ac:dyDescent="0.25">
      <c r="E149">
        <f t="shared" si="80"/>
        <v>73.247977391958827</v>
      </c>
      <c r="F149">
        <f t="shared" si="60"/>
        <v>1.1102454398237602</v>
      </c>
      <c r="G149">
        <f t="shared" si="61"/>
        <v>9.6906181207288052E-3</v>
      </c>
      <c r="H149">
        <f t="shared" si="62"/>
        <v>1.1353014698462249</v>
      </c>
      <c r="I149">
        <f t="shared" si="63"/>
        <v>0.12772141535770032</v>
      </c>
      <c r="J149">
        <f t="shared" si="64"/>
        <v>0.56765073492311247</v>
      </c>
      <c r="K149">
        <f t="shared" si="65"/>
        <v>6.5411672314919442E-2</v>
      </c>
      <c r="L149">
        <v>148</v>
      </c>
      <c r="M149">
        <f t="shared" si="81"/>
        <v>0.1</v>
      </c>
      <c r="N149">
        <f t="shared" si="66"/>
        <v>3.1822580883694997</v>
      </c>
      <c r="O149">
        <f t="shared" si="67"/>
        <v>0.20163299606178287</v>
      </c>
      <c r="P149">
        <f t="shared" si="68"/>
        <v>7.6870540625958714</v>
      </c>
      <c r="Q149">
        <f t="shared" si="69"/>
        <v>0.8647935820420356</v>
      </c>
      <c r="R149">
        <f t="shared" si="70"/>
        <v>3.8435270312979357</v>
      </c>
      <c r="S149">
        <f t="shared" si="71"/>
        <v>1.3610227234170345</v>
      </c>
      <c r="T149">
        <f t="shared" si="72"/>
        <v>0.15</v>
      </c>
      <c r="U149">
        <f t="shared" si="82"/>
        <v>2.1587977183512672</v>
      </c>
      <c r="V149">
        <f t="shared" si="73"/>
        <v>0.70740241377298607</v>
      </c>
      <c r="W149">
        <f t="shared" si="74"/>
        <v>0.6802092413514067</v>
      </c>
      <c r="X149">
        <f t="shared" si="75"/>
        <v>5.4256163367196999</v>
      </c>
      <c r="Y149">
        <f t="shared" si="76"/>
        <v>0.61038183788096623</v>
      </c>
      <c r="Z149">
        <f t="shared" si="77"/>
        <v>2.7128081683598499</v>
      </c>
      <c r="AA149">
        <f t="shared" si="78"/>
        <v>4.5914123791219952</v>
      </c>
      <c r="AB149">
        <f t="shared" si="79"/>
        <v>1E-4</v>
      </c>
      <c r="AC149">
        <f t="shared" si="83"/>
        <v>2.1589752688678594</v>
      </c>
      <c r="AD149">
        <f t="shared" si="84"/>
        <v>2.6788158476218715</v>
      </c>
      <c r="AE149">
        <f t="shared" si="85"/>
        <v>18.475777620756091</v>
      </c>
      <c r="AF149">
        <f t="shared" si="86"/>
        <v>2.0785249823350602</v>
      </c>
      <c r="AG149">
        <f t="shared" si="87"/>
        <v>9.2378888103780454</v>
      </c>
      <c r="AH149">
        <f t="shared" si="88"/>
        <v>18.082006971447637</v>
      </c>
      <c r="AI149">
        <f t="shared" si="89"/>
        <v>0.01</v>
      </c>
    </row>
    <row r="150" spans="5:35" x14ac:dyDescent="0.25">
      <c r="E150">
        <f t="shared" si="80"/>
        <v>75.445416713717592</v>
      </c>
      <c r="F150">
        <f t="shared" si="60"/>
        <v>1.1024131366022791</v>
      </c>
      <c r="G150">
        <f t="shared" si="61"/>
        <v>9.1342487821220314E-3</v>
      </c>
      <c r="H150">
        <f t="shared" si="62"/>
        <v>1.1018127506478632</v>
      </c>
      <c r="I150">
        <f t="shared" si="63"/>
        <v>0.12395393444788462</v>
      </c>
      <c r="J150">
        <f t="shared" si="64"/>
        <v>0.55090637532393161</v>
      </c>
      <c r="K150">
        <f t="shared" si="65"/>
        <v>6.1656179279323715E-2</v>
      </c>
      <c r="L150">
        <v>149</v>
      </c>
      <c r="M150">
        <f t="shared" si="81"/>
        <v>0.1</v>
      </c>
      <c r="N150">
        <f t="shared" si="66"/>
        <v>3.1521473566235825</v>
      </c>
      <c r="O150">
        <f t="shared" si="67"/>
        <v>0.19004010698090354</v>
      </c>
      <c r="P150">
        <f t="shared" si="68"/>
        <v>7.453887692218224</v>
      </c>
      <c r="Q150">
        <f t="shared" si="69"/>
        <v>0.8385623653745502</v>
      </c>
      <c r="R150">
        <f t="shared" si="70"/>
        <v>3.726943846109112</v>
      </c>
      <c r="S150">
        <f t="shared" si="71"/>
        <v>1.2827707221210989</v>
      </c>
      <c r="T150">
        <f t="shared" si="72"/>
        <v>0.15</v>
      </c>
      <c r="U150">
        <f t="shared" si="82"/>
        <v>2.1803856955347798</v>
      </c>
      <c r="V150">
        <f t="shared" si="73"/>
        <v>0.70255241593814055</v>
      </c>
      <c r="W150">
        <f t="shared" si="74"/>
        <v>0.66606250633819331</v>
      </c>
      <c r="X150">
        <f t="shared" si="75"/>
        <v>5.35591324296281</v>
      </c>
      <c r="Y150">
        <f t="shared" si="76"/>
        <v>0.60254023983331606</v>
      </c>
      <c r="Z150">
        <f t="shared" si="77"/>
        <v>2.677956621481405</v>
      </c>
      <c r="AA150">
        <f t="shared" si="78"/>
        <v>4.4959219177828045</v>
      </c>
      <c r="AB150">
        <f t="shared" si="79"/>
        <v>1E-4</v>
      </c>
      <c r="AC150">
        <f t="shared" si="83"/>
        <v>2.1421123083674458</v>
      </c>
      <c r="AD150">
        <f t="shared" si="84"/>
        <v>2.6217081459532956</v>
      </c>
      <c r="AE150">
        <f t="shared" si="85"/>
        <v>18.223399567188878</v>
      </c>
      <c r="AF150">
        <f t="shared" si="86"/>
        <v>2.0501324513087487</v>
      </c>
      <c r="AG150">
        <f t="shared" si="87"/>
        <v>9.1116997835944389</v>
      </c>
      <c r="AH150">
        <f t="shared" si="88"/>
        <v>17.696529985184743</v>
      </c>
      <c r="AI150">
        <f t="shared" si="89"/>
        <v>0.01</v>
      </c>
    </row>
    <row r="151" spans="5:35" x14ac:dyDescent="0.25">
      <c r="E151">
        <f t="shared" si="80"/>
        <v>77.708779215129127</v>
      </c>
      <c r="F151">
        <f t="shared" si="60"/>
        <v>1.0946860315727507</v>
      </c>
      <c r="G151">
        <f t="shared" si="61"/>
        <v>8.6098271582199931E-3</v>
      </c>
      <c r="H151">
        <f t="shared" si="62"/>
        <v>1.0693239371350249</v>
      </c>
      <c r="I151">
        <f t="shared" si="63"/>
        <v>0.12029894292769031</v>
      </c>
      <c r="J151">
        <f t="shared" si="64"/>
        <v>0.53466196856751247</v>
      </c>
      <c r="K151">
        <f t="shared" si="65"/>
        <v>5.8116333317984957E-2</v>
      </c>
      <c r="L151">
        <v>150</v>
      </c>
      <c r="M151">
        <f t="shared" si="81"/>
        <v>0.1</v>
      </c>
      <c r="N151">
        <f t="shared" si="66"/>
        <v>3.1225837947965305</v>
      </c>
      <c r="O151">
        <f t="shared" si="67"/>
        <v>0.1791147442698966</v>
      </c>
      <c r="P151">
        <f t="shared" si="68"/>
        <v>7.2280661747267008</v>
      </c>
      <c r="Q151">
        <f t="shared" si="69"/>
        <v>0.81315744465675377</v>
      </c>
      <c r="R151">
        <f t="shared" si="70"/>
        <v>3.6140330873633504</v>
      </c>
      <c r="S151">
        <f t="shared" si="71"/>
        <v>1.209024523821802</v>
      </c>
      <c r="T151">
        <f t="shared" si="72"/>
        <v>0.15</v>
      </c>
      <c r="U151">
        <f t="shared" si="82"/>
        <v>2.2021895524901276</v>
      </c>
      <c r="V151">
        <f t="shared" si="73"/>
        <v>0.69776752341961468</v>
      </c>
      <c r="W151">
        <f t="shared" si="74"/>
        <v>0.65222512333605898</v>
      </c>
      <c r="X151">
        <f t="shared" si="75"/>
        <v>5.2873077424508503</v>
      </c>
      <c r="Y151">
        <f t="shared" si="76"/>
        <v>0.59482212102572063</v>
      </c>
      <c r="Z151">
        <f t="shared" si="77"/>
        <v>2.6436538712254252</v>
      </c>
      <c r="AA151">
        <f t="shared" si="78"/>
        <v>4.4025195825183969</v>
      </c>
      <c r="AB151">
        <f t="shared" si="79"/>
        <v>1E-4</v>
      </c>
      <c r="AC151">
        <f t="shared" si="83"/>
        <v>2.1255074485345573</v>
      </c>
      <c r="AD151">
        <f t="shared" si="84"/>
        <v>2.5659079602582411</v>
      </c>
      <c r="AE151">
        <f t="shared" si="85"/>
        <v>17.975401197217241</v>
      </c>
      <c r="AF151">
        <f t="shared" si="86"/>
        <v>2.0222326346869397</v>
      </c>
      <c r="AG151">
        <f t="shared" si="87"/>
        <v>8.9877005986086207</v>
      </c>
      <c r="AH151">
        <f t="shared" si="88"/>
        <v>17.319878731743128</v>
      </c>
      <c r="AI151">
        <f t="shared" si="89"/>
        <v>0.01</v>
      </c>
    </row>
    <row r="152" spans="5:35" x14ac:dyDescent="0.25">
      <c r="E152">
        <f t="shared" si="80"/>
        <v>80.040042591583003</v>
      </c>
      <c r="F152">
        <f t="shared" si="60"/>
        <v>1.0870620207706494</v>
      </c>
      <c r="G152">
        <f t="shared" si="61"/>
        <v>8.1155182221304464E-3</v>
      </c>
      <c r="H152">
        <f t="shared" si="62"/>
        <v>1.0378044733628098</v>
      </c>
      <c r="I152">
        <f t="shared" si="63"/>
        <v>0.1167530032533161</v>
      </c>
      <c r="J152">
        <f t="shared" si="64"/>
        <v>0.51890223668140489</v>
      </c>
      <c r="K152">
        <f t="shared" si="65"/>
        <v>5.4779747999380506E-2</v>
      </c>
      <c r="L152">
        <v>151</v>
      </c>
      <c r="M152">
        <f t="shared" si="81"/>
        <v>0.1</v>
      </c>
      <c r="N152">
        <f t="shared" si="66"/>
        <v>3.0935526275148799</v>
      </c>
      <c r="O152">
        <f t="shared" si="67"/>
        <v>0.16881836040836967</v>
      </c>
      <c r="P152">
        <f t="shared" si="68"/>
        <v>7.0093419192761139</v>
      </c>
      <c r="Q152">
        <f t="shared" si="69"/>
        <v>0.78855096591856289</v>
      </c>
      <c r="R152">
        <f t="shared" si="70"/>
        <v>3.504670959638057</v>
      </c>
      <c r="S152">
        <f t="shared" si="71"/>
        <v>1.1395239327564952</v>
      </c>
      <c r="T152">
        <f t="shared" si="72"/>
        <v>0.15</v>
      </c>
      <c r="U152">
        <f t="shared" si="82"/>
        <v>2.224211448015029</v>
      </c>
      <c r="V152">
        <f t="shared" si="73"/>
        <v>0.69304643411108247</v>
      </c>
      <c r="W152">
        <f t="shared" si="74"/>
        <v>0.6386897063715341</v>
      </c>
      <c r="X152">
        <f t="shared" si="75"/>
        <v>5.2197774294800716</v>
      </c>
      <c r="Y152">
        <f t="shared" si="76"/>
        <v>0.58722496081650799</v>
      </c>
      <c r="Z152">
        <f t="shared" si="77"/>
        <v>2.6098887147400358</v>
      </c>
      <c r="AA152">
        <f t="shared" si="78"/>
        <v>4.3111555180078547</v>
      </c>
      <c r="AB152">
        <f t="shared" si="79"/>
        <v>1E-4</v>
      </c>
      <c r="AC152">
        <f t="shared" si="83"/>
        <v>2.1091548090486087</v>
      </c>
      <c r="AD152">
        <f t="shared" si="84"/>
        <v>2.511381569565966</v>
      </c>
      <c r="AE152">
        <f t="shared" si="85"/>
        <v>17.731681447755385</v>
      </c>
      <c r="AF152">
        <f t="shared" si="86"/>
        <v>1.9948141628724807</v>
      </c>
      <c r="AG152">
        <f t="shared" si="87"/>
        <v>8.8658407238776924</v>
      </c>
      <c r="AH152">
        <f t="shared" si="88"/>
        <v>16.95182559457027</v>
      </c>
      <c r="AI152">
        <f t="shared" si="89"/>
        <v>0.01</v>
      </c>
    </row>
    <row r="153" spans="5:35" x14ac:dyDescent="0.25">
      <c r="E153">
        <f t="shared" si="80"/>
        <v>82.441243869330492</v>
      </c>
      <c r="F153">
        <f t="shared" si="60"/>
        <v>1.0795390559656035</v>
      </c>
      <c r="G153">
        <f t="shared" si="61"/>
        <v>7.6495924074219176E-3</v>
      </c>
      <c r="H153">
        <f t="shared" si="62"/>
        <v>1.0072247778131056</v>
      </c>
      <c r="I153">
        <f t="shared" si="63"/>
        <v>0.11331278750397437</v>
      </c>
      <c r="J153">
        <f t="shared" si="64"/>
        <v>0.5036123889065528</v>
      </c>
      <c r="K153">
        <f t="shared" si="65"/>
        <v>5.1634748750097943E-2</v>
      </c>
      <c r="L153">
        <v>152</v>
      </c>
      <c r="M153">
        <f t="shared" si="81"/>
        <v>0.1</v>
      </c>
      <c r="N153">
        <f t="shared" si="66"/>
        <v>3.0650396066371464</v>
      </c>
      <c r="O153">
        <f t="shared" si="67"/>
        <v>0.15911464625362259</v>
      </c>
      <c r="P153">
        <f t="shared" si="68"/>
        <v>6.7974766468690104</v>
      </c>
      <c r="Q153">
        <f t="shared" si="69"/>
        <v>0.76471612277276368</v>
      </c>
      <c r="R153">
        <f t="shared" si="70"/>
        <v>3.3987383234345052</v>
      </c>
      <c r="S153">
        <f t="shared" si="71"/>
        <v>1.0740238622119525</v>
      </c>
      <c r="T153">
        <f t="shared" si="72"/>
        <v>0.15</v>
      </c>
      <c r="U153">
        <f t="shared" si="82"/>
        <v>2.2464535624951791</v>
      </c>
      <c r="V153">
        <f t="shared" si="73"/>
        <v>0.68838788039909748</v>
      </c>
      <c r="W153">
        <f t="shared" si="74"/>
        <v>0.62544907133252003</v>
      </c>
      <c r="X153">
        <f t="shared" si="75"/>
        <v>5.1533004903615032</v>
      </c>
      <c r="Y153">
        <f t="shared" si="76"/>
        <v>0.57974630516566905</v>
      </c>
      <c r="Z153">
        <f t="shared" si="77"/>
        <v>2.5766502451807516</v>
      </c>
      <c r="AA153">
        <f t="shared" si="78"/>
        <v>4.2217812314945098</v>
      </c>
      <c r="AB153">
        <f t="shared" si="79"/>
        <v>1E-4</v>
      </c>
      <c r="AC153">
        <f t="shared" si="83"/>
        <v>2.0930486868714775</v>
      </c>
      <c r="AD153">
        <f t="shared" si="84"/>
        <v>2.458096281932157</v>
      </c>
      <c r="AE153">
        <f t="shared" si="85"/>
        <v>17.492142296654858</v>
      </c>
      <c r="AF153">
        <f t="shared" si="86"/>
        <v>1.9678660083736716</v>
      </c>
      <c r="AG153">
        <f t="shared" si="87"/>
        <v>8.7460711483274292</v>
      </c>
      <c r="AH153">
        <f t="shared" si="88"/>
        <v>16.592149903042063</v>
      </c>
      <c r="AI153">
        <f t="shared" si="89"/>
        <v>0.01</v>
      </c>
    </row>
    <row r="154" spans="5:35" x14ac:dyDescent="0.25">
      <c r="E154">
        <f t="shared" si="80"/>
        <v>84.914481185410409</v>
      </c>
      <c r="F154">
        <f t="shared" si="60"/>
        <v>1.0721151428280391</v>
      </c>
      <c r="G154">
        <f t="shared" si="61"/>
        <v>7.2104195406051761E-3</v>
      </c>
      <c r="H154">
        <f t="shared" si="62"/>
        <v>0.97755620997348736</v>
      </c>
      <c r="I154">
        <f t="shared" si="63"/>
        <v>0.10997507362201735</v>
      </c>
      <c r="J154">
        <f t="shared" si="64"/>
        <v>0.48877810498674368</v>
      </c>
      <c r="K154">
        <f t="shared" si="65"/>
        <v>4.8670331899084936E-2</v>
      </c>
      <c r="L154">
        <v>153</v>
      </c>
      <c r="M154">
        <f t="shared" si="81"/>
        <v>0.1</v>
      </c>
      <c r="N154">
        <f t="shared" si="66"/>
        <v>3.0370309879451751</v>
      </c>
      <c r="O154">
        <f t="shared" si="67"/>
        <v>0.14996939968156581</v>
      </c>
      <c r="P154">
        <f t="shared" si="68"/>
        <v>6.592240983346155</v>
      </c>
      <c r="Q154">
        <f t="shared" si="69"/>
        <v>0.74162711062644249</v>
      </c>
      <c r="R154">
        <f t="shared" si="70"/>
        <v>3.2961204916730775</v>
      </c>
      <c r="S154">
        <f t="shared" si="71"/>
        <v>1.0122934478505692</v>
      </c>
      <c r="T154">
        <f t="shared" si="72"/>
        <v>0.15</v>
      </c>
      <c r="U154">
        <f t="shared" si="82"/>
        <v>2.2689180981201309</v>
      </c>
      <c r="V154">
        <f t="shared" si="73"/>
        <v>0.68379062802845791</v>
      </c>
      <c r="W154">
        <f t="shared" si="74"/>
        <v>0.61249622941482929</v>
      </c>
      <c r="X154">
        <f t="shared" si="75"/>
        <v>5.0878556839711813</v>
      </c>
      <c r="Y154">
        <f t="shared" si="76"/>
        <v>0.57238376444675787</v>
      </c>
      <c r="Z154">
        <f t="shared" si="77"/>
        <v>2.5439278419855906</v>
      </c>
      <c r="AA154">
        <f t="shared" si="78"/>
        <v>4.1343495485500972</v>
      </c>
      <c r="AB154">
        <f t="shared" si="79"/>
        <v>1E-4</v>
      </c>
      <c r="AC154">
        <f t="shared" si="83"/>
        <v>2.0771835496165796</v>
      </c>
      <c r="AD154">
        <f t="shared" si="84"/>
        <v>2.4060203963777513</v>
      </c>
      <c r="AE154">
        <f t="shared" si="85"/>
        <v>17.256688649035752</v>
      </c>
      <c r="AF154">
        <f t="shared" si="86"/>
        <v>1.9413774730165223</v>
      </c>
      <c r="AG154">
        <f t="shared" si="87"/>
        <v>8.6283443245178759</v>
      </c>
      <c r="AH154">
        <f t="shared" si="88"/>
        <v>16.24063767554982</v>
      </c>
      <c r="AI154">
        <f t="shared" si="89"/>
        <v>0.01</v>
      </c>
    </row>
    <row r="155" spans="5:35" x14ac:dyDescent="0.25">
      <c r="E155">
        <f t="shared" si="80"/>
        <v>87.461915620972718</v>
      </c>
      <c r="F155">
        <f t="shared" si="60"/>
        <v>1.0647883391677089</v>
      </c>
      <c r="G155">
        <f t="shared" si="61"/>
        <v>6.7964631234390211E-3</v>
      </c>
      <c r="H155">
        <f t="shared" si="62"/>
        <v>0.94877103819559494</v>
      </c>
      <c r="I155">
        <f t="shared" si="63"/>
        <v>0.10673674179700443</v>
      </c>
      <c r="J155">
        <f t="shared" si="64"/>
        <v>0.47438551909779747</v>
      </c>
      <c r="K155">
        <f t="shared" si="65"/>
        <v>4.5876126083213391E-2</v>
      </c>
      <c r="L155">
        <v>154</v>
      </c>
      <c r="M155">
        <f t="shared" si="81"/>
        <v>0.1</v>
      </c>
      <c r="N155">
        <f t="shared" si="66"/>
        <v>3.009513509061156</v>
      </c>
      <c r="O155">
        <f t="shared" si="67"/>
        <v>0.14135040209004676</v>
      </c>
      <c r="P155">
        <f t="shared" si="68"/>
        <v>6.3934140734301881</v>
      </c>
      <c r="Q155">
        <f t="shared" si="69"/>
        <v>0.71925908326089616</v>
      </c>
      <c r="R155">
        <f t="shared" si="70"/>
        <v>3.196707036715094</v>
      </c>
      <c r="S155">
        <f t="shared" si="71"/>
        <v>0.95411521410781552</v>
      </c>
      <c r="T155">
        <f t="shared" si="72"/>
        <v>0.15</v>
      </c>
      <c r="U155">
        <f t="shared" si="82"/>
        <v>2.2916072791013322</v>
      </c>
      <c r="V155">
        <f t="shared" si="73"/>
        <v>0.67925347501206856</v>
      </c>
      <c r="W155">
        <f t="shared" si="74"/>
        <v>0.599824380822917</v>
      </c>
      <c r="X155">
        <f t="shared" si="75"/>
        <v>5.0234223230631141</v>
      </c>
      <c r="Y155">
        <f t="shared" si="76"/>
        <v>0.56513501134460042</v>
      </c>
      <c r="Z155">
        <f t="shared" si="77"/>
        <v>2.511711161531557</v>
      </c>
      <c r="AA155">
        <f t="shared" si="78"/>
        <v>4.0488145705546899</v>
      </c>
      <c r="AB155">
        <f t="shared" si="79"/>
        <v>1E-4</v>
      </c>
      <c r="AC155">
        <f t="shared" si="83"/>
        <v>2.0615540292132275</v>
      </c>
      <c r="AD155">
        <f t="shared" si="84"/>
        <v>2.3551231665142591</v>
      </c>
      <c r="AE155">
        <f t="shared" si="85"/>
        <v>17.025228228682028</v>
      </c>
      <c r="AF155">
        <f t="shared" si="86"/>
        <v>1.915338175726728</v>
      </c>
      <c r="AG155">
        <f t="shared" si="87"/>
        <v>8.5126141143410141</v>
      </c>
      <c r="AH155">
        <f t="shared" si="88"/>
        <v>15.89708137397125</v>
      </c>
      <c r="AI155">
        <f t="shared" si="89"/>
        <v>0.01</v>
      </c>
    </row>
    <row r="156" spans="5:35" x14ac:dyDescent="0.25">
      <c r="E156">
        <f t="shared" si="80"/>
        <v>90.085773089601901</v>
      </c>
      <c r="F156">
        <f t="shared" si="60"/>
        <v>1.0575567532408634</v>
      </c>
      <c r="G156">
        <f t="shared" si="61"/>
        <v>6.4062749448089169E-3</v>
      </c>
      <c r="H156">
        <f t="shared" si="62"/>
        <v>0.92084240877667334</v>
      </c>
      <c r="I156">
        <f t="shared" si="63"/>
        <v>0.10359477098737575</v>
      </c>
      <c r="J156">
        <f t="shared" si="64"/>
        <v>0.46042120438833667</v>
      </c>
      <c r="K156">
        <f t="shared" si="65"/>
        <v>4.3242355877460184E-2</v>
      </c>
      <c r="L156">
        <v>155</v>
      </c>
      <c r="M156">
        <f t="shared" si="81"/>
        <v>0.1</v>
      </c>
      <c r="N156">
        <f t="shared" si="66"/>
        <v>2.9824743685158008</v>
      </c>
      <c r="O156">
        <f t="shared" si="67"/>
        <v>0.13322730227700824</v>
      </c>
      <c r="P156">
        <f t="shared" si="68"/>
        <v>6.2007832145486956</v>
      </c>
      <c r="Q156">
        <f t="shared" si="69"/>
        <v>0.69758811163672829</v>
      </c>
      <c r="R156">
        <f t="shared" si="70"/>
        <v>3.1003916072743478</v>
      </c>
      <c r="S156">
        <f t="shared" si="71"/>
        <v>0.89928429036980573</v>
      </c>
      <c r="T156">
        <f t="shared" si="72"/>
        <v>0.15</v>
      </c>
      <c r="U156">
        <f t="shared" si="82"/>
        <v>2.3145233518923454</v>
      </c>
      <c r="V156">
        <f t="shared" si="73"/>
        <v>0.67477525058328425</v>
      </c>
      <c r="W156">
        <f t="shared" si="74"/>
        <v>0.58742690871326941</v>
      </c>
      <c r="X156">
        <f t="shared" si="75"/>
        <v>4.9599802563102893</v>
      </c>
      <c r="Y156">
        <f t="shared" si="76"/>
        <v>0.55799777883490753</v>
      </c>
      <c r="Z156">
        <f t="shared" si="77"/>
        <v>2.4799901281551446</v>
      </c>
      <c r="AA156">
        <f t="shared" si="78"/>
        <v>3.9651316338145679</v>
      </c>
      <c r="AB156">
        <f t="shared" si="79"/>
        <v>1E-4</v>
      </c>
      <c r="AC156">
        <f t="shared" si="83"/>
        <v>2.0461549158512287</v>
      </c>
      <c r="AD156">
        <f t="shared" si="84"/>
        <v>2.3053747657685917</v>
      </c>
      <c r="AE156">
        <f t="shared" si="85"/>
        <v>16.797671474239767</v>
      </c>
      <c r="AF156">
        <f t="shared" si="86"/>
        <v>1.8897380408519737</v>
      </c>
      <c r="AG156">
        <f t="shared" si="87"/>
        <v>8.3988357371198834</v>
      </c>
      <c r="AH156">
        <f t="shared" si="88"/>
        <v>15.561279668937994</v>
      </c>
      <c r="AI156">
        <f t="shared" si="89"/>
        <v>0.01</v>
      </c>
    </row>
    <row r="157" spans="5:35" x14ac:dyDescent="0.25">
      <c r="E157">
        <f t="shared" si="80"/>
        <v>92.788346282289965</v>
      </c>
      <c r="F157">
        <f t="shared" si="60"/>
        <v>1.0504185421229446</v>
      </c>
      <c r="G157">
        <f t="shared" si="61"/>
        <v>6.0384900031085435E-3</v>
      </c>
      <c r="H157">
        <f t="shared" si="62"/>
        <v>0.89374431621084449</v>
      </c>
      <c r="I157">
        <f t="shared" si="63"/>
        <v>0.10054623557372001</v>
      </c>
      <c r="J157">
        <f t="shared" si="64"/>
        <v>0.44687215810542225</v>
      </c>
      <c r="K157">
        <f t="shared" si="65"/>
        <v>4.0759807520982669E-2</v>
      </c>
      <c r="L157">
        <v>156</v>
      </c>
      <c r="M157">
        <f t="shared" si="81"/>
        <v>0.1</v>
      </c>
      <c r="N157">
        <f t="shared" si="66"/>
        <v>2.9559012058983525</v>
      </c>
      <c r="O157">
        <f t="shared" si="67"/>
        <v>0.12557150723798993</v>
      </c>
      <c r="P157">
        <f t="shared" si="68"/>
        <v>6.0141435092508289</v>
      </c>
      <c r="Q157">
        <f t="shared" si="69"/>
        <v>0.67659114479071825</v>
      </c>
      <c r="R157">
        <f t="shared" si="70"/>
        <v>3.0070717546254144</v>
      </c>
      <c r="S157">
        <f t="shared" si="71"/>
        <v>0.84760767385643188</v>
      </c>
      <c r="T157">
        <f t="shared" si="72"/>
        <v>0.15</v>
      </c>
      <c r="U157">
        <f t="shared" si="82"/>
        <v>2.3376685854112687</v>
      </c>
      <c r="V157">
        <f t="shared" si="73"/>
        <v>0.67035481418879395</v>
      </c>
      <c r="W157">
        <f t="shared" si="74"/>
        <v>0.57529737336951303</v>
      </c>
      <c r="X157">
        <f t="shared" si="75"/>
        <v>4.8975098510408541</v>
      </c>
      <c r="Y157">
        <f t="shared" si="76"/>
        <v>0.5509698582420961</v>
      </c>
      <c r="Z157">
        <f t="shared" si="77"/>
        <v>2.4487549255204271</v>
      </c>
      <c r="AA157">
        <f t="shared" si="78"/>
        <v>3.8832572702442132</v>
      </c>
      <c r="AB157">
        <f t="shared" si="79"/>
        <v>1E-4</v>
      </c>
      <c r="AC157">
        <f t="shared" si="83"/>
        <v>2.0309811521912855</v>
      </c>
      <c r="AD157">
        <f t="shared" si="84"/>
        <v>2.256746254125459</v>
      </c>
      <c r="AE157">
        <f t="shared" si="85"/>
        <v>16.573931439972291</v>
      </c>
      <c r="AF157">
        <f t="shared" si="86"/>
        <v>1.8645672869968828</v>
      </c>
      <c r="AG157">
        <f t="shared" si="87"/>
        <v>8.2869657199861457</v>
      </c>
      <c r="AH157">
        <f t="shared" si="88"/>
        <v>15.233037215346847</v>
      </c>
      <c r="AI157">
        <f t="shared" si="89"/>
        <v>0.01</v>
      </c>
    </row>
    <row r="158" spans="5:35" x14ac:dyDescent="0.25">
      <c r="E158">
        <f t="shared" si="80"/>
        <v>95.571996670758665</v>
      </c>
      <c r="F158">
        <f t="shared" si="60"/>
        <v>1.0433719101438603</v>
      </c>
      <c r="G158">
        <f t="shared" si="61"/>
        <v>5.6918217211659027E-3</v>
      </c>
      <c r="H158">
        <f t="shared" si="62"/>
        <v>0.86745157455935862</v>
      </c>
      <c r="I158">
        <f t="shared" si="63"/>
        <v>9.7588302137927838E-2</v>
      </c>
      <c r="J158">
        <f t="shared" si="64"/>
        <v>0.43372578727967931</v>
      </c>
      <c r="K158">
        <f t="shared" si="65"/>
        <v>3.8419796617869838E-2</v>
      </c>
      <c r="L158">
        <v>157</v>
      </c>
      <c r="M158">
        <f t="shared" si="81"/>
        <v>0.1</v>
      </c>
      <c r="N158">
        <f t="shared" si="66"/>
        <v>2.929782083023615</v>
      </c>
      <c r="O158">
        <f t="shared" si="67"/>
        <v>0.11835607945726377</v>
      </c>
      <c r="P158">
        <f t="shared" si="68"/>
        <v>5.8332975351127256</v>
      </c>
      <c r="Q158">
        <f t="shared" si="69"/>
        <v>0.65624597270018159</v>
      </c>
      <c r="R158">
        <f t="shared" si="70"/>
        <v>2.9166487675563628</v>
      </c>
      <c r="S158">
        <f t="shared" si="71"/>
        <v>0.79890353633653044</v>
      </c>
      <c r="T158">
        <f t="shared" si="72"/>
        <v>0.15</v>
      </c>
      <c r="U158">
        <f t="shared" si="82"/>
        <v>2.3610452712653816</v>
      </c>
      <c r="V158">
        <f t="shared" si="73"/>
        <v>0.6659910545202351</v>
      </c>
      <c r="W158">
        <f t="shared" si="74"/>
        <v>0.56342950659887336</v>
      </c>
      <c r="X158">
        <f t="shared" si="75"/>
        <v>4.8359919766382822</v>
      </c>
      <c r="Y158">
        <f t="shared" si="76"/>
        <v>0.54404909737180673</v>
      </c>
      <c r="Z158">
        <f t="shared" si="77"/>
        <v>2.4179959883191411</v>
      </c>
      <c r="AA158">
        <f t="shared" si="78"/>
        <v>3.8031491695423951</v>
      </c>
      <c r="AB158">
        <f t="shared" si="79"/>
        <v>1E-4</v>
      </c>
      <c r="AC158">
        <f t="shared" si="83"/>
        <v>2.0160278278277679</v>
      </c>
      <c r="AD158">
        <f t="shared" si="84"/>
        <v>2.2092095463102139</v>
      </c>
      <c r="AE158">
        <f t="shared" si="85"/>
        <v>16.353923700840493</v>
      </c>
      <c r="AF158">
        <f t="shared" si="86"/>
        <v>1.8398164163445558</v>
      </c>
      <c r="AG158">
        <f t="shared" si="87"/>
        <v>8.1769618504202466</v>
      </c>
      <c r="AH158">
        <f t="shared" si="88"/>
        <v>14.912164437593944</v>
      </c>
      <c r="AI158">
        <f t="shared" si="89"/>
        <v>0.01</v>
      </c>
    </row>
    <row r="159" spans="5:35" x14ac:dyDescent="0.25">
      <c r="E159">
        <f t="shared" si="80"/>
        <v>98.439156570881423</v>
      </c>
      <c r="F159">
        <f t="shared" si="60"/>
        <v>1.0364151073830743</v>
      </c>
      <c r="G159">
        <f t="shared" si="61"/>
        <v>5.3650574368014538E-3</v>
      </c>
      <c r="H159">
        <f t="shared" si="62"/>
        <v>0.84193978989162865</v>
      </c>
      <c r="I159">
        <f t="shared" si="63"/>
        <v>9.471822636280823E-2</v>
      </c>
      <c r="J159">
        <f t="shared" si="64"/>
        <v>0.42096989494581433</v>
      </c>
      <c r="K159">
        <f t="shared" si="65"/>
        <v>3.6214137698409817E-2</v>
      </c>
      <c r="L159">
        <v>158</v>
      </c>
      <c r="M159">
        <f t="shared" si="81"/>
        <v>0.1</v>
      </c>
      <c r="N159">
        <f t="shared" si="66"/>
        <v>2.9041054660558689</v>
      </c>
      <c r="O159">
        <f t="shared" si="67"/>
        <v>0.11155564029455062</v>
      </c>
      <c r="P159">
        <f t="shared" si="68"/>
        <v>5.6580550311019255</v>
      </c>
      <c r="Q159">
        <f t="shared" si="69"/>
        <v>0.6365311909989666</v>
      </c>
      <c r="R159">
        <f t="shared" si="70"/>
        <v>2.8290275155509628</v>
      </c>
      <c r="S159">
        <f t="shared" si="71"/>
        <v>0.75300057198821668</v>
      </c>
      <c r="T159">
        <f t="shared" si="72"/>
        <v>0.15</v>
      </c>
      <c r="U159">
        <f t="shared" si="82"/>
        <v>2.3846557239780353</v>
      </c>
      <c r="V159">
        <f t="shared" si="73"/>
        <v>0.6616828885828494</v>
      </c>
      <c r="W159">
        <f t="shared" si="74"/>
        <v>0.55181720634013265</v>
      </c>
      <c r="X159">
        <f t="shared" si="75"/>
        <v>4.7754079885758962</v>
      </c>
      <c r="Y159">
        <f t="shared" si="76"/>
        <v>0.53723339871478837</v>
      </c>
      <c r="Z159">
        <f t="shared" si="77"/>
        <v>2.3877039942879481</v>
      </c>
      <c r="AA159">
        <f t="shared" si="78"/>
        <v>3.7247661427958958</v>
      </c>
      <c r="AB159">
        <f t="shared" si="79"/>
        <v>1E-4</v>
      </c>
      <c r="AC159">
        <f t="shared" si="83"/>
        <v>2.0012901739909141</v>
      </c>
      <c r="AD159">
        <f t="shared" si="84"/>
        <v>2.1627373813394395</v>
      </c>
      <c r="AE159">
        <f t="shared" si="85"/>
        <v>16.137566261690065</v>
      </c>
      <c r="AF159">
        <f t="shared" si="86"/>
        <v>1.8154762044401325</v>
      </c>
      <c r="AG159">
        <f t="shared" si="87"/>
        <v>8.0687831308450324</v>
      </c>
      <c r="AH159">
        <f t="shared" si="88"/>
        <v>14.59847732404122</v>
      </c>
      <c r="AI159">
        <f t="shared" si="89"/>
        <v>0.01</v>
      </c>
    </row>
    <row r="160" spans="5:35" x14ac:dyDescent="0.25">
      <c r="E160">
        <f t="shared" si="80"/>
        <v>101.39233126800787</v>
      </c>
      <c r="F160">
        <f t="shared" si="60"/>
        <v>1.0295464282218303</v>
      </c>
      <c r="G160">
        <f t="shared" si="61"/>
        <v>5.0570541530899609E-3</v>
      </c>
      <c r="H160">
        <f t="shared" si="62"/>
        <v>0.81718533375124369</v>
      </c>
      <c r="I160">
        <f t="shared" si="63"/>
        <v>9.1933350047014931E-2</v>
      </c>
      <c r="J160">
        <f t="shared" si="64"/>
        <v>0.40859266687562185</v>
      </c>
      <c r="K160">
        <f t="shared" si="65"/>
        <v>3.4135115533357234E-2</v>
      </c>
      <c r="L160">
        <v>159</v>
      </c>
      <c r="M160">
        <f t="shared" si="81"/>
        <v>0.1</v>
      </c>
      <c r="N160">
        <f t="shared" si="66"/>
        <v>2.878860208533319</v>
      </c>
      <c r="O160">
        <f t="shared" si="67"/>
        <v>0.10514627909496885</v>
      </c>
      <c r="P160">
        <f t="shared" si="68"/>
        <v>5.4882325994401988</v>
      </c>
      <c r="Q160">
        <f t="shared" si="69"/>
        <v>0.61742616743702239</v>
      </c>
      <c r="R160">
        <f t="shared" si="70"/>
        <v>2.7441162997200994</v>
      </c>
      <c r="S160">
        <f t="shared" si="71"/>
        <v>0.70973738389103969</v>
      </c>
      <c r="T160">
        <f t="shared" si="72"/>
        <v>0.15</v>
      </c>
      <c r="U160">
        <f t="shared" si="82"/>
        <v>2.4085022812178156</v>
      </c>
      <c r="V160">
        <f t="shared" si="73"/>
        <v>0.65742926079944553</v>
      </c>
      <c r="W160">
        <f t="shared" si="74"/>
        <v>0.54045453147374323</v>
      </c>
      <c r="X160">
        <f t="shared" si="75"/>
        <v>4.7157397130576646</v>
      </c>
      <c r="Y160">
        <f t="shared" si="76"/>
        <v>0.53052071771898723</v>
      </c>
      <c r="Z160">
        <f t="shared" si="77"/>
        <v>2.3578698565288323</v>
      </c>
      <c r="AA160">
        <f t="shared" si="78"/>
        <v>3.6480680874477671</v>
      </c>
      <c r="AB160">
        <f t="shared" si="79"/>
        <v>1E-4</v>
      </c>
      <c r="AC160">
        <f t="shared" si="83"/>
        <v>1.9867635584768182</v>
      </c>
      <c r="AD160">
        <f t="shared" si="84"/>
        <v>2.1173032933707456</v>
      </c>
      <c r="AE160">
        <f t="shared" si="85"/>
        <v>15.924779470339708</v>
      </c>
      <c r="AF160">
        <f t="shared" si="86"/>
        <v>1.7915376904132168</v>
      </c>
      <c r="AG160">
        <f t="shared" si="87"/>
        <v>7.9623897351698538</v>
      </c>
      <c r="AH160">
        <f t="shared" si="88"/>
        <v>14.291797230252534</v>
      </c>
      <c r="AI160">
        <f t="shared" si="89"/>
        <v>0.01</v>
      </c>
    </row>
    <row r="161" spans="5:35" x14ac:dyDescent="0.25">
      <c r="E161">
        <f t="shared" si="80"/>
        <v>104.4341012060481</v>
      </c>
      <c r="F161">
        <f t="shared" si="60"/>
        <v>1.0227642099500149</v>
      </c>
      <c r="G161">
        <f t="shared" si="61"/>
        <v>4.7667345333238815E-3</v>
      </c>
      <c r="H161">
        <f t="shared" si="62"/>
        <v>0.79316531760342379</v>
      </c>
      <c r="I161">
        <f t="shared" si="63"/>
        <v>8.9231098230385178E-2</v>
      </c>
      <c r="J161">
        <f t="shared" si="64"/>
        <v>0.3965826588017119</v>
      </c>
      <c r="K161">
        <f t="shared" si="65"/>
        <v>3.2175458099936202E-2</v>
      </c>
      <c r="L161">
        <v>160</v>
      </c>
      <c r="M161">
        <f t="shared" si="81"/>
        <v>0.1</v>
      </c>
      <c r="N161">
        <f t="shared" si="66"/>
        <v>2.8540355352406377</v>
      </c>
      <c r="O161">
        <f t="shared" si="67"/>
        <v>9.910546767377057E-2</v>
      </c>
      <c r="P161">
        <f t="shared" si="68"/>
        <v>5.3236534220682978</v>
      </c>
      <c r="Q161">
        <f t="shared" si="69"/>
        <v>0.59891100998268343</v>
      </c>
      <c r="R161">
        <f t="shared" si="70"/>
        <v>2.6618267110341489</v>
      </c>
      <c r="S161">
        <f t="shared" si="71"/>
        <v>0.66896190679795131</v>
      </c>
      <c r="T161">
        <f t="shared" si="72"/>
        <v>0.15</v>
      </c>
      <c r="U161">
        <f t="shared" si="82"/>
        <v>2.4325873040299939</v>
      </c>
      <c r="V161">
        <f t="shared" si="73"/>
        <v>0.65322914214825267</v>
      </c>
      <c r="W161">
        <f t="shared" si="74"/>
        <v>0.52933569682522275</v>
      </c>
      <c r="X161">
        <f t="shared" si="75"/>
        <v>4.6569694322385544</v>
      </c>
      <c r="Y161">
        <f t="shared" si="76"/>
        <v>0.52390906112683744</v>
      </c>
      <c r="Z161">
        <f t="shared" si="77"/>
        <v>2.3284847161192772</v>
      </c>
      <c r="AA161">
        <f t="shared" si="78"/>
        <v>3.5730159535702537</v>
      </c>
      <c r="AB161">
        <f t="shared" si="79"/>
        <v>1E-4</v>
      </c>
      <c r="AC161">
        <f t="shared" si="83"/>
        <v>1.9724434807934796</v>
      </c>
      <c r="AD161">
        <f t="shared" si="84"/>
        <v>2.072881583787161</v>
      </c>
      <c r="AE161">
        <f t="shared" si="85"/>
        <v>15.715485934376327</v>
      </c>
      <c r="AF161">
        <f t="shared" si="86"/>
        <v>1.7679921676173365</v>
      </c>
      <c r="AG161">
        <f t="shared" si="87"/>
        <v>7.8577429671881633</v>
      </c>
      <c r="AH161">
        <f t="shared" si="88"/>
        <v>13.991950690563337</v>
      </c>
      <c r="AI161">
        <f t="shared" si="89"/>
        <v>0.01</v>
      </c>
    </row>
    <row r="162" spans="5:35" x14ac:dyDescent="0.25">
      <c r="E162">
        <f t="shared" si="80"/>
        <v>107.56712424222954</v>
      </c>
      <c r="F162">
        <f t="shared" si="60"/>
        <v>1.016066831425269</v>
      </c>
      <c r="G162">
        <f t="shared" si="61"/>
        <v>4.4930831265478297E-3</v>
      </c>
      <c r="H162">
        <f t="shared" si="62"/>
        <v>0.76985756822250939</v>
      </c>
      <c r="I162">
        <f t="shared" si="63"/>
        <v>8.6608976425032319E-2</v>
      </c>
      <c r="J162">
        <f t="shared" si="64"/>
        <v>0.3849287841112547</v>
      </c>
      <c r="K162">
        <f t="shared" si="65"/>
        <v>3.0328311104197852E-2</v>
      </c>
      <c r="L162">
        <v>161</v>
      </c>
      <c r="M162">
        <f t="shared" si="81"/>
        <v>0.1</v>
      </c>
      <c r="N162">
        <f t="shared" si="66"/>
        <v>2.8296210268806159</v>
      </c>
      <c r="O162">
        <f t="shared" si="67"/>
        <v>9.3411979849666607E-2</v>
      </c>
      <c r="P162">
        <f t="shared" si="68"/>
        <v>5.1641469908753646</v>
      </c>
      <c r="Q162">
        <f t="shared" si="69"/>
        <v>0.58096653647347851</v>
      </c>
      <c r="R162">
        <f t="shared" si="70"/>
        <v>2.5820734954376823</v>
      </c>
      <c r="S162">
        <f t="shared" si="71"/>
        <v>0.6305308639852496</v>
      </c>
      <c r="T162">
        <f t="shared" si="72"/>
        <v>0.15</v>
      </c>
      <c r="U162">
        <f t="shared" si="82"/>
        <v>2.4569131770702937</v>
      </c>
      <c r="V162">
        <f t="shared" si="73"/>
        <v>0.64908152933303209</v>
      </c>
      <c r="W162">
        <f t="shared" si="74"/>
        <v>0.5184550683533965</v>
      </c>
      <c r="X162">
        <f t="shared" si="75"/>
        <v>4.5990798699991142</v>
      </c>
      <c r="Y162">
        <f t="shared" si="76"/>
        <v>0.51739648537490035</v>
      </c>
      <c r="Z162">
        <f t="shared" si="77"/>
        <v>2.2995399349995571</v>
      </c>
      <c r="AA162">
        <f t="shared" si="78"/>
        <v>3.499571711385427</v>
      </c>
      <c r="AB162">
        <f t="shared" si="79"/>
        <v>1E-4</v>
      </c>
      <c r="AC162">
        <f t="shared" si="83"/>
        <v>1.9583255675124658</v>
      </c>
      <c r="AD162">
        <f t="shared" si="84"/>
        <v>2.0294472944551427</v>
      </c>
      <c r="AE162">
        <f t="shared" si="85"/>
        <v>15.509610441473953</v>
      </c>
      <c r="AF162">
        <f t="shared" si="86"/>
        <v>1.7448311746658196</v>
      </c>
      <c r="AG162">
        <f t="shared" si="87"/>
        <v>7.7548052207369764</v>
      </c>
      <c r="AH162">
        <f t="shared" si="88"/>
        <v>13.698769237572211</v>
      </c>
      <c r="AI162">
        <f t="shared" si="89"/>
        <v>0.01</v>
      </c>
    </row>
    <row r="163" spans="5:35" x14ac:dyDescent="0.25">
      <c r="E163">
        <f t="shared" si="80"/>
        <v>110.79413796949643</v>
      </c>
      <c r="F163">
        <f t="shared" si="60"/>
        <v>1.0094527117820484</v>
      </c>
      <c r="G163">
        <f t="shared" si="61"/>
        <v>4.2351428103541084E-3</v>
      </c>
      <c r="H163">
        <f t="shared" si="62"/>
        <v>0.7472406039801005</v>
      </c>
      <c r="I163">
        <f t="shared" si="63"/>
        <v>8.4064567947761293E-2</v>
      </c>
      <c r="J163">
        <f t="shared" si="64"/>
        <v>0.37362030199005025</v>
      </c>
      <c r="K163">
        <f t="shared" si="65"/>
        <v>2.8587213969890227E-2</v>
      </c>
      <c r="L163">
        <v>162</v>
      </c>
      <c r="M163">
        <f t="shared" si="81"/>
        <v>0.1</v>
      </c>
      <c r="N163">
        <f t="shared" si="66"/>
        <v>2.8056066054989772</v>
      </c>
      <c r="O163">
        <f t="shared" si="67"/>
        <v>8.8045815721255374E-2</v>
      </c>
      <c r="P163">
        <f t="shared" si="68"/>
        <v>5.0095488509106962</v>
      </c>
      <c r="Q163">
        <f t="shared" si="69"/>
        <v>0.5635742457274534</v>
      </c>
      <c r="R163">
        <f t="shared" si="70"/>
        <v>2.5047744254553481</v>
      </c>
      <c r="S163">
        <f t="shared" si="71"/>
        <v>0.59430925611847385</v>
      </c>
      <c r="T163">
        <f t="shared" si="72"/>
        <v>0.15</v>
      </c>
      <c r="U163">
        <f t="shared" si="82"/>
        <v>2.4814823088409965</v>
      </c>
      <c r="V163">
        <f t="shared" si="73"/>
        <v>0.64498544398416546</v>
      </c>
      <c r="W163">
        <f t="shared" si="74"/>
        <v>0.50780715851547897</v>
      </c>
      <c r="X163">
        <f t="shared" si="75"/>
        <v>4.5420541782501482</v>
      </c>
      <c r="Y163">
        <f t="shared" si="76"/>
        <v>0.51098109505314171</v>
      </c>
      <c r="Z163">
        <f t="shared" si="77"/>
        <v>2.2710270891250741</v>
      </c>
      <c r="AA163">
        <f t="shared" si="78"/>
        <v>3.4276983199794837</v>
      </c>
      <c r="AB163">
        <f t="shared" si="79"/>
        <v>1E-4</v>
      </c>
      <c r="AC163">
        <f t="shared" si="83"/>
        <v>1.9444055678161296</v>
      </c>
      <c r="AD163">
        <f t="shared" si="84"/>
        <v>1.9869761820986527</v>
      </c>
      <c r="AE163">
        <f t="shared" si="85"/>
        <v>15.30707988306356</v>
      </c>
      <c r="AF163">
        <f t="shared" si="86"/>
        <v>1.7220464868446506</v>
      </c>
      <c r="AG163">
        <f t="shared" si="87"/>
        <v>7.65353994153178</v>
      </c>
      <c r="AH163">
        <f t="shared" si="88"/>
        <v>13.412089229165904</v>
      </c>
      <c r="AI163">
        <f t="shared" si="89"/>
        <v>0.01</v>
      </c>
    </row>
    <row r="164" spans="5:35" x14ac:dyDescent="0.25">
      <c r="E164">
        <f t="shared" si="80"/>
        <v>114.11796210858132</v>
      </c>
      <c r="F164">
        <f t="shared" si="60"/>
        <v>1.0029203091885273</v>
      </c>
      <c r="G164">
        <f t="shared" si="61"/>
        <v>3.9920114384016745E-3</v>
      </c>
      <c r="H164">
        <f t="shared" si="62"/>
        <v>0.72529361199635856</v>
      </c>
      <c r="I164">
        <f t="shared" si="63"/>
        <v>8.1595531349590342E-2</v>
      </c>
      <c r="J164">
        <f t="shared" si="64"/>
        <v>0.36264680599817928</v>
      </c>
      <c r="K164">
        <f t="shared" si="65"/>
        <v>2.6946077209211303E-2</v>
      </c>
      <c r="L164">
        <v>163</v>
      </c>
      <c r="M164">
        <f t="shared" si="81"/>
        <v>0.1</v>
      </c>
      <c r="N164">
        <f t="shared" si="66"/>
        <v>2.7819825206196827</v>
      </c>
      <c r="O164">
        <f t="shared" si="67"/>
        <v>8.2988130400372298E-2</v>
      </c>
      <c r="P164">
        <f t="shared" si="68"/>
        <v>4.8597003558464049</v>
      </c>
      <c r="Q164">
        <f t="shared" si="69"/>
        <v>0.54671629003272049</v>
      </c>
      <c r="R164">
        <f t="shared" si="70"/>
        <v>2.4298501779232025</v>
      </c>
      <c r="S164">
        <f t="shared" si="71"/>
        <v>0.56016988020251302</v>
      </c>
      <c r="T164">
        <f t="shared" si="72"/>
        <v>0.15</v>
      </c>
      <c r="U164">
        <f t="shared" si="82"/>
        <v>2.5062971319294065</v>
      </c>
      <c r="V164">
        <f t="shared" si="73"/>
        <v>0.64093993188930576</v>
      </c>
      <c r="W164">
        <f t="shared" si="74"/>
        <v>0.49738662180137783</v>
      </c>
      <c r="X164">
        <f t="shared" si="75"/>
        <v>4.485875923744616</v>
      </c>
      <c r="Y164">
        <f t="shared" si="76"/>
        <v>0.50466104142126922</v>
      </c>
      <c r="Z164">
        <f t="shared" si="77"/>
        <v>2.242937961872308</v>
      </c>
      <c r="AA164">
        <f t="shared" si="78"/>
        <v>3.3573596971593007</v>
      </c>
      <c r="AB164">
        <f t="shared" si="79"/>
        <v>1E-4</v>
      </c>
      <c r="AC164">
        <f t="shared" si="83"/>
        <v>1.9306793492306527</v>
      </c>
      <c r="AD164">
        <f t="shared" si="84"/>
        <v>1.9454446937349603</v>
      </c>
      <c r="AE164">
        <f t="shared" si="85"/>
        <v>15.107823181190472</v>
      </c>
      <c r="AF164">
        <f t="shared" si="86"/>
        <v>1.6996301078839282</v>
      </c>
      <c r="AG164">
        <f t="shared" si="87"/>
        <v>7.5539115905952361</v>
      </c>
      <c r="AH164">
        <f t="shared" si="88"/>
        <v>13.131751682710982</v>
      </c>
      <c r="AI164">
        <f t="shared" si="89"/>
        <v>0.01</v>
      </c>
    </row>
    <row r="165" spans="5:35" x14ac:dyDescent="0.25">
      <c r="E165">
        <f t="shared" si="80"/>
        <v>117.54150097183877</v>
      </c>
      <c r="F165">
        <f t="shared" si="60"/>
        <v>0.9964681196492412</v>
      </c>
      <c r="G165">
        <f t="shared" si="61"/>
        <v>3.7628386808479493E-3</v>
      </c>
      <c r="H165">
        <f t="shared" si="62"/>
        <v>0.70399642611879054</v>
      </c>
      <c r="I165">
        <f t="shared" si="63"/>
        <v>7.9199597938363939E-2</v>
      </c>
      <c r="J165">
        <f t="shared" si="64"/>
        <v>0.35199821305939527</v>
      </c>
      <c r="K165">
        <f t="shared" si="65"/>
        <v>2.5399161095723662E-2</v>
      </c>
      <c r="L165">
        <v>164</v>
      </c>
      <c r="M165">
        <f t="shared" si="81"/>
        <v>0.1</v>
      </c>
      <c r="N165">
        <f t="shared" si="66"/>
        <v>2.7587393360505588</v>
      </c>
      <c r="O165">
        <f t="shared" si="67"/>
        <v>7.8221166934167682E-2</v>
      </c>
      <c r="P165">
        <f t="shared" si="68"/>
        <v>4.714448435006668</v>
      </c>
      <c r="Q165">
        <f t="shared" si="69"/>
        <v>0.53037544893825017</v>
      </c>
      <c r="R165">
        <f t="shared" si="70"/>
        <v>2.357224217503334</v>
      </c>
      <c r="S165">
        <f t="shared" si="71"/>
        <v>0.52799287680563189</v>
      </c>
      <c r="T165">
        <f t="shared" si="72"/>
        <v>0.15</v>
      </c>
      <c r="U165">
        <f t="shared" si="82"/>
        <v>2.5313601032487005</v>
      </c>
      <c r="V165">
        <f t="shared" si="73"/>
        <v>0.63694406225236533</v>
      </c>
      <c r="W165">
        <f t="shared" si="74"/>
        <v>0.48718825042998026</v>
      </c>
      <c r="X165">
        <f t="shared" si="75"/>
        <v>4.4305290753749365</v>
      </c>
      <c r="Y165">
        <f t="shared" si="76"/>
        <v>0.49843452097968027</v>
      </c>
      <c r="Z165">
        <f t="shared" si="77"/>
        <v>2.2152645376874682</v>
      </c>
      <c r="AA165">
        <f t="shared" si="78"/>
        <v>3.2885206904023665</v>
      </c>
      <c r="AB165">
        <f t="shared" si="79"/>
        <v>1E-4</v>
      </c>
      <c r="AC165">
        <f t="shared" si="83"/>
        <v>1.9171428935361536</v>
      </c>
      <c r="AD165">
        <f t="shared" si="84"/>
        <v>1.9048299431208318</v>
      </c>
      <c r="AE165">
        <f t="shared" si="85"/>
        <v>14.911771218405164</v>
      </c>
      <c r="AF165">
        <f t="shared" si="86"/>
        <v>1.6775742620705811</v>
      </c>
      <c r="AG165">
        <f t="shared" si="87"/>
        <v>7.455885609202582</v>
      </c>
      <c r="AH165">
        <f t="shared" si="88"/>
        <v>12.857602116065616</v>
      </c>
      <c r="AI165">
        <f t="shared" si="89"/>
        <v>0.01</v>
      </c>
    </row>
    <row r="166" spans="5:35" x14ac:dyDescent="0.25">
      <c r="E166">
        <f t="shared" si="80"/>
        <v>121.06774600099394</v>
      </c>
      <c r="F166">
        <f t="shared" si="60"/>
        <v>0.99009467585153499</v>
      </c>
      <c r="G166">
        <f t="shared" si="61"/>
        <v>3.5468230465674133E-3</v>
      </c>
      <c r="H166">
        <f t="shared" si="62"/>
        <v>0.68332950569452755</v>
      </c>
      <c r="I166">
        <f t="shared" si="63"/>
        <v>7.6874569390634348E-2</v>
      </c>
      <c r="J166">
        <f t="shared" si="64"/>
        <v>0.34166475284726378</v>
      </c>
      <c r="K166">
        <f t="shared" si="65"/>
        <v>2.394105556433004E-2</v>
      </c>
      <c r="L166">
        <v>165</v>
      </c>
      <c r="M166">
        <f t="shared" si="81"/>
        <v>0.1</v>
      </c>
      <c r="N166">
        <f t="shared" si="66"/>
        <v>2.7358679173217735</v>
      </c>
      <c r="O166">
        <f t="shared" si="67"/>
        <v>7.3728193164506781E-2</v>
      </c>
      <c r="P166">
        <f t="shared" si="68"/>
        <v>4.5736453713231215</v>
      </c>
      <c r="Q166">
        <f t="shared" si="69"/>
        <v>0.5145351042738513</v>
      </c>
      <c r="R166">
        <f t="shared" si="70"/>
        <v>2.2868226856615608</v>
      </c>
      <c r="S166">
        <f t="shared" si="71"/>
        <v>0.49766530386042074</v>
      </c>
      <c r="T166">
        <f t="shared" si="72"/>
        <v>0.15</v>
      </c>
      <c r="U166">
        <f t="shared" si="82"/>
        <v>2.5566737042811876</v>
      </c>
      <c r="V166">
        <f t="shared" si="73"/>
        <v>0.63299692697959742</v>
      </c>
      <c r="W166">
        <f t="shared" si="74"/>
        <v>0.47720697020053365</v>
      </c>
      <c r="X166">
        <f t="shared" si="75"/>
        <v>4.3759979919350025</v>
      </c>
      <c r="Y166">
        <f t="shared" si="76"/>
        <v>0.49229977409268777</v>
      </c>
      <c r="Z166">
        <f t="shared" si="77"/>
        <v>2.1879989959675012</v>
      </c>
      <c r="AA166">
        <f t="shared" si="78"/>
        <v>3.2211470488536023</v>
      </c>
      <c r="AB166">
        <f t="shared" si="79"/>
        <v>1E-4</v>
      </c>
      <c r="AC166">
        <f t="shared" si="83"/>
        <v>1.9037922928451736</v>
      </c>
      <c r="AD166">
        <f t="shared" si="84"/>
        <v>1.8651096881606044</v>
      </c>
      <c r="AE166">
        <f t="shared" si="85"/>
        <v>14.718856770541667</v>
      </c>
      <c r="AF166">
        <f t="shared" si="86"/>
        <v>1.6558713866859376</v>
      </c>
      <c r="AG166">
        <f t="shared" si="87"/>
        <v>7.3594283852708333</v>
      </c>
      <c r="AH166">
        <f t="shared" si="88"/>
        <v>12.589490395084082</v>
      </c>
      <c r="AI166">
        <f t="shared" si="89"/>
        <v>0.01</v>
      </c>
    </row>
    <row r="167" spans="5:35" x14ac:dyDescent="0.25">
      <c r="E167">
        <f t="shared" si="80"/>
        <v>124.69977838102376</v>
      </c>
      <c r="F167">
        <f t="shared" si="60"/>
        <v>0.98379854605396377</v>
      </c>
      <c r="G167">
        <f t="shared" si="61"/>
        <v>3.3432090766754132E-3</v>
      </c>
      <c r="H167">
        <f t="shared" si="62"/>
        <v>0.66327391510372535</v>
      </c>
      <c r="I167">
        <f t="shared" si="63"/>
        <v>7.4618315449169095E-2</v>
      </c>
      <c r="J167">
        <f t="shared" si="64"/>
        <v>0.33163695755186268</v>
      </c>
      <c r="K167">
        <f t="shared" si="65"/>
        <v>2.2566661267559036E-2</v>
      </c>
      <c r="L167">
        <v>166</v>
      </c>
      <c r="M167">
        <f t="shared" si="81"/>
        <v>0.1</v>
      </c>
      <c r="N167">
        <f t="shared" si="66"/>
        <v>2.7133594197219719</v>
      </c>
      <c r="O167">
        <f t="shared" si="67"/>
        <v>6.9493442288946994E-2</v>
      </c>
      <c r="P167">
        <f t="shared" si="68"/>
        <v>4.4371485896164984</v>
      </c>
      <c r="Q167">
        <f t="shared" si="69"/>
        <v>0.49917921633185602</v>
      </c>
      <c r="R167">
        <f t="shared" si="70"/>
        <v>2.2185742948082492</v>
      </c>
      <c r="S167">
        <f t="shared" si="71"/>
        <v>0.46908073545039225</v>
      </c>
      <c r="T167">
        <f t="shared" si="72"/>
        <v>0.15</v>
      </c>
      <c r="U167">
        <f t="shared" si="82"/>
        <v>2.5822404413239997</v>
      </c>
      <c r="V167">
        <f t="shared" si="73"/>
        <v>0.62909763999164137</v>
      </c>
      <c r="W167">
        <f t="shared" si="74"/>
        <v>0.46743783649256909</v>
      </c>
      <c r="X167">
        <f t="shared" si="75"/>
        <v>4.3222674103271759</v>
      </c>
      <c r="Y167">
        <f t="shared" si="76"/>
        <v>0.48625508366180731</v>
      </c>
      <c r="Z167">
        <f t="shared" si="77"/>
        <v>2.1611337051635879</v>
      </c>
      <c r="AA167">
        <f t="shared" si="78"/>
        <v>3.1552053963248419</v>
      </c>
      <c r="AB167">
        <f t="shared" si="79"/>
        <v>1E-4</v>
      </c>
      <c r="AC167">
        <f t="shared" si="83"/>
        <v>1.8906237458416169</v>
      </c>
      <c r="AD167">
        <f t="shared" si="84"/>
        <v>1.8262623092302641</v>
      </c>
      <c r="AE167">
        <f t="shared" si="85"/>
        <v>14.52901444224576</v>
      </c>
      <c r="AF167">
        <f t="shared" si="86"/>
        <v>1.6345141247526478</v>
      </c>
      <c r="AG167">
        <f t="shared" si="87"/>
        <v>7.2645072211228801</v>
      </c>
      <c r="AH167">
        <f t="shared" si="88"/>
        <v>12.327270587304284</v>
      </c>
      <c r="AI167">
        <f t="shared" si="89"/>
        <v>0.01</v>
      </c>
    </row>
    <row r="168" spans="5:35" x14ac:dyDescent="0.25">
      <c r="E168">
        <f t="shared" si="80"/>
        <v>128.44077173245446</v>
      </c>
      <c r="F168">
        <f t="shared" si="60"/>
        <v>0.97757833301487329</v>
      </c>
      <c r="G168">
        <f t="shared" si="61"/>
        <v>3.151284699482487E-3</v>
      </c>
      <c r="H168">
        <f t="shared" si="62"/>
        <v>0.64381130402323417</v>
      </c>
      <c r="I168">
        <f t="shared" si="63"/>
        <v>7.2428771702613845E-2</v>
      </c>
      <c r="J168">
        <f t="shared" si="64"/>
        <v>0.32190565201161708</v>
      </c>
      <c r="K168">
        <f t="shared" si="65"/>
        <v>2.1271171721506787E-2</v>
      </c>
      <c r="L168">
        <v>167</v>
      </c>
      <c r="M168">
        <f t="shared" si="81"/>
        <v>0.1</v>
      </c>
      <c r="N168">
        <f t="shared" si="66"/>
        <v>2.691205276899252</v>
      </c>
      <c r="O168">
        <f t="shared" si="67"/>
        <v>6.5502056902173478E-2</v>
      </c>
      <c r="P168">
        <f t="shared" si="68"/>
        <v>4.3048204546424147</v>
      </c>
      <c r="Q168">
        <f t="shared" si="69"/>
        <v>0.48429230114727162</v>
      </c>
      <c r="R168">
        <f t="shared" si="70"/>
        <v>2.1524102273212073</v>
      </c>
      <c r="S168">
        <f t="shared" si="71"/>
        <v>0.44213888408967106</v>
      </c>
      <c r="T168">
        <f t="shared" si="72"/>
        <v>0.15</v>
      </c>
      <c r="U168">
        <f t="shared" si="82"/>
        <v>2.6080628457372397</v>
      </c>
      <c r="V168">
        <f t="shared" si="73"/>
        <v>0.62524533656045234</v>
      </c>
      <c r="W168">
        <f t="shared" si="74"/>
        <v>0.45787603040813074</v>
      </c>
      <c r="X168">
        <f t="shared" si="75"/>
        <v>4.2693224341954972</v>
      </c>
      <c r="Y168">
        <f t="shared" si="76"/>
        <v>0.48029877384699343</v>
      </c>
      <c r="Z168">
        <f t="shared" si="77"/>
        <v>2.1346612170977486</v>
      </c>
      <c r="AA168">
        <f t="shared" si="78"/>
        <v>3.0906632052548826</v>
      </c>
      <c r="AB168">
        <f t="shared" si="79"/>
        <v>1E-4</v>
      </c>
      <c r="AC168">
        <f t="shared" si="83"/>
        <v>1.8776335541724904</v>
      </c>
      <c r="AD168">
        <f t="shared" si="84"/>
        <v>1.7882667883741759</v>
      </c>
      <c r="AE168">
        <f t="shared" si="85"/>
        <v>14.342180605122634</v>
      </c>
      <c r="AF168">
        <f t="shared" si="86"/>
        <v>1.6134953180762961</v>
      </c>
      <c r="AG168">
        <f t="shared" si="87"/>
        <v>7.1710903025613169</v>
      </c>
      <c r="AH168">
        <f t="shared" si="88"/>
        <v>12.070800821525687</v>
      </c>
      <c r="AI168">
        <f t="shared" si="89"/>
        <v>0.01</v>
      </c>
    </row>
    <row r="169" spans="5:35" x14ac:dyDescent="0.25">
      <c r="E169">
        <f t="shared" si="80"/>
        <v>132.29399488442812</v>
      </c>
      <c r="F169">
        <f t="shared" si="60"/>
        <v>0.97143267295947544</v>
      </c>
      <c r="G169">
        <f t="shared" si="61"/>
        <v>2.9703787375758833E-3</v>
      </c>
      <c r="H169">
        <f t="shared" si="62"/>
        <v>0.62492388839111845</v>
      </c>
      <c r="I169">
        <f t="shared" si="63"/>
        <v>7.0303937444000833E-2</v>
      </c>
      <c r="J169">
        <f t="shared" si="64"/>
        <v>0.31246194419555923</v>
      </c>
      <c r="K169">
        <f t="shared" si="65"/>
        <v>2.0050056478637213E-2</v>
      </c>
      <c r="L169">
        <v>168</v>
      </c>
      <c r="M169">
        <f t="shared" si="81"/>
        <v>0.1</v>
      </c>
      <c r="N169">
        <f t="shared" si="66"/>
        <v>2.66939718999605</v>
      </c>
      <c r="O169">
        <f t="shared" si="67"/>
        <v>6.1740036310436813E-2</v>
      </c>
      <c r="P169">
        <f t="shared" si="68"/>
        <v>4.1765280783743215</v>
      </c>
      <c r="Q169">
        <f t="shared" si="69"/>
        <v>0.46985940881711119</v>
      </c>
      <c r="R169">
        <f t="shared" si="70"/>
        <v>2.0882640391871607</v>
      </c>
      <c r="S169">
        <f t="shared" si="71"/>
        <v>0.41674524509544847</v>
      </c>
      <c r="T169">
        <f t="shared" si="72"/>
        <v>0.15</v>
      </c>
      <c r="U169">
        <f t="shared" si="82"/>
        <v>2.6341434741946119</v>
      </c>
      <c r="V169">
        <f t="shared" si="73"/>
        <v>0.62143917267004378</v>
      </c>
      <c r="W169">
        <f t="shared" si="74"/>
        <v>0.4485168550503727</v>
      </c>
      <c r="X169">
        <f t="shared" si="75"/>
        <v>4.2171485229672481</v>
      </c>
      <c r="Y169">
        <f t="shared" si="76"/>
        <v>0.47442920883381545</v>
      </c>
      <c r="Z169">
        <f t="shared" si="77"/>
        <v>2.108574261483624</v>
      </c>
      <c r="AA169">
        <f t="shared" si="78"/>
        <v>3.0274887715900158</v>
      </c>
      <c r="AB169">
        <f t="shared" si="79"/>
        <v>1E-4</v>
      </c>
      <c r="AC169">
        <f t="shared" si="83"/>
        <v>1.8648181189852542</v>
      </c>
      <c r="AD169">
        <f t="shared" si="84"/>
        <v>1.7511026893333999</v>
      </c>
      <c r="AE169">
        <f t="shared" si="85"/>
        <v>14.158293338380625</v>
      </c>
      <c r="AF169">
        <f t="shared" si="86"/>
        <v>1.5928080005678205</v>
      </c>
      <c r="AG169">
        <f t="shared" si="87"/>
        <v>7.0791466691903127</v>
      </c>
      <c r="AH169">
        <f t="shared" si="88"/>
        <v>11.81994315300045</v>
      </c>
      <c r="AI169">
        <f t="shared" si="89"/>
        <v>0.01</v>
      </c>
    </row>
    <row r="170" spans="5:35" x14ac:dyDescent="0.25">
      <c r="E170">
        <f t="shared" si="80"/>
        <v>136.26281473096097</v>
      </c>
      <c r="F170">
        <f t="shared" si="60"/>
        <v>0.96536023458380038</v>
      </c>
      <c r="G170">
        <f t="shared" si="61"/>
        <v>2.7998585582631424E-3</v>
      </c>
      <c r="H170">
        <f t="shared" si="62"/>
        <v>0.60659443204398322</v>
      </c>
      <c r="I170">
        <f t="shared" si="63"/>
        <v>6.8241873604948114E-2</v>
      </c>
      <c r="J170">
        <f t="shared" si="64"/>
        <v>0.30329721602199161</v>
      </c>
      <c r="K170">
        <f t="shared" si="65"/>
        <v>1.889904526827621E-2</v>
      </c>
      <c r="L170">
        <v>169</v>
      </c>
      <c r="M170">
        <f t="shared" si="81"/>
        <v>0.1</v>
      </c>
      <c r="N170">
        <f t="shared" si="66"/>
        <v>2.6479271172889609</v>
      </c>
      <c r="O170">
        <f t="shared" si="67"/>
        <v>5.8194186924305613E-2</v>
      </c>
      <c r="P170">
        <f t="shared" si="68"/>
        <v>4.0521431360292413</v>
      </c>
      <c r="Q170">
        <f t="shared" si="69"/>
        <v>0.45586610280328965</v>
      </c>
      <c r="R170">
        <f t="shared" si="70"/>
        <v>2.0260715680146206</v>
      </c>
      <c r="S170">
        <f t="shared" si="71"/>
        <v>0.39281076173906282</v>
      </c>
      <c r="T170">
        <f t="shared" si="72"/>
        <v>0.15</v>
      </c>
      <c r="U170">
        <f t="shared" si="82"/>
        <v>2.6604849089365579</v>
      </c>
      <c r="V170">
        <f t="shared" si="73"/>
        <v>0.61767832440003245</v>
      </c>
      <c r="W170">
        <f t="shared" si="74"/>
        <v>0.43935573193287109</v>
      </c>
      <c r="X170">
        <f t="shared" si="75"/>
        <v>4.1657314812858441</v>
      </c>
      <c r="Y170">
        <f t="shared" si="76"/>
        <v>0.4686447916446575</v>
      </c>
      <c r="Z170">
        <f t="shared" si="77"/>
        <v>2.0828657406429221</v>
      </c>
      <c r="AA170">
        <f t="shared" si="78"/>
        <v>2.9656511905468799</v>
      </c>
      <c r="AB170">
        <f t="shared" si="79"/>
        <v>1E-4</v>
      </c>
      <c r="AC170">
        <f t="shared" si="83"/>
        <v>1.8521739376039379</v>
      </c>
      <c r="AD170">
        <f t="shared" si="84"/>
        <v>1.714750138366776</v>
      </c>
      <c r="AE170">
        <f t="shared" si="85"/>
        <v>13.97729237185437</v>
      </c>
      <c r="AF170">
        <f t="shared" si="86"/>
        <v>1.5724453918336168</v>
      </c>
      <c r="AG170">
        <f t="shared" si="87"/>
        <v>6.9886461859271849</v>
      </c>
      <c r="AH170">
        <f t="shared" si="88"/>
        <v>11.57456343397574</v>
      </c>
      <c r="AI170">
        <f t="shared" si="89"/>
        <v>0.01</v>
      </c>
    </row>
    <row r="171" spans="5:35" x14ac:dyDescent="0.25">
      <c r="E171">
        <f t="shared" si="80"/>
        <v>140.35069917288979</v>
      </c>
      <c r="F171">
        <f t="shared" si="60"/>
        <v>0.95935971809403142</v>
      </c>
      <c r="G171">
        <f t="shared" si="61"/>
        <v>2.639127859119344E-3</v>
      </c>
      <c r="H171">
        <f t="shared" si="62"/>
        <v>0.58880622900033963</v>
      </c>
      <c r="I171">
        <f t="shared" si="63"/>
        <v>6.6240700762538199E-2</v>
      </c>
      <c r="J171">
        <f t="shared" si="64"/>
        <v>0.29440311450016982</v>
      </c>
      <c r="K171">
        <f t="shared" si="65"/>
        <v>1.7814113049055572E-2</v>
      </c>
      <c r="L171">
        <v>170</v>
      </c>
      <c r="M171">
        <f t="shared" si="81"/>
        <v>0.1</v>
      </c>
      <c r="N171">
        <f t="shared" si="66"/>
        <v>2.6267872643064147</v>
      </c>
      <c r="O171">
        <f t="shared" si="67"/>
        <v>5.485207554698586E-2</v>
      </c>
      <c r="P171">
        <f t="shared" si="68"/>
        <v>3.9315416903722973</v>
      </c>
      <c r="Q171">
        <f t="shared" si="69"/>
        <v>0.44229844016688341</v>
      </c>
      <c r="R171">
        <f t="shared" si="70"/>
        <v>1.9657708451861486</v>
      </c>
      <c r="S171">
        <f t="shared" si="71"/>
        <v>0.37025150994215456</v>
      </c>
      <c r="T171">
        <f t="shared" si="72"/>
        <v>0.15</v>
      </c>
      <c r="U171">
        <f t="shared" si="82"/>
        <v>2.6870897580259236</v>
      </c>
      <c r="V171">
        <f t="shared" si="73"/>
        <v>0.61396198733111873</v>
      </c>
      <c r="W171">
        <f t="shared" si="74"/>
        <v>0.4303881975142646</v>
      </c>
      <c r="X171">
        <f t="shared" si="75"/>
        <v>4.1150574488188525</v>
      </c>
      <c r="Y171">
        <f t="shared" si="76"/>
        <v>0.46294396299212093</v>
      </c>
      <c r="Z171">
        <f t="shared" si="77"/>
        <v>2.0575287244094262</v>
      </c>
      <c r="AA171">
        <f t="shared" si="78"/>
        <v>2.9051203332212858</v>
      </c>
      <c r="AB171">
        <f t="shared" si="79"/>
        <v>1E-4</v>
      </c>
      <c r="AC171">
        <f t="shared" si="83"/>
        <v>1.8396976003377521</v>
      </c>
      <c r="AD171">
        <f t="shared" si="84"/>
        <v>1.6791898058279793</v>
      </c>
      <c r="AE171">
        <f t="shared" si="85"/>
        <v>13.799119031296724</v>
      </c>
      <c r="AF171">
        <f t="shared" si="86"/>
        <v>1.5524008910208815</v>
      </c>
      <c r="AG171">
        <f t="shared" si="87"/>
        <v>6.8995595156483622</v>
      </c>
      <c r="AH171">
        <f t="shared" si="88"/>
        <v>11.334531189338859</v>
      </c>
      <c r="AI171">
        <f t="shared" si="89"/>
        <v>0.01</v>
      </c>
    </row>
    <row r="172" spans="5:35" x14ac:dyDescent="0.25">
      <c r="E172">
        <f t="shared" si="80"/>
        <v>144.5612201480765</v>
      </c>
      <c r="F172">
        <f t="shared" si="60"/>
        <v>0.95342985427972837</v>
      </c>
      <c r="G172">
        <f t="shared" si="61"/>
        <v>2.4876245808569033E-3</v>
      </c>
      <c r="H172">
        <f t="shared" si="62"/>
        <v>0.57154308636447693</v>
      </c>
      <c r="I172">
        <f t="shared" si="63"/>
        <v>6.4298597216003658E-2</v>
      </c>
      <c r="J172">
        <f t="shared" si="64"/>
        <v>0.28577154318223846</v>
      </c>
      <c r="K172">
        <f t="shared" si="65"/>
        <v>1.6791465920784097E-2</v>
      </c>
      <c r="L172">
        <v>171</v>
      </c>
      <c r="M172">
        <f t="shared" si="81"/>
        <v>0.1</v>
      </c>
      <c r="N172">
        <f t="shared" si="66"/>
        <v>2.6059700743986043</v>
      </c>
      <c r="O172">
        <f t="shared" si="67"/>
        <v>5.1701985386627014E-2</v>
      </c>
      <c r="P172">
        <f t="shared" si="68"/>
        <v>3.8146040238643519</v>
      </c>
      <c r="Q172">
        <f t="shared" si="69"/>
        <v>0.42914295268473956</v>
      </c>
      <c r="R172">
        <f t="shared" si="70"/>
        <v>1.907302011932176</v>
      </c>
      <c r="S172">
        <f t="shared" si="71"/>
        <v>0.34898840135973236</v>
      </c>
      <c r="T172">
        <f t="shared" si="72"/>
        <v>0.15</v>
      </c>
      <c r="U172">
        <f t="shared" si="82"/>
        <v>2.7139606556061828</v>
      </c>
      <c r="V172">
        <f t="shared" si="73"/>
        <v>0.61028937597151334</v>
      </c>
      <c r="W172">
        <f t="shared" si="74"/>
        <v>0.4216098998530905</v>
      </c>
      <c r="X172">
        <f t="shared" si="75"/>
        <v>4.0651128904256879</v>
      </c>
      <c r="Y172">
        <f t="shared" si="76"/>
        <v>0.4573252001728898</v>
      </c>
      <c r="Z172">
        <f t="shared" si="77"/>
        <v>2.032556445212844</v>
      </c>
      <c r="AA172">
        <f t="shared" si="78"/>
        <v>2.8458668240083611</v>
      </c>
      <c r="AB172">
        <f t="shared" si="79"/>
        <v>1E-4</v>
      </c>
      <c r="AC172">
        <f t="shared" si="83"/>
        <v>1.8273857874157529</v>
      </c>
      <c r="AD172">
        <f t="shared" si="84"/>
        <v>1.6444028884637227</v>
      </c>
      <c r="AE172">
        <f t="shared" si="85"/>
        <v>13.623716185834846</v>
      </c>
      <c r="AF172">
        <f t="shared" si="86"/>
        <v>1.5326680709064204</v>
      </c>
      <c r="AG172">
        <f t="shared" si="87"/>
        <v>6.8118580929174231</v>
      </c>
      <c r="AH172">
        <f t="shared" si="88"/>
        <v>11.099719497130128</v>
      </c>
      <c r="AI172">
        <f t="shared" si="89"/>
        <v>0.01</v>
      </c>
    </row>
    <row r="173" spans="5:35" x14ac:dyDescent="0.25">
      <c r="E173">
        <f t="shared" si="80"/>
        <v>148.89805675251881</v>
      </c>
      <c r="F173">
        <f t="shared" si="60"/>
        <v>0.94756940361958075</v>
      </c>
      <c r="G173">
        <f t="shared" si="61"/>
        <v>2.3448189401863544E-3</v>
      </c>
      <c r="H173">
        <f t="shared" si="62"/>
        <v>0.55478930782646185</v>
      </c>
      <c r="I173">
        <f t="shared" si="63"/>
        <v>6.2413797130476949E-2</v>
      </c>
      <c r="J173">
        <f t="shared" si="64"/>
        <v>0.27739465391323093</v>
      </c>
      <c r="K173">
        <f t="shared" si="65"/>
        <v>1.5827527846257891E-2</v>
      </c>
      <c r="L173">
        <v>172</v>
      </c>
      <c r="M173">
        <f t="shared" si="81"/>
        <v>0.1</v>
      </c>
      <c r="N173">
        <f t="shared" si="66"/>
        <v>2.585468219735735</v>
      </c>
      <c r="O173">
        <f t="shared" si="67"/>
        <v>4.8732874631485706E-2</v>
      </c>
      <c r="P173">
        <f t="shared" si="68"/>
        <v>3.7012144782434007</v>
      </c>
      <c r="Q173">
        <f t="shared" si="69"/>
        <v>0.41638662880238253</v>
      </c>
      <c r="R173">
        <f t="shared" si="70"/>
        <v>1.8506072391217003</v>
      </c>
      <c r="S173">
        <f t="shared" si="71"/>
        <v>0.32894690376252855</v>
      </c>
      <c r="T173">
        <f t="shared" si="72"/>
        <v>0.15</v>
      </c>
      <c r="U173">
        <f t="shared" si="82"/>
        <v>2.7411002621622447</v>
      </c>
      <c r="V173">
        <f t="shared" si="73"/>
        <v>0.6066597232035007</v>
      </c>
      <c r="W173">
        <f t="shared" si="74"/>
        <v>0.41301659537792418</v>
      </c>
      <c r="X173">
        <f t="shared" si="75"/>
        <v>4.0158845866702428</v>
      </c>
      <c r="Y173">
        <f t="shared" si="76"/>
        <v>0.45178701600040239</v>
      </c>
      <c r="Z173">
        <f t="shared" si="77"/>
        <v>2.0079422933351214</v>
      </c>
      <c r="AA173">
        <f t="shared" si="78"/>
        <v>2.7878620188009884</v>
      </c>
      <c r="AB173">
        <f t="shared" si="79"/>
        <v>1E-4</v>
      </c>
      <c r="AC173">
        <f t="shared" si="83"/>
        <v>1.8152352660420914</v>
      </c>
      <c r="AD173">
        <f t="shared" si="84"/>
        <v>1.6103710924000934</v>
      </c>
      <c r="AE173">
        <f t="shared" si="85"/>
        <v>13.45102819749113</v>
      </c>
      <c r="AF173">
        <f t="shared" si="86"/>
        <v>1.513240672217752</v>
      </c>
      <c r="AG173">
        <f t="shared" si="87"/>
        <v>6.7255140987455651</v>
      </c>
      <c r="AH173">
        <f t="shared" si="88"/>
        <v>10.87000487370063</v>
      </c>
      <c r="AI173">
        <f t="shared" si="89"/>
        <v>0.01</v>
      </c>
    </row>
    <row r="174" spans="5:35" x14ac:dyDescent="0.25">
      <c r="E174">
        <f t="shared" si="80"/>
        <v>153.36499845509439</v>
      </c>
      <c r="F174">
        <f t="shared" si="60"/>
        <v>0.94177715541835438</v>
      </c>
      <c r="G174">
        <f t="shared" si="61"/>
        <v>2.2102115757599143E-3</v>
      </c>
      <c r="H174">
        <f t="shared" si="62"/>
        <v>0.5385296777349835</v>
      </c>
      <c r="I174">
        <f t="shared" si="63"/>
        <v>6.0584588745185644E-2</v>
      </c>
      <c r="J174">
        <f t="shared" si="64"/>
        <v>0.26926483886749175</v>
      </c>
      <c r="K174">
        <f t="shared" si="65"/>
        <v>1.4918928136379418E-2</v>
      </c>
      <c r="L174">
        <v>173</v>
      </c>
      <c r="M174">
        <f t="shared" si="81"/>
        <v>0.1</v>
      </c>
      <c r="N174">
        <f t="shared" si="66"/>
        <v>2.5652745927121225</v>
      </c>
      <c r="O174">
        <f t="shared" si="67"/>
        <v>4.5934337436600636E-2</v>
      </c>
      <c r="P174">
        <f t="shared" si="68"/>
        <v>3.5912613011549208</v>
      </c>
      <c r="Q174">
        <f t="shared" si="69"/>
        <v>0.40401689637992866</v>
      </c>
      <c r="R174">
        <f t="shared" si="70"/>
        <v>1.7956306505774604</v>
      </c>
      <c r="S174">
        <f t="shared" si="71"/>
        <v>0.31005677769705431</v>
      </c>
      <c r="T174">
        <f t="shared" si="72"/>
        <v>0.15</v>
      </c>
      <c r="U174">
        <f t="shared" si="82"/>
        <v>2.768511264783867</v>
      </c>
      <c r="V174">
        <f t="shared" si="73"/>
        <v>0.60307227974931754</v>
      </c>
      <c r="W174">
        <f t="shared" si="74"/>
        <v>0.40460414576815956</v>
      </c>
      <c r="X174">
        <f t="shared" si="75"/>
        <v>3.96735962466445</v>
      </c>
      <c r="Y174">
        <f t="shared" si="76"/>
        <v>0.44632795777475059</v>
      </c>
      <c r="Z174">
        <f t="shared" si="77"/>
        <v>1.983679812332225</v>
      </c>
      <c r="AA174">
        <f t="shared" si="78"/>
        <v>2.7310779839350769</v>
      </c>
      <c r="AB174">
        <f t="shared" si="79"/>
        <v>1E-4</v>
      </c>
      <c r="AC174">
        <f t="shared" si="83"/>
        <v>1.8032428875662629</v>
      </c>
      <c r="AD174">
        <f t="shared" si="84"/>
        <v>1.5770766167857353</v>
      </c>
      <c r="AE174">
        <f t="shared" si="85"/>
        <v>13.28100087267495</v>
      </c>
      <c r="AF174">
        <f t="shared" si="86"/>
        <v>1.4941125981759318</v>
      </c>
      <c r="AG174">
        <f t="shared" si="87"/>
        <v>6.6405004363374749</v>
      </c>
      <c r="AH174">
        <f t="shared" si="88"/>
        <v>10.645267163303714</v>
      </c>
      <c r="AI174">
        <f t="shared" si="89"/>
        <v>0.01</v>
      </c>
    </row>
    <row r="175" spans="5:35" x14ac:dyDescent="0.25">
      <c r="E175">
        <f t="shared" si="80"/>
        <v>157.96594840874724</v>
      </c>
      <c r="F175">
        <f t="shared" si="60"/>
        <v>0.93605192697376083</v>
      </c>
      <c r="G175">
        <f t="shared" si="61"/>
        <v>2.083331800688482E-3</v>
      </c>
      <c r="H175">
        <f t="shared" si="62"/>
        <v>0.5227494457208105</v>
      </c>
      <c r="I175">
        <f t="shared" si="63"/>
        <v>5.8809312643591183E-2</v>
      </c>
      <c r="J175">
        <f t="shared" si="64"/>
        <v>0.26137472286040525</v>
      </c>
      <c r="K175">
        <f t="shared" si="65"/>
        <v>1.4062489654647256E-2</v>
      </c>
      <c r="L175">
        <v>174</v>
      </c>
      <c r="M175">
        <f t="shared" si="81"/>
        <v>0.1</v>
      </c>
      <c r="N175">
        <f t="shared" si="66"/>
        <v>2.5453822977348182</v>
      </c>
      <c r="O175">
        <f t="shared" si="67"/>
        <v>4.3296567179794354E-2</v>
      </c>
      <c r="P175">
        <f t="shared" si="68"/>
        <v>3.4846364994693189</v>
      </c>
      <c r="Q175">
        <f t="shared" si="69"/>
        <v>0.39202160619029836</v>
      </c>
      <c r="R175">
        <f t="shared" si="70"/>
        <v>1.7423182497346594</v>
      </c>
      <c r="S175">
        <f t="shared" si="71"/>
        <v>0.29225182846361192</v>
      </c>
      <c r="T175">
        <f t="shared" si="72"/>
        <v>0.15</v>
      </c>
      <c r="U175">
        <f t="shared" si="82"/>
        <v>2.7961963774317056</v>
      </c>
      <c r="V175">
        <f t="shared" si="73"/>
        <v>0.5995263136555391</v>
      </c>
      <c r="W175">
        <f t="shared" si="74"/>
        <v>0.39636851494098074</v>
      </c>
      <c r="X175">
        <f t="shared" si="75"/>
        <v>3.9195253892293374</v>
      </c>
      <c r="Y175">
        <f t="shared" si="76"/>
        <v>0.44094660628830046</v>
      </c>
      <c r="Z175">
        <f t="shared" si="77"/>
        <v>1.9597626946146687</v>
      </c>
      <c r="AA175">
        <f t="shared" si="78"/>
        <v>2.6754874758516203</v>
      </c>
      <c r="AB175">
        <f t="shared" si="79"/>
        <v>1E-4</v>
      </c>
      <c r="AC175">
        <f t="shared" si="83"/>
        <v>1.7914055847629902</v>
      </c>
      <c r="AD175">
        <f t="shared" si="84"/>
        <v>1.5445021380622186</v>
      </c>
      <c r="AE175">
        <f t="shared" si="85"/>
        <v>13.113581415556078</v>
      </c>
      <c r="AF175">
        <f t="shared" si="86"/>
        <v>1.4752779092500587</v>
      </c>
      <c r="AG175">
        <f t="shared" si="87"/>
        <v>6.5567907077780392</v>
      </c>
      <c r="AH175">
        <f t="shared" si="88"/>
        <v>10.425389431919974</v>
      </c>
      <c r="AI175">
        <f t="shared" si="89"/>
        <v>0.01</v>
      </c>
    </row>
    <row r="176" spans="5:35" x14ac:dyDescent="0.25">
      <c r="E176">
        <f t="shared" si="80"/>
        <v>162.70492686100965</v>
      </c>
      <c r="F176">
        <f t="shared" si="60"/>
        <v>0.93039256277206717</v>
      </c>
      <c r="G176">
        <f t="shared" si="61"/>
        <v>1.9637359554983535E-3</v>
      </c>
      <c r="H176">
        <f t="shared" si="62"/>
        <v>0.5074343118496073</v>
      </c>
      <c r="I176">
        <f t="shared" si="63"/>
        <v>5.7086360083080823E-2</v>
      </c>
      <c r="J176">
        <f t="shared" si="64"/>
        <v>0.25371715592480365</v>
      </c>
      <c r="K176">
        <f t="shared" si="65"/>
        <v>1.3255217699613886E-2</v>
      </c>
      <c r="L176">
        <v>175</v>
      </c>
      <c r="M176">
        <f t="shared" si="81"/>
        <v>0.1</v>
      </c>
      <c r="N176">
        <f t="shared" si="66"/>
        <v>2.5257846433769853</v>
      </c>
      <c r="O176">
        <f t="shared" si="67"/>
        <v>4.0810321853400104E-2</v>
      </c>
      <c r="P176">
        <f t="shared" si="68"/>
        <v>3.381235698945964</v>
      </c>
      <c r="Q176">
        <f t="shared" si="69"/>
        <v>0.38038901613142095</v>
      </c>
      <c r="R176">
        <f t="shared" si="70"/>
        <v>1.690617849472982</v>
      </c>
      <c r="S176">
        <f t="shared" si="71"/>
        <v>0.27546967251045074</v>
      </c>
      <c r="T176">
        <f t="shared" si="72"/>
        <v>0.15</v>
      </c>
      <c r="U176">
        <f t="shared" si="82"/>
        <v>2.8241583412060227</v>
      </c>
      <c r="V176">
        <f t="shared" si="73"/>
        <v>0.59602110979525358</v>
      </c>
      <c r="W176">
        <f t="shared" si="74"/>
        <v>0.38830576614028212</v>
      </c>
      <c r="X176">
        <f t="shared" si="75"/>
        <v>3.8723695543608416</v>
      </c>
      <c r="Y176">
        <f t="shared" si="76"/>
        <v>0.43564157486559468</v>
      </c>
      <c r="Z176">
        <f t="shared" si="77"/>
        <v>1.9361847771804208</v>
      </c>
      <c r="AA176">
        <f t="shared" si="78"/>
        <v>2.6210639214469045</v>
      </c>
      <c r="AB176">
        <f t="shared" si="79"/>
        <v>1E-4</v>
      </c>
      <c r="AC176">
        <f t="shared" si="83"/>
        <v>1.7797203692170616</v>
      </c>
      <c r="AD176">
        <f t="shared" si="84"/>
        <v>1.5126307948334401</v>
      </c>
      <c r="AE176">
        <f t="shared" si="85"/>
        <v>12.94871838323505</v>
      </c>
      <c r="AF176">
        <f t="shared" si="86"/>
        <v>1.4567308181139431</v>
      </c>
      <c r="AG176">
        <f t="shared" si="87"/>
        <v>6.4743591916175252</v>
      </c>
      <c r="AH176">
        <f t="shared" si="88"/>
        <v>10.210257865125721</v>
      </c>
      <c r="AI176">
        <f t="shared" si="89"/>
        <v>0.01</v>
      </c>
    </row>
    <row r="177" spans="5:35" x14ac:dyDescent="0.25">
      <c r="E177">
        <f t="shared" si="80"/>
        <v>167.58607466683995</v>
      </c>
      <c r="F177">
        <f t="shared" si="60"/>
        <v>0.92479793371128183</v>
      </c>
      <c r="G177">
        <f t="shared" si="61"/>
        <v>1.8510058557478369E-3</v>
      </c>
      <c r="H177">
        <f t="shared" si="62"/>
        <v>0.49257041228380333</v>
      </c>
      <c r="I177">
        <f t="shared" si="63"/>
        <v>5.5414171381927876E-2</v>
      </c>
      <c r="J177">
        <f t="shared" si="64"/>
        <v>0.24628520614190166</v>
      </c>
      <c r="K177">
        <f t="shared" si="65"/>
        <v>1.24942895262979E-2</v>
      </c>
      <c r="L177">
        <v>176</v>
      </c>
      <c r="M177">
        <f t="shared" si="81"/>
        <v>0.1</v>
      </c>
      <c r="N177">
        <f t="shared" si="66"/>
        <v>2.5064751348771779</v>
      </c>
      <c r="O177">
        <f t="shared" si="67"/>
        <v>3.8466891466153945E-2</v>
      </c>
      <c r="P177">
        <f t="shared" si="68"/>
        <v>3.2809580099232827</v>
      </c>
      <c r="Q177">
        <f t="shared" si="69"/>
        <v>0.3691077761163693</v>
      </c>
      <c r="R177">
        <f t="shared" si="70"/>
        <v>1.6404790049616413</v>
      </c>
      <c r="S177">
        <f t="shared" si="71"/>
        <v>0.25965151739653913</v>
      </c>
      <c r="T177">
        <f t="shared" si="72"/>
        <v>0.15</v>
      </c>
      <c r="U177">
        <f t="shared" si="82"/>
        <v>2.8523999246180831</v>
      </c>
      <c r="V177">
        <f t="shared" si="73"/>
        <v>0.5925559693873157</v>
      </c>
      <c r="W177">
        <f t="shared" si="74"/>
        <v>0.3804120591234878</v>
      </c>
      <c r="X177">
        <f t="shared" si="75"/>
        <v>3.825880074988171</v>
      </c>
      <c r="Y177">
        <f t="shared" si="76"/>
        <v>0.43041150843616927</v>
      </c>
      <c r="Z177">
        <f t="shared" si="77"/>
        <v>1.9129400374940855</v>
      </c>
      <c r="AA177">
        <f t="shared" si="78"/>
        <v>2.5677813990835427</v>
      </c>
      <c r="AB177">
        <f t="shared" si="79"/>
        <v>1E-4</v>
      </c>
      <c r="AC177">
        <f t="shared" si="83"/>
        <v>1.7681843288082821</v>
      </c>
      <c r="AD177">
        <f t="shared" si="84"/>
        <v>1.4814461733073707</v>
      </c>
      <c r="AE177">
        <f t="shared" si="85"/>
        <v>12.786361642630284</v>
      </c>
      <c r="AF177">
        <f t="shared" si="86"/>
        <v>1.438465684795907</v>
      </c>
      <c r="AG177">
        <f t="shared" si="87"/>
        <v>6.3931808213151422</v>
      </c>
      <c r="AH177">
        <f t="shared" si="88"/>
        <v>9.9997616698247516</v>
      </c>
      <c r="AI177">
        <f t="shared" si="89"/>
        <v>0.01</v>
      </c>
    </row>
    <row r="178" spans="5:35" x14ac:dyDescent="0.25">
      <c r="E178">
        <f t="shared" si="80"/>
        <v>172.61365690684516</v>
      </c>
      <c r="F178">
        <f t="shared" si="60"/>
        <v>0.91926693635081169</v>
      </c>
      <c r="G178">
        <f t="shared" si="61"/>
        <v>1.7447473288573162E-3</v>
      </c>
      <c r="H178">
        <f t="shared" si="62"/>
        <v>0.47814430543409342</v>
      </c>
      <c r="I178">
        <f t="shared" si="63"/>
        <v>5.3791234361335517E-2</v>
      </c>
      <c r="J178">
        <f t="shared" si="64"/>
        <v>0.23907215271704671</v>
      </c>
      <c r="K178">
        <f t="shared" si="65"/>
        <v>1.1777044469786885E-2</v>
      </c>
      <c r="L178">
        <v>177</v>
      </c>
      <c r="M178">
        <f t="shared" si="81"/>
        <v>0.1</v>
      </c>
      <c r="N178">
        <f t="shared" si="66"/>
        <v>2.4874474669668913</v>
      </c>
      <c r="O178">
        <f t="shared" si="67"/>
        <v>3.6258067337232407E-2</v>
      </c>
      <c r="P178">
        <f t="shared" si="68"/>
        <v>3.1837058987330105</v>
      </c>
      <c r="Q178">
        <f t="shared" si="69"/>
        <v>0.35816691360746367</v>
      </c>
      <c r="R178">
        <f t="shared" si="70"/>
        <v>1.5918529493665052</v>
      </c>
      <c r="S178">
        <f t="shared" si="71"/>
        <v>0.24474195452631875</v>
      </c>
      <c r="T178">
        <f t="shared" si="72"/>
        <v>0.15</v>
      </c>
      <c r="U178">
        <f t="shared" si="82"/>
        <v>2.8809239238642639</v>
      </c>
      <c r="V178">
        <f t="shared" si="73"/>
        <v>0.58913020953195605</v>
      </c>
      <c r="W178">
        <f t="shared" si="74"/>
        <v>0.37268364744240573</v>
      </c>
      <c r="X178">
        <f t="shared" si="75"/>
        <v>3.7800451790130727</v>
      </c>
      <c r="Y178">
        <f t="shared" si="76"/>
        <v>0.42525508263897077</v>
      </c>
      <c r="Z178">
        <f t="shared" si="77"/>
        <v>1.8900225895065363</v>
      </c>
      <c r="AA178">
        <f t="shared" si="78"/>
        <v>2.5156146202362386</v>
      </c>
      <c r="AB178">
        <f t="shared" si="79"/>
        <v>1E-4</v>
      </c>
      <c r="AC178">
        <f t="shared" si="83"/>
        <v>1.7567946252921347</v>
      </c>
      <c r="AD178">
        <f t="shared" si="84"/>
        <v>1.4509322932847943</v>
      </c>
      <c r="AE178">
        <f t="shared" si="85"/>
        <v>12.626462329005705</v>
      </c>
      <c r="AF178">
        <f t="shared" si="86"/>
        <v>1.4204770120131416</v>
      </c>
      <c r="AG178">
        <f t="shared" si="87"/>
        <v>6.3132311645028523</v>
      </c>
      <c r="AH178">
        <f t="shared" si="88"/>
        <v>9.7937929796723608</v>
      </c>
      <c r="AI178">
        <f t="shared" si="89"/>
        <v>0.01</v>
      </c>
    </row>
    <row r="179" spans="5:35" x14ac:dyDescent="0.25">
      <c r="E179">
        <f t="shared" si="80"/>
        <v>177.79206661405053</v>
      </c>
      <c r="F179">
        <f t="shared" si="60"/>
        <v>0.91379849218657616</v>
      </c>
      <c r="G179">
        <f t="shared" si="61"/>
        <v>1.6445888350203513E-3</v>
      </c>
      <c r="H179">
        <f t="shared" si="62"/>
        <v>0.46414295858199695</v>
      </c>
      <c r="I179">
        <f t="shared" si="63"/>
        <v>5.2216082840474659E-2</v>
      </c>
      <c r="J179">
        <f t="shared" si="64"/>
        <v>0.23207147929099847</v>
      </c>
      <c r="K179">
        <f t="shared" si="65"/>
        <v>1.1100974636387369E-2</v>
      </c>
      <c r="L179">
        <v>178</v>
      </c>
      <c r="M179">
        <f t="shared" si="81"/>
        <v>0.1</v>
      </c>
      <c r="N179">
        <f t="shared" si="66"/>
        <v>2.4686955170097145</v>
      </c>
      <c r="O179">
        <f t="shared" si="67"/>
        <v>3.4176113171484085E-2</v>
      </c>
      <c r="P179">
        <f t="shared" si="68"/>
        <v>3.0893850645541399</v>
      </c>
      <c r="Q179">
        <f t="shared" si="69"/>
        <v>0.34755581976234073</v>
      </c>
      <c r="R179">
        <f t="shared" si="70"/>
        <v>1.5446925322770699</v>
      </c>
      <c r="S179">
        <f t="shared" si="71"/>
        <v>0.23068876390751755</v>
      </c>
      <c r="T179">
        <f t="shared" si="72"/>
        <v>0.15</v>
      </c>
      <c r="U179">
        <f t="shared" si="82"/>
        <v>2.9097331631029064</v>
      </c>
      <c r="V179">
        <f t="shared" si="73"/>
        <v>0.58574316276218441</v>
      </c>
      <c r="W179">
        <f t="shared" si="74"/>
        <v>0.36511687581442515</v>
      </c>
      <c r="X179">
        <f t="shared" si="75"/>
        <v>3.7348533596189126</v>
      </c>
      <c r="Y179">
        <f t="shared" si="76"/>
        <v>0.42017100295712767</v>
      </c>
      <c r="Z179">
        <f t="shared" si="77"/>
        <v>1.8674266798094563</v>
      </c>
      <c r="AA179">
        <f t="shared" si="78"/>
        <v>2.4645389117473697</v>
      </c>
      <c r="AB179">
        <f t="shared" si="79"/>
        <v>1E-4</v>
      </c>
      <c r="AC179">
        <f t="shared" si="83"/>
        <v>1.7455484919718787</v>
      </c>
      <c r="AD179">
        <f t="shared" si="84"/>
        <v>1.4210735946709763</v>
      </c>
      <c r="AE179">
        <f t="shared" si="85"/>
        <v>12.468972806066457</v>
      </c>
      <c r="AF179">
        <f t="shared" si="86"/>
        <v>1.4027594406824766</v>
      </c>
      <c r="AG179">
        <f t="shared" si="87"/>
        <v>6.2344864030332285</v>
      </c>
      <c r="AH179">
        <f t="shared" si="88"/>
        <v>9.59224676402909</v>
      </c>
      <c r="AI179">
        <f t="shared" si="89"/>
        <v>0.01</v>
      </c>
    </row>
    <row r="180" spans="5:35" x14ac:dyDescent="0.25">
      <c r="E180">
        <f t="shared" si="80"/>
        <v>183.12582861247205</v>
      </c>
      <c r="F180">
        <f t="shared" si="60"/>
        <v>0.90839154695053459</v>
      </c>
      <c r="G180">
        <f t="shared" si="61"/>
        <v>1.5501801673592846E-3</v>
      </c>
      <c r="H180">
        <f t="shared" si="62"/>
        <v>0.45055373495570678</v>
      </c>
      <c r="I180">
        <f t="shared" si="63"/>
        <v>5.0687295182517016E-2</v>
      </c>
      <c r="J180">
        <f t="shared" si="64"/>
        <v>0.22527686747785339</v>
      </c>
      <c r="K180">
        <f t="shared" si="65"/>
        <v>1.0463716129675173E-2</v>
      </c>
      <c r="L180">
        <v>179</v>
      </c>
      <c r="M180">
        <f t="shared" si="81"/>
        <v>0.1</v>
      </c>
      <c r="N180">
        <f t="shared" si="66"/>
        <v>2.4502133384364719</v>
      </c>
      <c r="O180">
        <f t="shared" si="67"/>
        <v>3.221373781153445E-2</v>
      </c>
      <c r="P180">
        <f t="shared" si="68"/>
        <v>2.9979043214383858</v>
      </c>
      <c r="Q180">
        <f t="shared" si="69"/>
        <v>0.33726423616181839</v>
      </c>
      <c r="R180">
        <f t="shared" si="70"/>
        <v>1.4989521607191929</v>
      </c>
      <c r="S180">
        <f t="shared" si="71"/>
        <v>0.21744273022785754</v>
      </c>
      <c r="T180">
        <f t="shared" si="72"/>
        <v>0.15</v>
      </c>
      <c r="U180">
        <f t="shared" si="82"/>
        <v>2.9388304947339354</v>
      </c>
      <c r="V180">
        <f t="shared" si="73"/>
        <v>0.58239417661025505</v>
      </c>
      <c r="W180">
        <f t="shared" si="74"/>
        <v>0.35770817758053514</v>
      </c>
      <c r="X180">
        <f t="shared" si="75"/>
        <v>3.6902933678389385</v>
      </c>
      <c r="Y180">
        <f t="shared" si="76"/>
        <v>0.41515800388188062</v>
      </c>
      <c r="Z180">
        <f t="shared" si="77"/>
        <v>1.8451466839194692</v>
      </c>
      <c r="AA180">
        <f t="shared" si="78"/>
        <v>2.4145301986686123</v>
      </c>
      <c r="AB180">
        <f t="shared" si="79"/>
        <v>1E-4</v>
      </c>
      <c r="AC180">
        <f t="shared" si="83"/>
        <v>1.7344432314581935</v>
      </c>
      <c r="AD180">
        <f t="shared" si="84"/>
        <v>1.3918549244874008</v>
      </c>
      <c r="AE180">
        <f t="shared" si="85"/>
        <v>12.313846627554032</v>
      </c>
      <c r="AF180">
        <f t="shared" si="86"/>
        <v>1.3853077455998286</v>
      </c>
      <c r="AG180">
        <f t="shared" si="87"/>
        <v>6.1569233137770158</v>
      </c>
      <c r="AH180">
        <f t="shared" si="88"/>
        <v>9.3950207402899544</v>
      </c>
      <c r="AI180">
        <f t="shared" si="89"/>
        <v>0.01</v>
      </c>
    </row>
    <row r="181" spans="5:35" x14ac:dyDescent="0.25">
      <c r="E181">
        <f t="shared" si="80"/>
        <v>188.61960347084622</v>
      </c>
      <c r="F181">
        <f t="shared" si="60"/>
        <v>0.90304506993370637</v>
      </c>
      <c r="G181">
        <f t="shared" si="61"/>
        <v>1.4611912267675717E-3</v>
      </c>
      <c r="H181">
        <f t="shared" si="62"/>
        <v>0.43736438124222299</v>
      </c>
      <c r="I181">
        <f t="shared" si="63"/>
        <v>4.9203492889750088E-2</v>
      </c>
      <c r="J181">
        <f t="shared" si="64"/>
        <v>0.21868219062111149</v>
      </c>
      <c r="K181">
        <f t="shared" si="65"/>
        <v>9.8630407806811083E-3</v>
      </c>
      <c r="L181">
        <v>180</v>
      </c>
      <c r="M181">
        <f t="shared" si="81"/>
        <v>0.1</v>
      </c>
      <c r="N181">
        <f t="shared" si="66"/>
        <v>2.4319951544614526</v>
      </c>
      <c r="O181">
        <f t="shared" si="67"/>
        <v>3.0364069568663533E-2</v>
      </c>
      <c r="P181">
        <f t="shared" si="68"/>
        <v>2.9091754852542473</v>
      </c>
      <c r="Q181">
        <f t="shared" si="69"/>
        <v>0.32728224209110279</v>
      </c>
      <c r="R181">
        <f t="shared" si="70"/>
        <v>1.4545877426271236</v>
      </c>
      <c r="S181">
        <f t="shared" si="71"/>
        <v>0.20495746958847882</v>
      </c>
      <c r="T181">
        <f t="shared" si="72"/>
        <v>0.15</v>
      </c>
      <c r="U181">
        <f t="shared" si="82"/>
        <v>2.9682187996812748</v>
      </c>
      <c r="V181">
        <f t="shared" si="73"/>
        <v>0.57908261318871579</v>
      </c>
      <c r="W181">
        <f t="shared" si="74"/>
        <v>0.35045407224679687</v>
      </c>
      <c r="X181">
        <f t="shared" si="75"/>
        <v>3.6463542053736018</v>
      </c>
      <c r="Y181">
        <f t="shared" si="76"/>
        <v>0.41021484810453018</v>
      </c>
      <c r="Z181">
        <f t="shared" si="77"/>
        <v>1.8231771026868009</v>
      </c>
      <c r="AA181">
        <f t="shared" si="78"/>
        <v>2.3655649876658789</v>
      </c>
      <c r="AB181">
        <f t="shared" si="79"/>
        <v>1E-4</v>
      </c>
      <c r="AC181">
        <f t="shared" si="83"/>
        <v>1.7234762135123978</v>
      </c>
      <c r="AD181">
        <f t="shared" si="84"/>
        <v>1.3632615243618667</v>
      </c>
      <c r="AE181">
        <f t="shared" si="85"/>
        <v>12.16103850027541</v>
      </c>
      <c r="AF181">
        <f t="shared" si="86"/>
        <v>1.3681168312809837</v>
      </c>
      <c r="AG181">
        <f t="shared" si="87"/>
        <v>6.080519250137705</v>
      </c>
      <c r="AH181">
        <f t="shared" si="88"/>
        <v>9.2020152894425991</v>
      </c>
      <c r="AI181">
        <f t="shared" si="89"/>
        <v>0.01</v>
      </c>
    </row>
    <row r="182" spans="5:35" x14ac:dyDescent="0.25">
      <c r="E182">
        <f t="shared" si="80"/>
        <v>194.2781915749716</v>
      </c>
      <c r="F182">
        <f t="shared" si="60"/>
        <v>0.89775805333175085</v>
      </c>
      <c r="G182">
        <f t="shared" si="61"/>
        <v>1.3773108671436545E-3</v>
      </c>
      <c r="H182">
        <f t="shared" si="62"/>
        <v>0.42456301551949199</v>
      </c>
      <c r="I182">
        <f t="shared" si="63"/>
        <v>4.7763339245942851E-2</v>
      </c>
      <c r="J182">
        <f t="shared" si="64"/>
        <v>0.212281507759746</v>
      </c>
      <c r="K182">
        <f t="shared" si="65"/>
        <v>9.296848353219667E-3</v>
      </c>
      <c r="L182">
        <v>181</v>
      </c>
      <c r="M182">
        <f t="shared" si="81"/>
        <v>0.1</v>
      </c>
      <c r="N182">
        <f t="shared" si="66"/>
        <v>2.4140353520659379</v>
      </c>
      <c r="O182">
        <f t="shared" si="67"/>
        <v>2.862063204019312E-2</v>
      </c>
      <c r="P182">
        <f t="shared" si="68"/>
        <v>2.8231132653109947</v>
      </c>
      <c r="Q182">
        <f t="shared" si="69"/>
        <v>0.31760024234748685</v>
      </c>
      <c r="R182">
        <f t="shared" si="70"/>
        <v>1.4115566326554974</v>
      </c>
      <c r="S182">
        <f t="shared" si="71"/>
        <v>0.19318926627130356</v>
      </c>
      <c r="T182">
        <f t="shared" si="72"/>
        <v>0.15</v>
      </c>
      <c r="U182">
        <f t="shared" si="82"/>
        <v>2.9979009876780878</v>
      </c>
      <c r="V182">
        <f t="shared" si="73"/>
        <v>0.57580784878538838</v>
      </c>
      <c r="W182">
        <f t="shared" si="74"/>
        <v>0.34335116310605213</v>
      </c>
      <c r="X182">
        <f t="shared" si="75"/>
        <v>3.6030251176472401</v>
      </c>
      <c r="Y182">
        <f t="shared" si="76"/>
        <v>0.40534032573531448</v>
      </c>
      <c r="Z182">
        <f t="shared" si="77"/>
        <v>1.80151255882362</v>
      </c>
      <c r="AA182">
        <f t="shared" si="78"/>
        <v>2.3176203509658522</v>
      </c>
      <c r="AB182">
        <f t="shared" si="79"/>
        <v>1E-4</v>
      </c>
      <c r="AC182">
        <f t="shared" si="83"/>
        <v>1.7126448729698383</v>
      </c>
      <c r="AD182">
        <f t="shared" si="84"/>
        <v>1.3352790184762884</v>
      </c>
      <c r="AE182">
        <f t="shared" si="85"/>
        <v>12.010504248504162</v>
      </c>
      <c r="AF182">
        <f t="shared" si="86"/>
        <v>1.3511817279567184</v>
      </c>
      <c r="AG182">
        <f t="shared" si="87"/>
        <v>6.0052521242520811</v>
      </c>
      <c r="AH182">
        <f t="shared" si="88"/>
        <v>9.0131333747149451</v>
      </c>
      <c r="AI182">
        <f t="shared" si="89"/>
        <v>0.01</v>
      </c>
    </row>
    <row r="183" spans="5:35" x14ac:dyDescent="0.25">
      <c r="E183">
        <f t="shared" si="80"/>
        <v>200.10653732222076</v>
      </c>
      <c r="F183">
        <f t="shared" si="60"/>
        <v>0.89252951161224192</v>
      </c>
      <c r="G183">
        <f t="shared" si="61"/>
        <v>1.2982458069686598E-3</v>
      </c>
      <c r="H183">
        <f t="shared" si="62"/>
        <v>0.41213811559296465</v>
      </c>
      <c r="I183">
        <f t="shared" si="63"/>
        <v>4.636553800420852E-2</v>
      </c>
      <c r="J183">
        <f t="shared" si="64"/>
        <v>0.20606905779648232</v>
      </c>
      <c r="K183">
        <f t="shared" si="65"/>
        <v>8.7631591970384528E-3</v>
      </c>
      <c r="L183">
        <v>182</v>
      </c>
      <c r="M183">
        <f t="shared" si="81"/>
        <v>0.1</v>
      </c>
      <c r="N183">
        <f t="shared" si="66"/>
        <v>2.3963284762356905</v>
      </c>
      <c r="O183">
        <f t="shared" si="67"/>
        <v>2.6977321326599732E-2</v>
      </c>
      <c r="P183">
        <f t="shared" si="68"/>
        <v>2.7396351604372851</v>
      </c>
      <c r="Q183">
        <f t="shared" si="69"/>
        <v>0.30820895554919459</v>
      </c>
      <c r="R183">
        <f t="shared" si="70"/>
        <v>1.3698175802186425</v>
      </c>
      <c r="S183">
        <f t="shared" si="71"/>
        <v>0.18209691895454821</v>
      </c>
      <c r="T183">
        <f t="shared" si="72"/>
        <v>0.15</v>
      </c>
      <c r="U183">
        <f t="shared" si="82"/>
        <v>3.0278799975548685</v>
      </c>
      <c r="V183">
        <f t="shared" si="73"/>
        <v>0.5725692734717831</v>
      </c>
      <c r="W183">
        <f t="shared" si="74"/>
        <v>0.3363961349367961</v>
      </c>
      <c r="X183">
        <f t="shared" si="75"/>
        <v>3.5602955870948745</v>
      </c>
      <c r="Y183">
        <f t="shared" si="76"/>
        <v>0.40053325354817337</v>
      </c>
      <c r="Z183">
        <f t="shared" si="77"/>
        <v>1.7801477935474372</v>
      </c>
      <c r="AA183">
        <f t="shared" si="78"/>
        <v>2.2706739108233736</v>
      </c>
      <c r="AB183">
        <f t="shared" si="79"/>
        <v>1E-4</v>
      </c>
      <c r="AC183">
        <f t="shared" si="83"/>
        <v>1.7019467077397061</v>
      </c>
      <c r="AD183">
        <f t="shared" si="84"/>
        <v>1.3078934019525903</v>
      </c>
      <c r="AE183">
        <f t="shared" si="85"/>
        <v>11.862200779694483</v>
      </c>
      <c r="AF183">
        <f t="shared" si="86"/>
        <v>1.3344975877156291</v>
      </c>
      <c r="AG183">
        <f t="shared" si="87"/>
        <v>5.9311003898472414</v>
      </c>
      <c r="AH183">
        <f t="shared" si="88"/>
        <v>8.8282804631799845</v>
      </c>
      <c r="AI183">
        <f t="shared" si="89"/>
        <v>0.01</v>
      </c>
    </row>
    <row r="184" spans="5:35" x14ac:dyDescent="0.25">
      <c r="E184">
        <f t="shared" si="80"/>
        <v>206.10973344188739</v>
      </c>
      <c r="F184">
        <f t="shared" si="60"/>
        <v>0.887358480902803</v>
      </c>
      <c r="G184">
        <f t="shared" si="61"/>
        <v>1.2237196034133131E-3</v>
      </c>
      <c r="H184">
        <f t="shared" si="62"/>
        <v>0.40007850772164116</v>
      </c>
      <c r="I184">
        <f t="shared" si="63"/>
        <v>4.5008832118684637E-2</v>
      </c>
      <c r="J184">
        <f t="shared" si="64"/>
        <v>0.20003925386082058</v>
      </c>
      <c r="K184">
        <f t="shared" si="65"/>
        <v>8.2601073230398631E-3</v>
      </c>
      <c r="L184">
        <v>183</v>
      </c>
      <c r="M184">
        <f t="shared" si="81"/>
        <v>0.1</v>
      </c>
      <c r="N184">
        <f t="shared" si="66"/>
        <v>2.3788692244400949</v>
      </c>
      <c r="O184">
        <f t="shared" si="67"/>
        <v>2.5428384566713487E-2</v>
      </c>
      <c r="P184">
        <f t="shared" si="68"/>
        <v>2.6586613593016297</v>
      </c>
      <c r="Q184">
        <f t="shared" si="69"/>
        <v>0.29909940292143333</v>
      </c>
      <c r="R184">
        <f t="shared" si="70"/>
        <v>1.3293306796508149</v>
      </c>
      <c r="S184">
        <f t="shared" si="71"/>
        <v>0.17164159582531605</v>
      </c>
      <c r="T184">
        <f t="shared" si="72"/>
        <v>0.15</v>
      </c>
      <c r="U184">
        <f t="shared" si="82"/>
        <v>3.058158797530417</v>
      </c>
      <c r="V184">
        <f t="shared" si="73"/>
        <v>0.56936629072444378</v>
      </c>
      <c r="W184">
        <f t="shared" si="74"/>
        <v>0.32958575177627153</v>
      </c>
      <c r="X184">
        <f t="shared" si="75"/>
        <v>3.5181553266702505</v>
      </c>
      <c r="Y184">
        <f t="shared" si="76"/>
        <v>0.3957924742504032</v>
      </c>
      <c r="Z184">
        <f t="shared" si="77"/>
        <v>1.7590776633351253</v>
      </c>
      <c r="AA184">
        <f t="shared" si="78"/>
        <v>2.2247038244898327</v>
      </c>
      <c r="AB184">
        <f t="shared" si="79"/>
        <v>1E-4</v>
      </c>
      <c r="AC184">
        <f t="shared" si="83"/>
        <v>1.6913792768782809</v>
      </c>
      <c r="AD184">
        <f t="shared" si="84"/>
        <v>1.2810910296580178</v>
      </c>
      <c r="AE184">
        <f t="shared" si="85"/>
        <v>11.716086051451946</v>
      </c>
      <c r="AF184">
        <f t="shared" si="86"/>
        <v>1.3180596807883438</v>
      </c>
      <c r="AG184">
        <f t="shared" si="87"/>
        <v>5.8580430257259728</v>
      </c>
      <c r="AH184">
        <f t="shared" si="88"/>
        <v>8.6473644501916187</v>
      </c>
      <c r="AI184">
        <f t="shared" si="89"/>
        <v>0.01</v>
      </c>
    </row>
    <row r="185" spans="5:35" x14ac:dyDescent="0.25">
      <c r="E185">
        <f t="shared" si="80"/>
        <v>212.29302544514402</v>
      </c>
      <c r="F185">
        <f t="shared" si="60"/>
        <v>0.882244018399304</v>
      </c>
      <c r="G185">
        <f t="shared" si="61"/>
        <v>1.1534716853791381E-3</v>
      </c>
      <c r="H185">
        <f t="shared" si="62"/>
        <v>0.38837335571930004</v>
      </c>
      <c r="I185">
        <f t="shared" si="63"/>
        <v>4.3692002518421251E-2</v>
      </c>
      <c r="J185">
        <f t="shared" si="64"/>
        <v>0.19418667785965002</v>
      </c>
      <c r="K185">
        <f t="shared" si="65"/>
        <v>7.7859338763091816E-3</v>
      </c>
      <c r="L185">
        <v>184</v>
      </c>
      <c r="M185">
        <f t="shared" si="81"/>
        <v>0.1</v>
      </c>
      <c r="N185">
        <f t="shared" si="66"/>
        <v>2.3616524413411892</v>
      </c>
      <c r="O185">
        <f t="shared" si="67"/>
        <v>2.3968399714193747E-2</v>
      </c>
      <c r="P185">
        <f t="shared" si="68"/>
        <v>2.5801146447736487</v>
      </c>
      <c r="Q185">
        <f t="shared" si="69"/>
        <v>0.29026289753703549</v>
      </c>
      <c r="R185">
        <f t="shared" si="70"/>
        <v>1.2900573223868244</v>
      </c>
      <c r="S185">
        <f t="shared" si="71"/>
        <v>0.16178669807080778</v>
      </c>
      <c r="T185">
        <f t="shared" si="72"/>
        <v>0.15</v>
      </c>
      <c r="U185">
        <f t="shared" si="82"/>
        <v>3.0887403855057212</v>
      </c>
      <c r="V185">
        <f t="shared" si="73"/>
        <v>0.56619831705866897</v>
      </c>
      <c r="W185">
        <f t="shared" si="74"/>
        <v>0.32291685476497778</v>
      </c>
      <c r="X185">
        <f t="shared" si="75"/>
        <v>3.4765942735666839</v>
      </c>
      <c r="Y185">
        <f t="shared" si="76"/>
        <v>0.39111685577625194</v>
      </c>
      <c r="Z185">
        <f t="shared" si="77"/>
        <v>1.738297136783342</v>
      </c>
      <c r="AA185">
        <f t="shared" si="78"/>
        <v>2.1796887696635996</v>
      </c>
      <c r="AB185">
        <f t="shared" si="79"/>
        <v>1E-4</v>
      </c>
      <c r="AC185">
        <f t="shared" si="83"/>
        <v>1.6809401987323769</v>
      </c>
      <c r="AD185">
        <f t="shared" si="84"/>
        <v>1.2548586054121111</v>
      </c>
      <c r="AE185">
        <f t="shared" si="85"/>
        <v>11.572119039707605</v>
      </c>
      <c r="AF185">
        <f t="shared" si="86"/>
        <v>1.3018633919671057</v>
      </c>
      <c r="AG185">
        <f t="shared" si="87"/>
        <v>5.7860595198538025</v>
      </c>
      <c r="AH185">
        <f t="shared" si="88"/>
        <v>8.4702955865317495</v>
      </c>
      <c r="AI185">
        <f t="shared" si="89"/>
        <v>0.01</v>
      </c>
    </row>
    <row r="186" spans="5:35" x14ac:dyDescent="0.25">
      <c r="E186">
        <f t="shared" si="80"/>
        <v>218.66181620849835</v>
      </c>
      <c r="F186">
        <f t="shared" si="60"/>
        <v>0.87718520179334947</v>
      </c>
      <c r="G186">
        <f t="shared" si="61"/>
        <v>1.087256442085983E-3</v>
      </c>
      <c r="H186">
        <f t="shared" si="62"/>
        <v>0.3770121504171991</v>
      </c>
      <c r="I186">
        <f t="shared" si="63"/>
        <v>4.2413866921934898E-2</v>
      </c>
      <c r="J186">
        <f t="shared" si="64"/>
        <v>0.18850607520859955</v>
      </c>
      <c r="K186">
        <f t="shared" si="65"/>
        <v>7.3389809840803859E-3</v>
      </c>
      <c r="L186">
        <v>185</v>
      </c>
      <c r="M186">
        <f t="shared" si="81"/>
        <v>0.1</v>
      </c>
      <c r="N186">
        <f t="shared" si="66"/>
        <v>2.3446731137214618</v>
      </c>
      <c r="O186">
        <f t="shared" si="67"/>
        <v>2.2592256483009783E-2</v>
      </c>
      <c r="P186">
        <f t="shared" si="68"/>
        <v>2.503920302136085</v>
      </c>
      <c r="Q186">
        <f t="shared" si="69"/>
        <v>0.28169103399030954</v>
      </c>
      <c r="R186">
        <f t="shared" si="70"/>
        <v>1.2519601510680425</v>
      </c>
      <c r="S186">
        <f t="shared" si="71"/>
        <v>0.15249773126031602</v>
      </c>
      <c r="T186">
        <f t="shared" si="72"/>
        <v>0.15</v>
      </c>
      <c r="U186">
        <f t="shared" si="82"/>
        <v>3.1196277893607784</v>
      </c>
      <c r="V186">
        <f t="shared" si="73"/>
        <v>0.56306478167421503</v>
      </c>
      <c r="W186">
        <f t="shared" si="74"/>
        <v>0.31638636005990284</v>
      </c>
      <c r="X186">
        <f t="shared" si="75"/>
        <v>3.4356025831425887</v>
      </c>
      <c r="Y186">
        <f t="shared" si="76"/>
        <v>0.38650529060354127</v>
      </c>
      <c r="Z186">
        <f t="shared" si="77"/>
        <v>1.7178012915712944</v>
      </c>
      <c r="AA186">
        <f t="shared" si="78"/>
        <v>2.1356079304043445</v>
      </c>
      <c r="AB186">
        <f t="shared" si="79"/>
        <v>1E-4</v>
      </c>
      <c r="AC186">
        <f t="shared" si="83"/>
        <v>1.670627149149996</v>
      </c>
      <c r="AD186">
        <f t="shared" si="84"/>
        <v>1.2291831715784556</v>
      </c>
      <c r="AE186">
        <f t="shared" si="85"/>
        <v>11.430259708044602</v>
      </c>
      <c r="AF186">
        <f t="shared" si="86"/>
        <v>1.2859042171550179</v>
      </c>
      <c r="AG186">
        <f t="shared" si="87"/>
        <v>5.715129854022301</v>
      </c>
      <c r="AH186">
        <f t="shared" si="88"/>
        <v>8.2969864081545754</v>
      </c>
      <c r="AI186">
        <f t="shared" si="89"/>
        <v>0.01</v>
      </c>
    </row>
    <row r="187" spans="5:35" x14ac:dyDescent="0.25">
      <c r="E187">
        <f t="shared" si="80"/>
        <v>225.2216706947533</v>
      </c>
      <c r="F187">
        <f t="shared" si="60"/>
        <v>0.87218112871834608</v>
      </c>
      <c r="G187">
        <f t="shared" si="61"/>
        <v>1.0248423640129495E-3</v>
      </c>
      <c r="H187">
        <f t="shared" si="62"/>
        <v>0.36598469947510948</v>
      </c>
      <c r="I187">
        <f t="shared" si="63"/>
        <v>4.1173278690949812E-2</v>
      </c>
      <c r="J187">
        <f t="shared" si="64"/>
        <v>0.18299234973755474</v>
      </c>
      <c r="K187">
        <f t="shared" si="65"/>
        <v>6.9176859570874091E-3</v>
      </c>
      <c r="L187">
        <v>186</v>
      </c>
      <c r="M187">
        <f t="shared" si="81"/>
        <v>0.1</v>
      </c>
      <c r="N187">
        <f t="shared" si="66"/>
        <v>2.3279263656199838</v>
      </c>
      <c r="O187">
        <f t="shared" si="67"/>
        <v>2.1295138393916817E-2</v>
      </c>
      <c r="P187">
        <f t="shared" si="68"/>
        <v>2.4300060309678408</v>
      </c>
      <c r="Q187">
        <f t="shared" si="69"/>
        <v>0.27337567848388211</v>
      </c>
      <c r="R187">
        <f t="shared" si="70"/>
        <v>1.2150030154839204</v>
      </c>
      <c r="S187">
        <f t="shared" si="71"/>
        <v>0.14374218415893852</v>
      </c>
      <c r="T187">
        <f t="shared" si="72"/>
        <v>0.15</v>
      </c>
      <c r="U187">
        <f t="shared" si="82"/>
        <v>3.1508240672543861</v>
      </c>
      <c r="V187">
        <f t="shared" si="73"/>
        <v>0.55996512611245297</v>
      </c>
      <c r="W187">
        <f t="shared" si="74"/>
        <v>0.30999125681390882</v>
      </c>
      <c r="X187">
        <f t="shared" si="75"/>
        <v>3.3951706230439607</v>
      </c>
      <c r="Y187">
        <f t="shared" si="76"/>
        <v>0.38195669509244551</v>
      </c>
      <c r="Z187">
        <f t="shared" si="77"/>
        <v>1.6975853115219803</v>
      </c>
      <c r="AA187">
        <f t="shared" si="78"/>
        <v>2.0924409834938844</v>
      </c>
      <c r="AB187">
        <f t="shared" si="79"/>
        <v>1E-4</v>
      </c>
      <c r="AC187">
        <f t="shared" si="83"/>
        <v>1.660437859755356</v>
      </c>
      <c r="AD187">
        <f t="shared" si="84"/>
        <v>1.2040520990251045</v>
      </c>
      <c r="AE187">
        <f t="shared" si="85"/>
        <v>11.290468978128809</v>
      </c>
      <c r="AF187">
        <f t="shared" si="86"/>
        <v>1.270177760039491</v>
      </c>
      <c r="AG187">
        <f t="shared" si="87"/>
        <v>5.6452344890644044</v>
      </c>
      <c r="AH187">
        <f t="shared" si="88"/>
        <v>8.1273516684194558</v>
      </c>
      <c r="AI187">
        <f t="shared" si="89"/>
        <v>0.01</v>
      </c>
    </row>
    <row r="188" spans="5:35" x14ac:dyDescent="0.25">
      <c r="E188">
        <f t="shared" si="80"/>
        <v>231.97832081559591</v>
      </c>
      <c r="F188">
        <f t="shared" si="60"/>
        <v>0.86723091621343251</v>
      </c>
      <c r="G188">
        <f t="shared" si="61"/>
        <v>9.6601123318355571E-4</v>
      </c>
      <c r="H188">
        <f t="shared" si="62"/>
        <v>0.3552811175280769</v>
      </c>
      <c r="I188">
        <f t="shared" si="63"/>
        <v>3.9969125721908652E-2</v>
      </c>
      <c r="J188">
        <f t="shared" si="64"/>
        <v>0.17764055876403845</v>
      </c>
      <c r="K188">
        <f t="shared" si="65"/>
        <v>6.520575823989001E-3</v>
      </c>
      <c r="L188">
        <v>187</v>
      </c>
      <c r="M188">
        <f t="shared" si="81"/>
        <v>0.1</v>
      </c>
      <c r="N188">
        <f t="shared" si="66"/>
        <v>2.311407453666904</v>
      </c>
      <c r="O188">
        <f t="shared" si="67"/>
        <v>2.0072505857923285E-2</v>
      </c>
      <c r="P188">
        <f t="shared" si="68"/>
        <v>2.3583018605280128</v>
      </c>
      <c r="Q188">
        <f t="shared" si="69"/>
        <v>0.26530895930940146</v>
      </c>
      <c r="R188">
        <f t="shared" si="70"/>
        <v>1.1791509302640064</v>
      </c>
      <c r="S188">
        <f t="shared" si="71"/>
        <v>0.13548941454098218</v>
      </c>
      <c r="T188">
        <f t="shared" si="72"/>
        <v>0.15</v>
      </c>
      <c r="U188">
        <f t="shared" si="82"/>
        <v>3.1823323079269299</v>
      </c>
      <c r="V188">
        <f t="shared" si="73"/>
        <v>0.55689880392462776</v>
      </c>
      <c r="W188">
        <f t="shared" si="74"/>
        <v>0.30372860521880679</v>
      </c>
      <c r="X188">
        <f t="shared" si="75"/>
        <v>3.3552889675163882</v>
      </c>
      <c r="Y188">
        <f t="shared" si="76"/>
        <v>0.37747000884559373</v>
      </c>
      <c r="Z188">
        <f t="shared" si="77"/>
        <v>1.6776444837581941</v>
      </c>
      <c r="AA188">
        <f t="shared" si="78"/>
        <v>2.0501680852269457</v>
      </c>
      <c r="AB188">
        <f t="shared" si="79"/>
        <v>1E-4</v>
      </c>
      <c r="AC188">
        <f t="shared" si="83"/>
        <v>1.6503701162857287</v>
      </c>
      <c r="AD188">
        <f t="shared" si="84"/>
        <v>1.1794530774383689</v>
      </c>
      <c r="AE188">
        <f t="shared" si="85"/>
        <v>11.152708701197463</v>
      </c>
      <c r="AF188">
        <f t="shared" si="86"/>
        <v>1.2546797288847147</v>
      </c>
      <c r="AG188">
        <f t="shared" si="87"/>
        <v>5.5763543505987316</v>
      </c>
      <c r="AH188">
        <f t="shared" si="88"/>
        <v>7.9613082727089894</v>
      </c>
      <c r="AI188">
        <f t="shared" si="89"/>
        <v>0.01</v>
      </c>
    </row>
    <row r="189" spans="5:35" x14ac:dyDescent="0.25">
      <c r="E189">
        <f t="shared" si="80"/>
        <v>238.93767044006378</v>
      </c>
      <c r="F189">
        <f t="shared" si="60"/>
        <v>0.86233370020460132</v>
      </c>
      <c r="G189">
        <f t="shared" si="61"/>
        <v>9.1055735995915991E-4</v>
      </c>
      <c r="H189">
        <f t="shared" si="62"/>
        <v>0.34489181665682761</v>
      </c>
      <c r="I189">
        <f t="shared" si="63"/>
        <v>3.8800329373893105E-2</v>
      </c>
      <c r="J189">
        <f t="shared" si="64"/>
        <v>0.17244590832841381</v>
      </c>
      <c r="K189">
        <f t="shared" si="65"/>
        <v>6.1462621797243287E-3</v>
      </c>
      <c r="L189">
        <v>188</v>
      </c>
      <c r="M189">
        <f t="shared" si="81"/>
        <v>0.1</v>
      </c>
      <c r="N189">
        <f t="shared" si="66"/>
        <v>2.2951117626069668</v>
      </c>
      <c r="O189">
        <f t="shared" si="67"/>
        <v>1.8920080236508562E-2</v>
      </c>
      <c r="P189">
        <f t="shared" si="68"/>
        <v>2.2887400684799859</v>
      </c>
      <c r="Q189">
        <f t="shared" si="69"/>
        <v>0.25748325770399844</v>
      </c>
      <c r="R189">
        <f t="shared" si="70"/>
        <v>1.144370034239993</v>
      </c>
      <c r="S189">
        <f t="shared" si="71"/>
        <v>0.12771054159643278</v>
      </c>
      <c r="T189">
        <f t="shared" si="72"/>
        <v>0.15</v>
      </c>
      <c r="U189">
        <f t="shared" si="82"/>
        <v>3.2141556310061992</v>
      </c>
      <c r="V189">
        <f t="shared" si="73"/>
        <v>0.55386528035072558</v>
      </c>
      <c r="W189">
        <f t="shared" si="74"/>
        <v>0.29759553460976773</v>
      </c>
      <c r="X189">
        <f t="shared" si="75"/>
        <v>3.3159483918995076</v>
      </c>
      <c r="Y189">
        <f t="shared" si="76"/>
        <v>0.3730441940886946</v>
      </c>
      <c r="Z189">
        <f t="shared" si="77"/>
        <v>1.6579741959497538</v>
      </c>
      <c r="AA189">
        <f t="shared" si="78"/>
        <v>2.0087698586159322</v>
      </c>
      <c r="AB189">
        <f t="shared" si="79"/>
        <v>1E-4</v>
      </c>
      <c r="AC189">
        <f t="shared" si="83"/>
        <v>1.6404217569873936</v>
      </c>
      <c r="AD189">
        <f t="shared" si="84"/>
        <v>1.1553741059753824</v>
      </c>
      <c r="AE189">
        <f t="shared" si="85"/>
        <v>11.016941630561895</v>
      </c>
      <c r="AF189">
        <f t="shared" si="86"/>
        <v>1.2394059334382135</v>
      </c>
      <c r="AG189">
        <f t="shared" si="87"/>
        <v>5.5084708152809476</v>
      </c>
      <c r="AH189">
        <f t="shared" si="88"/>
        <v>7.7987752153338308</v>
      </c>
      <c r="AI189">
        <f t="shared" si="89"/>
        <v>0.01</v>
      </c>
    </row>
    <row r="190" spans="5:35" x14ac:dyDescent="0.25">
      <c r="E190">
        <f t="shared" si="80"/>
        <v>246.10580055326571</v>
      </c>
      <c r="F190">
        <f t="shared" si="60"/>
        <v>0.85748863500239836</v>
      </c>
      <c r="G190">
        <f t="shared" si="61"/>
        <v>8.5828686366781889E-4</v>
      </c>
      <c r="H190">
        <f t="shared" si="62"/>
        <v>0.33480749717021779</v>
      </c>
      <c r="I190">
        <f t="shared" si="63"/>
        <v>3.7665843431649505E-2</v>
      </c>
      <c r="J190">
        <f t="shared" si="64"/>
        <v>0.1674037485851089</v>
      </c>
      <c r="K190">
        <f t="shared" si="65"/>
        <v>5.7934363297577774E-3</v>
      </c>
      <c r="L190">
        <v>189</v>
      </c>
      <c r="M190">
        <f t="shared" si="81"/>
        <v>0.1</v>
      </c>
      <c r="N190">
        <f t="shared" si="66"/>
        <v>2.2790348010032098</v>
      </c>
      <c r="O190">
        <f t="shared" si="67"/>
        <v>1.7833828821888401E-2</v>
      </c>
      <c r="P190">
        <f t="shared" si="68"/>
        <v>2.2212551028032066</v>
      </c>
      <c r="Q190">
        <f t="shared" si="69"/>
        <v>0.24989119906536073</v>
      </c>
      <c r="R190">
        <f t="shared" si="70"/>
        <v>1.1106275514016033</v>
      </c>
      <c r="S190">
        <f t="shared" si="71"/>
        <v>0.12037834454774669</v>
      </c>
      <c r="T190">
        <f t="shared" si="72"/>
        <v>0.15</v>
      </c>
      <c r="U190">
        <f t="shared" si="82"/>
        <v>3.2462971873162614</v>
      </c>
      <c r="V190">
        <f t="shared" si="73"/>
        <v>0.5508640320086029</v>
      </c>
      <c r="W190">
        <f t="shared" si="74"/>
        <v>0.29158924162881156</v>
      </c>
      <c r="X190">
        <f t="shared" si="75"/>
        <v>3.2771398672970959</v>
      </c>
      <c r="Y190">
        <f t="shared" si="76"/>
        <v>0.36867823507092329</v>
      </c>
      <c r="Z190">
        <f t="shared" si="77"/>
        <v>1.638569933648548</v>
      </c>
      <c r="AA190">
        <f t="shared" si="78"/>
        <v>1.9682273809944781</v>
      </c>
      <c r="AB190">
        <f t="shared" si="79"/>
        <v>1E-4</v>
      </c>
      <c r="AC190">
        <f t="shared" si="83"/>
        <v>1.6305906710682603</v>
      </c>
      <c r="AD190">
        <f t="shared" si="84"/>
        <v>1.1318034842415403</v>
      </c>
      <c r="AE190">
        <f t="shared" si="85"/>
        <v>10.883131395082454</v>
      </c>
      <c r="AF190">
        <f t="shared" si="86"/>
        <v>1.224352281946776</v>
      </c>
      <c r="AG190">
        <f t="shared" si="87"/>
        <v>5.4415656975412272</v>
      </c>
      <c r="AH190">
        <f t="shared" si="88"/>
        <v>7.6396735186303975</v>
      </c>
      <c r="AI190">
        <f t="shared" si="89"/>
        <v>0.01</v>
      </c>
    </row>
    <row r="191" spans="5:35" x14ac:dyDescent="0.25">
      <c r="E191">
        <f t="shared" si="80"/>
        <v>253.4889745698637</v>
      </c>
      <c r="F191">
        <f t="shared" si="60"/>
        <v>0.85269489281555366</v>
      </c>
      <c r="G191">
        <f t="shared" si="61"/>
        <v>8.0901699454955412E-4</v>
      </c>
      <c r="H191">
        <f t="shared" si="62"/>
        <v>0.32501913868860249</v>
      </c>
      <c r="I191">
        <f t="shared" si="63"/>
        <v>3.656465310246778E-2</v>
      </c>
      <c r="J191">
        <f t="shared" si="64"/>
        <v>0.16250956934430125</v>
      </c>
      <c r="K191">
        <f t="shared" si="65"/>
        <v>5.4608647132094899E-3</v>
      </c>
      <c r="L191">
        <v>190</v>
      </c>
      <c r="M191">
        <f t="shared" si="81"/>
        <v>0.1</v>
      </c>
      <c r="N191">
        <f t="shared" si="66"/>
        <v>2.2631721971123566</v>
      </c>
      <c r="O191">
        <f t="shared" si="67"/>
        <v>1.6809950683950914E-2</v>
      </c>
      <c r="P191">
        <f t="shared" si="68"/>
        <v>2.155783506748274</v>
      </c>
      <c r="Q191">
        <f t="shared" si="69"/>
        <v>0.24252564450918085</v>
      </c>
      <c r="R191">
        <f t="shared" si="70"/>
        <v>1.077891753374137</v>
      </c>
      <c r="S191">
        <f t="shared" si="71"/>
        <v>0.11346716711666865</v>
      </c>
      <c r="T191">
        <f t="shared" si="72"/>
        <v>0.15</v>
      </c>
      <c r="U191">
        <f t="shared" si="82"/>
        <v>3.278760159189424</v>
      </c>
      <c r="V191">
        <f t="shared" si="73"/>
        <v>0.5478945465929882</v>
      </c>
      <c r="W191">
        <f t="shared" si="74"/>
        <v>0.28570698844521403</v>
      </c>
      <c r="X191">
        <f t="shared" si="75"/>
        <v>3.2388545554163035</v>
      </c>
      <c r="Y191">
        <f t="shared" si="76"/>
        <v>0.3643711374843342</v>
      </c>
      <c r="Z191">
        <f t="shared" si="77"/>
        <v>1.6194272777081518</v>
      </c>
      <c r="AA191">
        <f t="shared" si="78"/>
        <v>1.9285221720051948</v>
      </c>
      <c r="AB191">
        <f t="shared" si="79"/>
        <v>1E-4</v>
      </c>
      <c r="AC191">
        <f t="shared" si="83"/>
        <v>1.6208747972050266</v>
      </c>
      <c r="AD191">
        <f t="shared" si="84"/>
        <v>1.1087298035795614</v>
      </c>
      <c r="AE191">
        <f t="shared" si="85"/>
        <v>10.751242473575797</v>
      </c>
      <c r="AF191">
        <f t="shared" si="86"/>
        <v>1.2095147782772773</v>
      </c>
      <c r="AG191">
        <f t="shared" si="87"/>
        <v>5.3756212367878984</v>
      </c>
      <c r="AH191">
        <f t="shared" si="88"/>
        <v>7.4839261741620398</v>
      </c>
      <c r="AI191">
        <f t="shared" si="89"/>
        <v>0.01</v>
      </c>
    </row>
    <row r="192" spans="5:35" x14ac:dyDescent="0.25">
      <c r="E192">
        <f t="shared" si="80"/>
        <v>261.09364380695962</v>
      </c>
      <c r="F192">
        <f t="shared" si="60"/>
        <v>0.84795166327998051</v>
      </c>
      <c r="G192">
        <f t="shared" si="61"/>
        <v>7.6257549464388448E-4</v>
      </c>
      <c r="H192">
        <f t="shared" si="62"/>
        <v>0.31551799151743914</v>
      </c>
      <c r="I192">
        <f t="shared" si="63"/>
        <v>3.54957740457119E-2</v>
      </c>
      <c r="J192">
        <f t="shared" si="64"/>
        <v>0.15775899575871957</v>
      </c>
      <c r="K192">
        <f t="shared" si="65"/>
        <v>5.1473845888462206E-3</v>
      </c>
      <c r="L192">
        <v>191</v>
      </c>
      <c r="M192">
        <f t="shared" si="81"/>
        <v>0.1</v>
      </c>
      <c r="N192">
        <f t="shared" si="66"/>
        <v>2.2475196949239993</v>
      </c>
      <c r="O192">
        <f t="shared" si="67"/>
        <v>1.5844863333612978E-2</v>
      </c>
      <c r="P192">
        <f t="shared" si="68"/>
        <v>2.0922638466985704</v>
      </c>
      <c r="Q192">
        <f t="shared" si="69"/>
        <v>0.23537968275358917</v>
      </c>
      <c r="R192">
        <f t="shared" si="70"/>
        <v>1.0461319233492852</v>
      </c>
      <c r="S192">
        <f t="shared" si="71"/>
        <v>0.10695282750188759</v>
      </c>
      <c r="T192">
        <f t="shared" si="72"/>
        <v>0.15</v>
      </c>
      <c r="U192">
        <f t="shared" si="82"/>
        <v>3.3115477607813184</v>
      </c>
      <c r="V192">
        <f t="shared" si="73"/>
        <v>0.54495632258398174</v>
      </c>
      <c r="W192">
        <f t="shared" si="74"/>
        <v>0.27994610103076278</v>
      </c>
      <c r="X192">
        <f t="shared" si="75"/>
        <v>3.2010838035697939</v>
      </c>
      <c r="Y192">
        <f t="shared" si="76"/>
        <v>0.3601219279016018</v>
      </c>
      <c r="Z192">
        <f t="shared" si="77"/>
        <v>1.600541901784897</v>
      </c>
      <c r="AA192">
        <f t="shared" si="78"/>
        <v>1.8896361819576488</v>
      </c>
      <c r="AB192">
        <f t="shared" si="79"/>
        <v>1E-4</v>
      </c>
      <c r="AC192">
        <f t="shared" si="83"/>
        <v>1.6112721221023509</v>
      </c>
      <c r="AD192">
        <f t="shared" si="84"/>
        <v>1.0861419386575457</v>
      </c>
      <c r="AE192">
        <f t="shared" si="85"/>
        <v>10.621240170116508</v>
      </c>
      <c r="AF192">
        <f t="shared" si="86"/>
        <v>1.194889519138107</v>
      </c>
      <c r="AG192">
        <f t="shared" si="87"/>
        <v>5.3106200850582539</v>
      </c>
      <c r="AH192">
        <f t="shared" si="88"/>
        <v>7.3314580859384328</v>
      </c>
      <c r="AI192">
        <f t="shared" si="89"/>
        <v>0.01</v>
      </c>
    </row>
    <row r="193" spans="5:35" x14ac:dyDescent="0.25">
      <c r="E193">
        <f t="shared" si="80"/>
        <v>268.92645312116844</v>
      </c>
      <c r="F193">
        <f t="shared" si="60"/>
        <v>0.84325815300256157</v>
      </c>
      <c r="G193">
        <f t="shared" si="61"/>
        <v>7.1879999538204404E-4</v>
      </c>
      <c r="H193">
        <f t="shared" si="62"/>
        <v>0.30629556830087096</v>
      </c>
      <c r="I193">
        <f t="shared" si="63"/>
        <v>3.4458251433847981E-2</v>
      </c>
      <c r="J193">
        <f t="shared" si="64"/>
        <v>0.15314778415043548</v>
      </c>
      <c r="K193">
        <f t="shared" si="65"/>
        <v>4.8518999688287974E-3</v>
      </c>
      <c r="L193">
        <v>192</v>
      </c>
      <c r="M193">
        <f t="shared" si="81"/>
        <v>0.1</v>
      </c>
      <c r="N193">
        <f t="shared" si="66"/>
        <v>2.2320731503560696</v>
      </c>
      <c r="O193">
        <f t="shared" si="67"/>
        <v>1.4935190155287197E-2</v>
      </c>
      <c r="P193">
        <f t="shared" si="68"/>
        <v>2.0306366428087204</v>
      </c>
      <c r="Q193">
        <f t="shared" si="69"/>
        <v>0.22844662231598106</v>
      </c>
      <c r="R193">
        <f t="shared" si="70"/>
        <v>1.0153183214043602</v>
      </c>
      <c r="S193">
        <f t="shared" si="71"/>
        <v>0.10081253354818857</v>
      </c>
      <c r="T193">
        <f t="shared" si="72"/>
        <v>0.15</v>
      </c>
      <c r="U193">
        <f t="shared" si="82"/>
        <v>3.3446632383891317</v>
      </c>
      <c r="V193">
        <f t="shared" si="73"/>
        <v>0.54204886896472271</v>
      </c>
      <c r="W193">
        <f t="shared" si="74"/>
        <v>0.27430396748787894</v>
      </c>
      <c r="X193">
        <f t="shared" si="75"/>
        <v>3.1638191398348074</v>
      </c>
      <c r="Y193">
        <f t="shared" si="76"/>
        <v>0.35592965323141579</v>
      </c>
      <c r="Z193">
        <f t="shared" si="77"/>
        <v>1.5819095699174037</v>
      </c>
      <c r="AA193">
        <f t="shared" si="78"/>
        <v>1.8515517805431827</v>
      </c>
      <c r="AB193">
        <f t="shared" si="79"/>
        <v>1E-4</v>
      </c>
      <c r="AC193">
        <f t="shared" si="83"/>
        <v>1.6017806791022069</v>
      </c>
      <c r="AD193">
        <f t="shared" si="84"/>
        <v>1.064029039343982</v>
      </c>
      <c r="AE193">
        <f t="shared" si="85"/>
        <v>10.493090590196772</v>
      </c>
      <c r="AF193">
        <f t="shared" si="86"/>
        <v>1.1804726913971368</v>
      </c>
      <c r="AG193">
        <f t="shared" si="87"/>
        <v>5.246545295098386</v>
      </c>
      <c r="AH193">
        <f t="shared" si="88"/>
        <v>7.1821960155718791</v>
      </c>
      <c r="AI193">
        <f t="shared" si="89"/>
        <v>0.01</v>
      </c>
    </row>
    <row r="194" spans="5:35" x14ac:dyDescent="0.25">
      <c r="E194">
        <f t="shared" si="80"/>
        <v>276.99424671480352</v>
      </c>
      <c r="F194">
        <f t="shared" si="60"/>
        <v>0.8386135851192027</v>
      </c>
      <c r="G194">
        <f t="shared" si="61"/>
        <v>6.7753744977499218E-4</v>
      </c>
      <c r="H194">
        <f t="shared" si="62"/>
        <v>0.29734363594544083</v>
      </c>
      <c r="I194">
        <f t="shared" si="63"/>
        <v>3.3451159043862096E-2</v>
      </c>
      <c r="J194">
        <f t="shared" si="64"/>
        <v>0.14867181797272042</v>
      </c>
      <c r="K194">
        <f t="shared" si="65"/>
        <v>4.5733777859811968E-3</v>
      </c>
      <c r="L194">
        <v>193</v>
      </c>
      <c r="M194">
        <f t="shared" si="81"/>
        <v>0.1</v>
      </c>
      <c r="N194">
        <f t="shared" si="66"/>
        <v>2.2168285275993704</v>
      </c>
      <c r="O194">
        <f t="shared" si="67"/>
        <v>1.4077748563915004E-2</v>
      </c>
      <c r="P194">
        <f t="shared" si="68"/>
        <v>1.9708443022968942</v>
      </c>
      <c r="Q194">
        <f t="shared" si="69"/>
        <v>0.22171998400840059</v>
      </c>
      <c r="R194">
        <f t="shared" si="70"/>
        <v>0.98542215114844711</v>
      </c>
      <c r="S194">
        <f t="shared" si="71"/>
        <v>9.5024802806426265E-2</v>
      </c>
      <c r="T194">
        <f t="shared" si="72"/>
        <v>0.15</v>
      </c>
      <c r="U194">
        <f t="shared" si="82"/>
        <v>3.3781098707730233</v>
      </c>
      <c r="V194">
        <f t="shared" si="73"/>
        <v>0.53917170494786293</v>
      </c>
      <c r="W194">
        <f t="shared" si="74"/>
        <v>0.26877803642870385</v>
      </c>
      <c r="X194">
        <f t="shared" si="75"/>
        <v>3.1270522683634434</v>
      </c>
      <c r="Y194">
        <f t="shared" si="76"/>
        <v>0.35179338019088741</v>
      </c>
      <c r="Z194">
        <f t="shared" si="77"/>
        <v>1.5635261341817217</v>
      </c>
      <c r="AA194">
        <f t="shared" si="78"/>
        <v>1.8142517458937513</v>
      </c>
      <c r="AB194">
        <f t="shared" si="79"/>
        <v>1E-4</v>
      </c>
      <c r="AC194">
        <f t="shared" si="83"/>
        <v>1.5923985468412021</v>
      </c>
      <c r="AD194">
        <f t="shared" si="84"/>
        <v>1.0423805228582192</v>
      </c>
      <c r="AE194">
        <f t="shared" si="85"/>
        <v>10.36676061770957</v>
      </c>
      <c r="AF194">
        <f t="shared" si="86"/>
        <v>1.1662605694923265</v>
      </c>
      <c r="AG194">
        <f t="shared" si="87"/>
        <v>5.183380308854785</v>
      </c>
      <c r="AH194">
        <f t="shared" si="88"/>
        <v>7.0360685292929803</v>
      </c>
      <c r="AI194">
        <f t="shared" si="89"/>
        <v>0.01</v>
      </c>
    </row>
    <row r="195" spans="5:35" x14ac:dyDescent="0.25">
      <c r="E195">
        <f t="shared" si="80"/>
        <v>285.30407411624765</v>
      </c>
      <c r="F195">
        <f t="shared" ref="F195:F242" si="90">((0.14)/(($E195/$B$5)^0.02-1))*$B$4</f>
        <v>0.83401719886661185</v>
      </c>
      <c r="G195">
        <f t="shared" ref="G195:G242" si="91">((80)/(($E195/$B$5)^2-1))*$B$4</f>
        <v>6.3864359720958608E-4</v>
      </c>
      <c r="H195">
        <f t="shared" ref="H195:H242" si="92">((120)/(($E195/$B$5)-1))*$B$4</f>
        <v>0.28865420780447343</v>
      </c>
      <c r="I195">
        <f t="shared" ref="I195:I242" si="93">((13.5)/(($E195/$B$5)-1))*$B$4</f>
        <v>3.247359837800326E-2</v>
      </c>
      <c r="J195">
        <f t="shared" ref="J195:J242" si="94">((60)/(($E195/$B$5)-1))*$B$4</f>
        <v>0.14432710390223671</v>
      </c>
      <c r="K195">
        <f t="shared" ref="K195:K242" si="95">((540)/(($E195/$B$5)^2-1))*$B$4</f>
        <v>4.3108442811647055E-3</v>
      </c>
      <c r="L195">
        <v>194</v>
      </c>
      <c r="M195">
        <f t="shared" si="81"/>
        <v>0.1</v>
      </c>
      <c r="N195">
        <f t="shared" ref="N195:N242" si="96">((0.14)/(($E195/$B$28)^0.02-1))*$B$27</f>
        <v>2.2017818956044422</v>
      </c>
      <c r="O195">
        <f t="shared" ref="O195:O242" si="97">((80)/(($E195/$B$28)^2-1))*$B$27</f>
        <v>1.3269538844622546E-2</v>
      </c>
      <c r="P195">
        <f t="shared" ref="P195:P242" si="98">((120)/(($E195/$B$28)-1))*$B$27</f>
        <v>1.9128310552742427</v>
      </c>
      <c r="Q195">
        <f t="shared" ref="Q195:Q242" si="99">((13.5)/(($E195/$B$28)-1))*$B$27</f>
        <v>0.21519349371835228</v>
      </c>
      <c r="R195">
        <f t="shared" ref="R195:R242" si="100">((60)/(($E195/$B$28)-1))*$B$27</f>
        <v>0.95641552763712134</v>
      </c>
      <c r="S195">
        <f t="shared" ref="S195:S242" si="101">((540)/(($E195/$B$28)^2-1))*$B$27</f>
        <v>8.9569387201202194E-2</v>
      </c>
      <c r="T195">
        <f t="shared" ref="T195:T242" si="102">IF($E195&lt;$B$31,HLOOKUP($B$29,$N$2:$S$242,$L195,FALSE),$B$30)</f>
        <v>0.15</v>
      </c>
      <c r="U195">
        <f t="shared" si="82"/>
        <v>3.4118909694807535</v>
      </c>
      <c r="V195">
        <f t="shared" ref="V195:V242" si="103">((0.14)/(($U195/$B$18)^0.02-1))*$B$17</f>
        <v>0.53632435971056613</v>
      </c>
      <c r="W195">
        <f t="shared" ref="W195:W242" si="104">((80)/(($U195/$B$18)^2-1))*$B$17</f>
        <v>0.26336581540333004</v>
      </c>
      <c r="X195">
        <f t="shared" ref="X195:X242" si="105">((120)/(($U195/$B$18)-1))*$B$17</f>
        <v>3.0907750648386654</v>
      </c>
      <c r="Y195">
        <f t="shared" ref="Y195:Y242" si="106">((13.5)/(($U195/$B$18)-1))*$B$17</f>
        <v>0.34771219479434984</v>
      </c>
      <c r="Z195">
        <f t="shared" ref="Z195:Z242" si="107">((60)/(($U195/$B$18)-1))*$B$17</f>
        <v>1.5453875324193327</v>
      </c>
      <c r="AA195">
        <f t="shared" ref="AA195:AA242" si="108">((540)/(($U195/$B$18)^2-1))*$B$17</f>
        <v>1.7777192539724775</v>
      </c>
      <c r="AB195">
        <f t="shared" ref="AB195:AB242" si="109">IF($U195&lt;$B$21,HLOOKUP($B$19,$V$2:$AA$242,$L195,FALSE),$B$20)</f>
        <v>1E-4</v>
      </c>
      <c r="AC195">
        <f t="shared" si="83"/>
        <v>1.5831238479540966</v>
      </c>
      <c r="AD195">
        <f t="shared" si="84"/>
        <v>1.0211860661854333</v>
      </c>
      <c r="AE195">
        <f t="shared" si="85"/>
        <v>10.242217892722289</v>
      </c>
      <c r="AF195">
        <f t="shared" si="86"/>
        <v>1.1522495129312575</v>
      </c>
      <c r="AG195">
        <f t="shared" si="87"/>
        <v>5.1211089463611446</v>
      </c>
      <c r="AH195">
        <f t="shared" si="88"/>
        <v>6.8930059467516749</v>
      </c>
      <c r="AI195">
        <f t="shared" si="89"/>
        <v>0.01</v>
      </c>
    </row>
    <row r="196" spans="5:35" x14ac:dyDescent="0.25">
      <c r="E196">
        <f t="shared" ref="E196:E242" si="110">E195*(1+$B$15)</f>
        <v>293.86319633973511</v>
      </c>
      <c r="F196">
        <f t="shared" si="90"/>
        <v>0.82946824916733741</v>
      </c>
      <c r="G196">
        <f t="shared" si="91"/>
        <v>6.0198245897957682E-4</v>
      </c>
      <c r="H196">
        <f t="shared" si="92"/>
        <v>0.28021953611403555</v>
      </c>
      <c r="I196">
        <f t="shared" si="93"/>
        <v>3.1524697812829003E-2</v>
      </c>
      <c r="J196">
        <f t="shared" si="94"/>
        <v>0.14010976805701778</v>
      </c>
      <c r="K196">
        <f t="shared" si="95"/>
        <v>4.0633815981121436E-3</v>
      </c>
      <c r="L196">
        <v>195</v>
      </c>
      <c r="M196">
        <f t="shared" ref="M196:M242" si="111">IF($E196&lt;$B$8,HLOOKUP($B$6,$F$2:$K$242,L196,FALSE),$B$7)</f>
        <v>0.1</v>
      </c>
      <c r="N196">
        <f t="shared" si="96"/>
        <v>2.1869294247043589</v>
      </c>
      <c r="O196">
        <f t="shared" si="97"/>
        <v>1.2507733635502824E-2</v>
      </c>
      <c r="P196">
        <f t="shared" si="98"/>
        <v>1.8565428930006918</v>
      </c>
      <c r="Q196">
        <f t="shared" si="99"/>
        <v>0.20886107546257782</v>
      </c>
      <c r="R196">
        <f t="shared" si="100"/>
        <v>0.92827144650034588</v>
      </c>
      <c r="S196">
        <f t="shared" si="101"/>
        <v>8.4427202039644059E-2</v>
      </c>
      <c r="T196">
        <f t="shared" si="102"/>
        <v>0.15</v>
      </c>
      <c r="U196">
        <f t="shared" ref="U196:U242" si="112">U195*(1+$B$23)</f>
        <v>3.4460098791755609</v>
      </c>
      <c r="V196">
        <f t="shared" si="103"/>
        <v>0.53350637213767782</v>
      </c>
      <c r="W196">
        <f t="shared" si="104"/>
        <v>0.25806486937542766</v>
      </c>
      <c r="X196">
        <f t="shared" si="105"/>
        <v>3.0549795720707644</v>
      </c>
      <c r="Y196">
        <f t="shared" si="106"/>
        <v>0.34368520185796103</v>
      </c>
      <c r="Z196">
        <f t="shared" si="107"/>
        <v>1.5274897860353822</v>
      </c>
      <c r="AA196">
        <f t="shared" si="108"/>
        <v>1.7419378682841364</v>
      </c>
      <c r="AB196">
        <f t="shared" si="109"/>
        <v>1E-4</v>
      </c>
      <c r="AC196">
        <f t="shared" ref="AC196:AC242" si="113">((0.14)/(($U196/$B$34)^0.02-1))*$B$33</f>
        <v>1.5739547478215028</v>
      </c>
      <c r="AD196">
        <f t="shared" ref="AD196:AD242" si="114">((80)/(($U196/$B$34)^2-1))*$B$33</f>
        <v>1.0004355987456319</v>
      </c>
      <c r="AE196">
        <f t="shared" ref="AE196:AE242" si="115">((120)/(($U196/$B$34)-1))*$B$33</f>
        <v>10.119430790009362</v>
      </c>
      <c r="AF196">
        <f t="shared" ref="AF196:AF242" si="116">((13.5)/(($U196/$B$34)-1))*$B$33</f>
        <v>1.1384359638760533</v>
      </c>
      <c r="AG196">
        <f t="shared" ref="AG196:AG242" si="117">((60)/(($U196/$B$34)-1))*$B$33</f>
        <v>5.0597153950046811</v>
      </c>
      <c r="AH196">
        <f t="shared" ref="AH196:AH242" si="118">((540)/(($U196/$B$34)^2-1))*$B$33</f>
        <v>6.7529402915330152</v>
      </c>
      <c r="AI196">
        <f t="shared" ref="AI196:AI242" si="119">IF($U196&lt;$B$37,HLOOKUP($B$35,$AC$2:$AH$242,$L196,FALSE),$B$36)</f>
        <v>0.01</v>
      </c>
    </row>
    <row r="197" spans="5:35" x14ac:dyDescent="0.25">
      <c r="E197">
        <f t="shared" si="110"/>
        <v>302.67909222992716</v>
      </c>
      <c r="F197">
        <f t="shared" si="90"/>
        <v>0.824966006227563</v>
      </c>
      <c r="G197">
        <f t="shared" si="91"/>
        <v>5.6742586278579451E-4</v>
      </c>
      <c r="H197">
        <f t="shared" si="92"/>
        <v>0.27203210467173788</v>
      </c>
      <c r="I197">
        <f t="shared" si="93"/>
        <v>3.060361177557051E-2</v>
      </c>
      <c r="J197">
        <f t="shared" si="94"/>
        <v>0.13601605233586894</v>
      </c>
      <c r="K197">
        <f t="shared" si="95"/>
        <v>3.8301245738041126E-3</v>
      </c>
      <c r="L197">
        <v>196</v>
      </c>
      <c r="M197">
        <f t="shared" si="111"/>
        <v>0.1</v>
      </c>
      <c r="N197">
        <f t="shared" si="96"/>
        <v>2.1722673833673252</v>
      </c>
      <c r="O197">
        <f t="shared" si="97"/>
        <v>1.1789668016329548E-2</v>
      </c>
      <c r="P197">
        <f t="shared" si="98"/>
        <v>1.8019275084619113</v>
      </c>
      <c r="Q197">
        <f t="shared" si="99"/>
        <v>0.20271684470196502</v>
      </c>
      <c r="R197">
        <f t="shared" si="100"/>
        <v>0.90096375423095565</v>
      </c>
      <c r="S197">
        <f t="shared" si="101"/>
        <v>7.9580259110224455E-2</v>
      </c>
      <c r="T197">
        <f t="shared" si="102"/>
        <v>0.15</v>
      </c>
      <c r="U197">
        <f t="shared" si="112"/>
        <v>3.4804699779673167</v>
      </c>
      <c r="V197">
        <f t="shared" si="103"/>
        <v>0.53071729057281147</v>
      </c>
      <c r="W197">
        <f t="shared" si="104"/>
        <v>0.25287281924359467</v>
      </c>
      <c r="X197">
        <f t="shared" si="105"/>
        <v>3.0196579957292538</v>
      </c>
      <c r="Y197">
        <f t="shared" si="106"/>
        <v>0.33971152451954101</v>
      </c>
      <c r="Z197">
        <f t="shared" si="107"/>
        <v>1.5098289978646269</v>
      </c>
      <c r="AA197">
        <f t="shared" si="108"/>
        <v>1.706891529894264</v>
      </c>
      <c r="AB197">
        <f t="shared" si="109"/>
        <v>1E-4</v>
      </c>
      <c r="AC197">
        <f t="shared" si="113"/>
        <v>1.5648894533602276</v>
      </c>
      <c r="AD197">
        <f t="shared" si="114"/>
        <v>0.98011929530670949</v>
      </c>
      <c r="AE197">
        <f t="shared" si="115"/>
        <v>9.9983683983137777</v>
      </c>
      <c r="AF197">
        <f t="shared" si="116"/>
        <v>1.1248164448103</v>
      </c>
      <c r="AG197">
        <f t="shared" si="117"/>
        <v>4.9991841991568888</v>
      </c>
      <c r="AH197">
        <f t="shared" si="118"/>
        <v>6.6158052433202883</v>
      </c>
      <c r="AI197">
        <f t="shared" si="119"/>
        <v>0.01</v>
      </c>
    </row>
    <row r="198" spans="5:35" x14ac:dyDescent="0.25">
      <c r="E198">
        <f t="shared" si="110"/>
        <v>311.75946499682499</v>
      </c>
      <c r="F198">
        <f t="shared" si="90"/>
        <v>0.82050975514722302</v>
      </c>
      <c r="G198">
        <f t="shared" si="91"/>
        <v>5.3485299454138723E-4</v>
      </c>
      <c r="H198">
        <f t="shared" si="92"/>
        <v>0.26408462174997938</v>
      </c>
      <c r="I198">
        <f t="shared" si="93"/>
        <v>2.9709519946872681E-2</v>
      </c>
      <c r="J198">
        <f t="shared" si="94"/>
        <v>0.13204231087498969</v>
      </c>
      <c r="K198">
        <f t="shared" si="95"/>
        <v>3.6102577131543637E-3</v>
      </c>
      <c r="L198">
        <v>197</v>
      </c>
      <c r="M198">
        <f t="shared" si="111"/>
        <v>0.1</v>
      </c>
      <c r="N198">
        <f t="shared" si="96"/>
        <v>2.1577921350732687</v>
      </c>
      <c r="O198">
        <f t="shared" si="97"/>
        <v>1.1112830168174201E-2</v>
      </c>
      <c r="P198">
        <f t="shared" si="98"/>
        <v>1.7489342391675442</v>
      </c>
      <c r="Q198">
        <f t="shared" si="99"/>
        <v>0.19675510190634871</v>
      </c>
      <c r="R198">
        <f t="shared" si="100"/>
        <v>0.8744671195837721</v>
      </c>
      <c r="S198">
        <f t="shared" si="101"/>
        <v>7.5011603635175853E-2</v>
      </c>
      <c r="T198">
        <f t="shared" si="102"/>
        <v>0.15</v>
      </c>
      <c r="U198">
        <f t="shared" si="112"/>
        <v>3.5152746777469899</v>
      </c>
      <c r="V198">
        <f t="shared" si="103"/>
        <v>0.52795667257707057</v>
      </c>
      <c r="W198">
        <f t="shared" si="104"/>
        <v>0.24778734040682049</v>
      </c>
      <c r="X198">
        <f t="shared" si="105"/>
        <v>2.9848027002053392</v>
      </c>
      <c r="Y198">
        <f t="shared" si="106"/>
        <v>0.33579030377310065</v>
      </c>
      <c r="Z198">
        <f t="shared" si="107"/>
        <v>1.4924013501026696</v>
      </c>
      <c r="AA198">
        <f t="shared" si="108"/>
        <v>1.6725645477460382</v>
      </c>
      <c r="AB198">
        <f t="shared" si="109"/>
        <v>1E-4</v>
      </c>
      <c r="AC198">
        <f t="shared" si="113"/>
        <v>1.5559262118543442</v>
      </c>
      <c r="AD198">
        <f t="shared" si="114"/>
        <v>0.96022756913200968</v>
      </c>
      <c r="AE198">
        <f t="shared" si="115"/>
        <v>9.87900050030877</v>
      </c>
      <c r="AF198">
        <f t="shared" si="116"/>
        <v>1.1113875562847364</v>
      </c>
      <c r="AG198">
        <f t="shared" si="117"/>
        <v>4.939500250154385</v>
      </c>
      <c r="AH198">
        <f t="shared" si="118"/>
        <v>6.4815360916410656</v>
      </c>
      <c r="AI198">
        <f t="shared" si="119"/>
        <v>0.01</v>
      </c>
    </row>
    <row r="199" spans="5:35" x14ac:dyDescent="0.25">
      <c r="E199">
        <f t="shared" si="110"/>
        <v>321.11224894672972</v>
      </c>
      <c r="F199">
        <f t="shared" si="90"/>
        <v>0.81609879554198028</v>
      </c>
      <c r="G199">
        <f t="shared" si="91"/>
        <v>5.0414997591364597E-4</v>
      </c>
      <c r="H199">
        <f t="shared" si="92"/>
        <v>0.25637001323556075</v>
      </c>
      <c r="I199">
        <f t="shared" si="93"/>
        <v>2.8841626489000585E-2</v>
      </c>
      <c r="J199">
        <f t="shared" si="94"/>
        <v>0.12818500661778037</v>
      </c>
      <c r="K199">
        <f t="shared" si="95"/>
        <v>3.4030123374171107E-3</v>
      </c>
      <c r="L199">
        <v>198</v>
      </c>
      <c r="M199">
        <f t="shared" si="111"/>
        <v>0.1</v>
      </c>
      <c r="N199">
        <f t="shared" si="96"/>
        <v>2.1435001353090444</v>
      </c>
      <c r="O199">
        <f t="shared" si="97"/>
        <v>1.0474852570935939E-2</v>
      </c>
      <c r="P199">
        <f t="shared" si="98"/>
        <v>1.6975140120757406</v>
      </c>
      <c r="Q199">
        <f t="shared" si="99"/>
        <v>0.19097032635852085</v>
      </c>
      <c r="R199">
        <f t="shared" si="100"/>
        <v>0.8487570060378703</v>
      </c>
      <c r="S199">
        <f t="shared" si="101"/>
        <v>7.0705254853817595E-2</v>
      </c>
      <c r="T199">
        <f t="shared" si="102"/>
        <v>0.15</v>
      </c>
      <c r="U199">
        <f t="shared" si="112"/>
        <v>3.5504274245244596</v>
      </c>
      <c r="V199">
        <f t="shared" si="103"/>
        <v>0.52522408469508131</v>
      </c>
      <c r="W199">
        <f t="shared" si="104"/>
        <v>0.24280616137252331</v>
      </c>
      <c r="X199">
        <f t="shared" si="105"/>
        <v>2.9504062046003399</v>
      </c>
      <c r="Y199">
        <f t="shared" si="106"/>
        <v>0.33192069801753815</v>
      </c>
      <c r="Z199">
        <f t="shared" si="107"/>
        <v>1.4752031023001699</v>
      </c>
      <c r="AA199">
        <f t="shared" si="108"/>
        <v>1.6389415892645323</v>
      </c>
      <c r="AB199">
        <f t="shared" si="109"/>
        <v>1E-4</v>
      </c>
      <c r="AC199">
        <f t="shared" si="113"/>
        <v>1.5470633098256044</v>
      </c>
      <c r="AD199">
        <f t="shared" si="114"/>
        <v>0.94075106535329278</v>
      </c>
      <c r="AE199">
        <f t="shared" si="115"/>
        <v>9.7612975532322732</v>
      </c>
      <c r="AF199">
        <f t="shared" si="116"/>
        <v>1.0981459747386306</v>
      </c>
      <c r="AG199">
        <f t="shared" si="117"/>
        <v>4.8806487766161366</v>
      </c>
      <c r="AH199">
        <f t="shared" si="118"/>
        <v>6.3500696911347267</v>
      </c>
      <c r="AI199">
        <f t="shared" si="119"/>
        <v>0.01</v>
      </c>
    </row>
    <row r="200" spans="5:35" x14ac:dyDescent="0.25">
      <c r="E200">
        <f t="shared" si="110"/>
        <v>330.74561641513162</v>
      </c>
      <c r="F200">
        <f t="shared" si="90"/>
        <v>0.8117324411766782</v>
      </c>
      <c r="G200">
        <f t="shared" si="91"/>
        <v>4.7520946612409151E-4</v>
      </c>
      <c r="H200">
        <f t="shared" si="92"/>
        <v>0.24888141598789917</v>
      </c>
      <c r="I200">
        <f t="shared" si="93"/>
        <v>2.7999159298638658E-2</v>
      </c>
      <c r="J200">
        <f t="shared" si="94"/>
        <v>0.12444070799394959</v>
      </c>
      <c r="K200">
        <f t="shared" si="95"/>
        <v>3.2076638963376173E-3</v>
      </c>
      <c r="L200">
        <v>199</v>
      </c>
      <c r="M200">
        <f t="shared" si="111"/>
        <v>0.1</v>
      </c>
      <c r="N200">
        <f t="shared" si="96"/>
        <v>2.129387928676858</v>
      </c>
      <c r="O200">
        <f t="shared" si="97"/>
        <v>9.8735037077122001E-3</v>
      </c>
      <c r="P200">
        <f t="shared" si="98"/>
        <v>1.6476192905537481</v>
      </c>
      <c r="Q200">
        <f t="shared" si="99"/>
        <v>0.18535717018729664</v>
      </c>
      <c r="R200">
        <f t="shared" si="100"/>
        <v>0.82380964527687406</v>
      </c>
      <c r="S200">
        <f t="shared" si="101"/>
        <v>6.6646150027057344E-2</v>
      </c>
      <c r="T200">
        <f t="shared" si="102"/>
        <v>0.15</v>
      </c>
      <c r="U200">
        <f t="shared" si="112"/>
        <v>3.5859316987697043</v>
      </c>
      <c r="V200">
        <f t="shared" si="103"/>
        <v>0.52251910222813969</v>
      </c>
      <c r="W200">
        <f t="shared" si="104"/>
        <v>0.2379270624056809</v>
      </c>
      <c r="X200">
        <f t="shared" si="105"/>
        <v>2.9164611788355881</v>
      </c>
      <c r="Y200">
        <f t="shared" si="106"/>
        <v>0.32810188261900364</v>
      </c>
      <c r="Z200">
        <f t="shared" si="107"/>
        <v>1.458230589417794</v>
      </c>
      <c r="AA200">
        <f t="shared" si="108"/>
        <v>1.6060076712383462</v>
      </c>
      <c r="AB200">
        <f t="shared" si="109"/>
        <v>1E-4</v>
      </c>
      <c r="AC200">
        <f t="shared" si="113"/>
        <v>1.5382990719415619</v>
      </c>
      <c r="AD200">
        <f t="shared" si="114"/>
        <v>0.92168065456039039</v>
      </c>
      <c r="AE200">
        <f t="shared" si="115"/>
        <v>9.6452306701678694</v>
      </c>
      <c r="AF200">
        <f t="shared" si="116"/>
        <v>1.0850884503938854</v>
      </c>
      <c r="AG200">
        <f t="shared" si="117"/>
        <v>4.8226153350839347</v>
      </c>
      <c r="AH200">
        <f t="shared" si="118"/>
        <v>6.2213444182826345</v>
      </c>
      <c r="AI200">
        <f t="shared" si="119"/>
        <v>0.01</v>
      </c>
    </row>
    <row r="201" spans="5:35" x14ac:dyDescent="0.25">
      <c r="E201">
        <f t="shared" si="110"/>
        <v>340.66798490758561</v>
      </c>
      <c r="F201">
        <f t="shared" si="90"/>
        <v>0.80741001960982506</v>
      </c>
      <c r="G201">
        <f t="shared" si="91"/>
        <v>4.4793028661347354E-4</v>
      </c>
      <c r="H201">
        <f t="shared" si="92"/>
        <v>0.24161217140837696</v>
      </c>
      <c r="I201">
        <f t="shared" si="93"/>
        <v>2.7181369283442409E-2</v>
      </c>
      <c r="J201">
        <f t="shared" si="94"/>
        <v>0.12080608570418848</v>
      </c>
      <c r="K201">
        <f t="shared" si="95"/>
        <v>3.0235294346409461E-3</v>
      </c>
      <c r="L201">
        <v>200</v>
      </c>
      <c r="M201">
        <f t="shared" si="111"/>
        <v>0.1</v>
      </c>
      <c r="N201">
        <f t="shared" si="96"/>
        <v>2.1154521461111635</v>
      </c>
      <c r="O201">
        <f t="shared" si="97"/>
        <v>9.306680246743023E-3</v>
      </c>
      <c r="P201">
        <f t="shared" si="98"/>
        <v>1.5992040232887033</v>
      </c>
      <c r="Q201">
        <f t="shared" si="99"/>
        <v>0.17991045261997912</v>
      </c>
      <c r="R201">
        <f t="shared" si="100"/>
        <v>0.79960201164435163</v>
      </c>
      <c r="S201">
        <f t="shared" si="101"/>
        <v>6.2820091665515415E-2</v>
      </c>
      <c r="T201">
        <f t="shared" si="102"/>
        <v>0.15</v>
      </c>
      <c r="U201">
        <f t="shared" si="112"/>
        <v>3.6217910157574016</v>
      </c>
      <c r="V201">
        <f t="shared" si="103"/>
        <v>0.51984130901420855</v>
      </c>
      <c r="W201">
        <f t="shared" si="104"/>
        <v>0.23314787421763505</v>
      </c>
      <c r="X201">
        <f t="shared" si="105"/>
        <v>2.8829604398795547</v>
      </c>
      <c r="Y201">
        <f t="shared" si="106"/>
        <v>0.32433304948644986</v>
      </c>
      <c r="Z201">
        <f t="shared" si="107"/>
        <v>1.4414802199397774</v>
      </c>
      <c r="AA201">
        <f t="shared" si="108"/>
        <v>1.5737481509690365</v>
      </c>
      <c r="AB201">
        <f t="shared" si="109"/>
        <v>1E-4</v>
      </c>
      <c r="AC201">
        <f t="shared" si="113"/>
        <v>1.5296318599598797</v>
      </c>
      <c r="AD201">
        <f t="shared" si="114"/>
        <v>0.90300742659924493</v>
      </c>
      <c r="AE201">
        <f t="shared" si="115"/>
        <v>9.5307716019472579</v>
      </c>
      <c r="AF201">
        <f t="shared" si="116"/>
        <v>1.0722118052190666</v>
      </c>
      <c r="AG201">
        <f t="shared" si="117"/>
        <v>4.765385800973629</v>
      </c>
      <c r="AH201">
        <f t="shared" si="118"/>
        <v>6.0953001295449027</v>
      </c>
      <c r="AI201">
        <f t="shared" si="119"/>
        <v>0.01</v>
      </c>
    </row>
    <row r="202" spans="5:35" x14ac:dyDescent="0.25">
      <c r="E202">
        <f t="shared" si="110"/>
        <v>350.88802445481321</v>
      </c>
      <c r="F202">
        <f t="shared" si="90"/>
        <v>0.80313087184875631</v>
      </c>
      <c r="G202">
        <f t="shared" si="91"/>
        <v>4.2221706725840605E-4</v>
      </c>
      <c r="H202">
        <f t="shared" si="92"/>
        <v>0.23455581921363569</v>
      </c>
      <c r="I202">
        <f t="shared" si="93"/>
        <v>2.6387529661534015E-2</v>
      </c>
      <c r="J202">
        <f t="shared" si="94"/>
        <v>0.11727790960681785</v>
      </c>
      <c r="K202">
        <f t="shared" si="95"/>
        <v>2.8499652039942411E-3</v>
      </c>
      <c r="L202">
        <v>201</v>
      </c>
      <c r="M202">
        <f t="shared" si="111"/>
        <v>0.1</v>
      </c>
      <c r="N202">
        <f t="shared" si="96"/>
        <v>2.1016895021991147</v>
      </c>
      <c r="O202">
        <f t="shared" si="97"/>
        <v>8.7723996733615351E-3</v>
      </c>
      <c r="P202">
        <f t="shared" si="98"/>
        <v>1.5522235950669812</v>
      </c>
      <c r="Q202">
        <f t="shared" si="99"/>
        <v>0.17462515444503537</v>
      </c>
      <c r="R202">
        <f t="shared" si="100"/>
        <v>0.77611179753349058</v>
      </c>
      <c r="S202">
        <f t="shared" si="101"/>
        <v>5.9213697795190361E-2</v>
      </c>
      <c r="T202">
        <f t="shared" si="102"/>
        <v>0.15</v>
      </c>
      <c r="U202">
        <f t="shared" si="112"/>
        <v>3.6580089259149755</v>
      </c>
      <c r="V202">
        <f t="shared" si="103"/>
        <v>0.51719029721448662</v>
      </c>
      <c r="W202">
        <f t="shared" si="104"/>
        <v>0.22846647669320516</v>
      </c>
      <c r="X202">
        <f t="shared" si="105"/>
        <v>2.8498969480880789</v>
      </c>
      <c r="Y202">
        <f t="shared" si="106"/>
        <v>0.32061340665990884</v>
      </c>
      <c r="Z202">
        <f t="shared" si="107"/>
        <v>1.4249484740440395</v>
      </c>
      <c r="AA202">
        <f t="shared" si="108"/>
        <v>1.5421487176791349</v>
      </c>
      <c r="AB202">
        <f t="shared" si="109"/>
        <v>1E-4</v>
      </c>
      <c r="AC202">
        <f t="shared" si="113"/>
        <v>1.5210600717076144</v>
      </c>
      <c r="AD202">
        <f t="shared" si="114"/>
        <v>0.88472268457036718</v>
      </c>
      <c r="AE202">
        <f t="shared" si="115"/>
        <v>9.417892719650208</v>
      </c>
      <c r="AF202">
        <f t="shared" si="116"/>
        <v>1.0595129309606484</v>
      </c>
      <c r="AG202">
        <f t="shared" si="117"/>
        <v>4.708946359825104</v>
      </c>
      <c r="AH202">
        <f t="shared" si="118"/>
        <v>5.9718781208499783</v>
      </c>
      <c r="AI202">
        <f t="shared" si="119"/>
        <v>0.01</v>
      </c>
    </row>
    <row r="203" spans="5:35" x14ac:dyDescent="0.25">
      <c r="E203">
        <f t="shared" si="110"/>
        <v>361.4146651884576</v>
      </c>
      <c r="F203">
        <f t="shared" si="90"/>
        <v>0.79889435201508519</v>
      </c>
      <c r="G203">
        <f t="shared" si="91"/>
        <v>3.979799129018301E-4</v>
      </c>
      <c r="H203">
        <f t="shared" si="92"/>
        <v>0.22770609140589979</v>
      </c>
      <c r="I203">
        <f t="shared" si="93"/>
        <v>2.5616935283163726E-2</v>
      </c>
      <c r="J203">
        <f t="shared" si="94"/>
        <v>0.11385304570294989</v>
      </c>
      <c r="K203">
        <f t="shared" si="95"/>
        <v>2.6863644120873535E-3</v>
      </c>
      <c r="L203">
        <v>202</v>
      </c>
      <c r="M203">
        <f t="shared" si="111"/>
        <v>0.1</v>
      </c>
      <c r="N203">
        <f t="shared" si="96"/>
        <v>2.0880967926002927</v>
      </c>
      <c r="O203">
        <f t="shared" si="97"/>
        <v>8.268793345982477E-3</v>
      </c>
      <c r="P203">
        <f t="shared" si="98"/>
        <v>1.5066347793443753</v>
      </c>
      <c r="Q203">
        <f t="shared" si="99"/>
        <v>0.16949641267624221</v>
      </c>
      <c r="R203">
        <f t="shared" si="100"/>
        <v>0.75331738967218764</v>
      </c>
      <c r="S203">
        <f t="shared" si="101"/>
        <v>5.5814355085381719E-2</v>
      </c>
      <c r="T203">
        <f t="shared" si="102"/>
        <v>0.15</v>
      </c>
      <c r="U203">
        <f t="shared" si="112"/>
        <v>3.6945890151741252</v>
      </c>
      <c r="V203">
        <f t="shared" si="103"/>
        <v>0.51456566710636875</v>
      </c>
      <c r="W203">
        <f t="shared" si="104"/>
        <v>0.22388079765480257</v>
      </c>
      <c r="X203">
        <f t="shared" si="105"/>
        <v>2.8172638036537676</v>
      </c>
      <c r="Y203">
        <f t="shared" si="106"/>
        <v>0.31694217791104889</v>
      </c>
      <c r="Z203">
        <f t="shared" si="107"/>
        <v>1.4086319018268838</v>
      </c>
      <c r="AA203">
        <f t="shared" si="108"/>
        <v>1.5111953841699173</v>
      </c>
      <c r="AB203">
        <f t="shared" si="109"/>
        <v>1E-4</v>
      </c>
      <c r="AC203">
        <f t="shared" si="113"/>
        <v>1.5125821400939516</v>
      </c>
      <c r="AD203">
        <f t="shared" si="114"/>
        <v>0.86681793902011683</v>
      </c>
      <c r="AE203">
        <f t="shared" si="115"/>
        <v>9.3065669976791696</v>
      </c>
      <c r="AF203">
        <f t="shared" si="116"/>
        <v>1.0469887872389065</v>
      </c>
      <c r="AG203">
        <f t="shared" si="117"/>
        <v>4.6532834988395848</v>
      </c>
      <c r="AH203">
        <f t="shared" si="118"/>
        <v>5.8510210883857887</v>
      </c>
      <c r="AI203">
        <f t="shared" si="119"/>
        <v>0.01</v>
      </c>
    </row>
    <row r="204" spans="5:35" x14ac:dyDescent="0.25">
      <c r="E204">
        <f t="shared" si="110"/>
        <v>372.25710514411134</v>
      </c>
      <c r="F204">
        <f t="shared" si="90"/>
        <v>0.79469982702009456</v>
      </c>
      <c r="G204">
        <f t="shared" si="91"/>
        <v>3.7513408903062587E-4</v>
      </c>
      <c r="H204">
        <f t="shared" si="92"/>
        <v>0.22105690643367354</v>
      </c>
      <c r="I204">
        <f t="shared" si="93"/>
        <v>2.4868901973788275E-2</v>
      </c>
      <c r="J204">
        <f t="shared" si="94"/>
        <v>0.11052845321683677</v>
      </c>
      <c r="K204">
        <f t="shared" si="95"/>
        <v>2.5321551009567247E-3</v>
      </c>
      <c r="L204">
        <v>203</v>
      </c>
      <c r="M204">
        <f t="shared" si="111"/>
        <v>0.1</v>
      </c>
      <c r="N204">
        <f t="shared" si="96"/>
        <v>2.0746708915612722</v>
      </c>
      <c r="O204">
        <f t="shared" si="97"/>
        <v>7.794099951666562E-3</v>
      </c>
      <c r="P204">
        <f t="shared" si="98"/>
        <v>1.4623956925331258</v>
      </c>
      <c r="Q204">
        <f t="shared" si="99"/>
        <v>0.16451951540997667</v>
      </c>
      <c r="R204">
        <f t="shared" si="100"/>
        <v>0.73119784626656292</v>
      </c>
      <c r="S204">
        <f t="shared" si="101"/>
        <v>5.2610174673749295E-2</v>
      </c>
      <c r="T204">
        <f t="shared" si="102"/>
        <v>0.15</v>
      </c>
      <c r="U204">
        <f t="shared" si="112"/>
        <v>3.7315349053258666</v>
      </c>
      <c r="V204">
        <f t="shared" si="103"/>
        <v>0.51196702688254703</v>
      </c>
      <c r="W204">
        <f t="shared" si="104"/>
        <v>0.21938881166228685</v>
      </c>
      <c r="X204">
        <f t="shared" si="105"/>
        <v>2.7850542431607881</v>
      </c>
      <c r="Y204">
        <f t="shared" si="106"/>
        <v>0.31331860235558867</v>
      </c>
      <c r="Z204">
        <f t="shared" si="107"/>
        <v>1.392527121580394</v>
      </c>
      <c r="AA204">
        <f t="shared" si="108"/>
        <v>1.480874478720436</v>
      </c>
      <c r="AB204">
        <f t="shared" si="109"/>
        <v>1E-4</v>
      </c>
      <c r="AC204">
        <f t="shared" si="113"/>
        <v>1.5041965321551916</v>
      </c>
      <c r="AD204">
        <f t="shared" si="114"/>
        <v>0.84928490231752751</v>
      </c>
      <c r="AE204">
        <f t="shared" si="115"/>
        <v>9.1967679973865977</v>
      </c>
      <c r="AF204">
        <f t="shared" si="116"/>
        <v>1.0346363997059924</v>
      </c>
      <c r="AG204">
        <f t="shared" si="117"/>
        <v>4.5983839986932988</v>
      </c>
      <c r="AH204">
        <f t="shared" si="118"/>
        <v>5.7326730906433099</v>
      </c>
      <c r="AI204">
        <f t="shared" si="119"/>
        <v>0.01</v>
      </c>
    </row>
    <row r="205" spans="5:35" x14ac:dyDescent="0.25">
      <c r="E205">
        <f t="shared" si="110"/>
        <v>383.42481829843467</v>
      </c>
      <c r="F205">
        <f t="shared" si="90"/>
        <v>0.79054667624971442</v>
      </c>
      <c r="G205">
        <f t="shared" si="91"/>
        <v>3.535997255007347E-4</v>
      </c>
      <c r="H205">
        <f t="shared" si="92"/>
        <v>0.21460236353640205</v>
      </c>
      <c r="I205">
        <f t="shared" si="93"/>
        <v>2.4142765897845229E-2</v>
      </c>
      <c r="J205">
        <f t="shared" si="94"/>
        <v>0.10730118176820103</v>
      </c>
      <c r="K205">
        <f t="shared" si="95"/>
        <v>2.3867981471299596E-3</v>
      </c>
      <c r="L205">
        <v>204</v>
      </c>
      <c r="M205">
        <f t="shared" si="111"/>
        <v>0.1</v>
      </c>
      <c r="N205">
        <f t="shared" si="96"/>
        <v>2.0614087495211311</v>
      </c>
      <c r="O205">
        <f t="shared" si="97"/>
        <v>7.3466593382161237E-3</v>
      </c>
      <c r="P205">
        <f t="shared" si="98"/>
        <v>1.419465749935332</v>
      </c>
      <c r="Q205">
        <f t="shared" si="99"/>
        <v>0.15968989686772483</v>
      </c>
      <c r="R205">
        <f t="shared" si="100"/>
        <v>0.70973287496766602</v>
      </c>
      <c r="S205">
        <f t="shared" si="101"/>
        <v>4.9589950532958824E-2</v>
      </c>
      <c r="T205">
        <f t="shared" si="102"/>
        <v>0.15</v>
      </c>
      <c r="U205">
        <f t="shared" si="112"/>
        <v>3.7688502543791254</v>
      </c>
      <c r="V205">
        <f t="shared" si="103"/>
        <v>0.50939399245605543</v>
      </c>
      <c r="W205">
        <f t="shared" si="104"/>
        <v>0.21498853884735658</v>
      </c>
      <c r="X205">
        <f t="shared" si="105"/>
        <v>2.7532616362414042</v>
      </c>
      <c r="Y205">
        <f t="shared" si="106"/>
        <v>0.30974193407715794</v>
      </c>
      <c r="Z205">
        <f t="shared" si="107"/>
        <v>1.3766308181207021</v>
      </c>
      <c r="AA205">
        <f t="shared" si="108"/>
        <v>1.4511726372196569</v>
      </c>
      <c r="AB205">
        <f t="shared" si="109"/>
        <v>1E-4</v>
      </c>
      <c r="AC205">
        <f t="shared" si="113"/>
        <v>1.4959017481308088</v>
      </c>
      <c r="AD205">
        <f t="shared" si="114"/>
        <v>0.83211548320972506</v>
      </c>
      <c r="AE205">
        <f t="shared" si="115"/>
        <v>9.0884698512340414</v>
      </c>
      <c r="AF205">
        <f t="shared" si="116"/>
        <v>1.0224528582638297</v>
      </c>
      <c r="AG205">
        <f t="shared" si="117"/>
        <v>4.5442349256170207</v>
      </c>
      <c r="AH205">
        <f t="shared" si="118"/>
        <v>5.6167795116656443</v>
      </c>
      <c r="AI205">
        <f t="shared" si="119"/>
        <v>0.01</v>
      </c>
    </row>
    <row r="206" spans="5:35" x14ac:dyDescent="0.25">
      <c r="E206">
        <f t="shared" si="110"/>
        <v>394.92756284738772</v>
      </c>
      <c r="F206">
        <f t="shared" si="90"/>
        <v>0.7864342912587805</v>
      </c>
      <c r="G206">
        <f t="shared" si="91"/>
        <v>3.3330153727332851E-4</v>
      </c>
      <c r="H206">
        <f t="shared" si="92"/>
        <v>0.20833673726692589</v>
      </c>
      <c r="I206">
        <f t="shared" si="93"/>
        <v>2.3437882942529163E-2</v>
      </c>
      <c r="J206">
        <f t="shared" si="94"/>
        <v>0.10416836863346295</v>
      </c>
      <c r="K206">
        <f t="shared" si="95"/>
        <v>2.2497853765949673E-3</v>
      </c>
      <c r="L206">
        <v>205</v>
      </c>
      <c r="M206">
        <f t="shared" si="111"/>
        <v>0.1</v>
      </c>
      <c r="N206">
        <f t="shared" si="96"/>
        <v>2.0483073908039406</v>
      </c>
      <c r="O206">
        <f t="shared" si="97"/>
        <v>6.9249067010923766E-3</v>
      </c>
      <c r="P206">
        <f t="shared" si="98"/>
        <v>1.3778056232556168</v>
      </c>
      <c r="Q206">
        <f t="shared" si="99"/>
        <v>0.15500313261625689</v>
      </c>
      <c r="R206">
        <f t="shared" si="100"/>
        <v>0.68890281162780842</v>
      </c>
      <c r="S206">
        <f t="shared" si="101"/>
        <v>4.6743120232373543E-2</v>
      </c>
      <c r="T206">
        <f t="shared" si="102"/>
        <v>0.15</v>
      </c>
      <c r="U206">
        <f t="shared" si="112"/>
        <v>3.8065387569229165</v>
      </c>
      <c r="V206">
        <f t="shared" si="103"/>
        <v>0.50684618727104891</v>
      </c>
      <c r="W206">
        <f t="shared" si="104"/>
        <v>0.21067804378131261</v>
      </c>
      <c r="X206">
        <f t="shared" si="105"/>
        <v>2.721879482330777</v>
      </c>
      <c r="Y206">
        <f t="shared" si="106"/>
        <v>0.30621144176221243</v>
      </c>
      <c r="Z206">
        <f t="shared" si="107"/>
        <v>1.3609397411653885</v>
      </c>
      <c r="AA206">
        <f t="shared" si="108"/>
        <v>1.42207679552386</v>
      </c>
      <c r="AB206">
        <f t="shared" si="109"/>
        <v>1E-4</v>
      </c>
      <c r="AC206">
        <f t="shared" si="113"/>
        <v>1.4876963205693294</v>
      </c>
      <c r="AD206">
        <f t="shared" si="114"/>
        <v>0.81530178154927513</v>
      </c>
      <c r="AE206">
        <f t="shared" si="115"/>
        <v>8.9816472474629556</v>
      </c>
      <c r="AF206">
        <f t="shared" si="116"/>
        <v>1.0104353153395824</v>
      </c>
      <c r="AG206">
        <f t="shared" si="117"/>
        <v>4.4908236237314778</v>
      </c>
      <c r="AH206">
        <f t="shared" si="118"/>
        <v>5.503287025457607</v>
      </c>
      <c r="AI206">
        <f t="shared" si="119"/>
        <v>0.01</v>
      </c>
    </row>
    <row r="207" spans="5:35" x14ac:dyDescent="0.25">
      <c r="E207">
        <f t="shared" si="110"/>
        <v>406.77538973280934</v>
      </c>
      <c r="F207">
        <f t="shared" si="90"/>
        <v>0.78236207547422032</v>
      </c>
      <c r="G207">
        <f t="shared" si="91"/>
        <v>3.1416856118511604E-4</v>
      </c>
      <c r="H207">
        <f t="shared" si="92"/>
        <v>0.20225447218578538</v>
      </c>
      <c r="I207">
        <f t="shared" si="93"/>
        <v>2.2753628120900853E-2</v>
      </c>
      <c r="J207">
        <f t="shared" si="94"/>
        <v>0.10112723609289269</v>
      </c>
      <c r="K207">
        <f t="shared" si="95"/>
        <v>2.1206377879995331E-3</v>
      </c>
      <c r="L207">
        <v>206</v>
      </c>
      <c r="M207">
        <f t="shared" si="111"/>
        <v>0.1</v>
      </c>
      <c r="N207">
        <f t="shared" si="96"/>
        <v>2.0353639113946107</v>
      </c>
      <c r="O207">
        <f t="shared" si="97"/>
        <v>6.5273671047014013E-3</v>
      </c>
      <c r="P207">
        <f t="shared" si="98"/>
        <v>1.3373771996290678</v>
      </c>
      <c r="Q207">
        <f t="shared" si="99"/>
        <v>0.15045493495827014</v>
      </c>
      <c r="R207">
        <f t="shared" si="100"/>
        <v>0.66868859981453388</v>
      </c>
      <c r="S207">
        <f t="shared" si="101"/>
        <v>4.4059727956734455E-2</v>
      </c>
      <c r="T207">
        <f t="shared" si="102"/>
        <v>0.15</v>
      </c>
      <c r="U207">
        <f t="shared" si="112"/>
        <v>3.8446041444921457</v>
      </c>
      <c r="V207">
        <f t="shared" si="103"/>
        <v>0.50432324211910595</v>
      </c>
      <c r="W207">
        <f t="shared" si="104"/>
        <v>0.20645543437507791</v>
      </c>
      <c r="X207">
        <f t="shared" si="105"/>
        <v>2.6909014075166691</v>
      </c>
      <c r="Y207">
        <f t="shared" si="106"/>
        <v>0.30272640834562525</v>
      </c>
      <c r="Z207">
        <f t="shared" si="107"/>
        <v>1.3454507037583345</v>
      </c>
      <c r="AA207">
        <f t="shared" si="108"/>
        <v>1.3935741820317757</v>
      </c>
      <c r="AB207">
        <f t="shared" si="109"/>
        <v>1E-4</v>
      </c>
      <c r="AC207">
        <f t="shared" si="113"/>
        <v>1.4795788134629502</v>
      </c>
      <c r="AD207">
        <f t="shared" si="114"/>
        <v>0.79883608318709132</v>
      </c>
      <c r="AE207">
        <f t="shared" si="115"/>
        <v>8.8762754152580481</v>
      </c>
      <c r="AF207">
        <f t="shared" si="116"/>
        <v>0.9985809842165303</v>
      </c>
      <c r="AG207">
        <f t="shared" si="117"/>
        <v>4.438137707629024</v>
      </c>
      <c r="AH207">
        <f t="shared" si="118"/>
        <v>5.3921435615128672</v>
      </c>
      <c r="AI207">
        <f t="shared" si="119"/>
        <v>0.01</v>
      </c>
    </row>
    <row r="208" spans="5:35" x14ac:dyDescent="0.25">
      <c r="E208">
        <f t="shared" si="110"/>
        <v>418.97865142479361</v>
      </c>
      <c r="F208">
        <f t="shared" si="90"/>
        <v>0.77832944390690395</v>
      </c>
      <c r="G208">
        <f t="shared" si="91"/>
        <v>2.9613390783199818E-4</v>
      </c>
      <c r="H208">
        <f t="shared" si="92"/>
        <v>0.19635017772165023</v>
      </c>
      <c r="I208">
        <f t="shared" si="93"/>
        <v>2.2089394993685649E-2</v>
      </c>
      <c r="J208">
        <f t="shared" si="94"/>
        <v>9.8175088860825113E-2</v>
      </c>
      <c r="K208">
        <f t="shared" si="95"/>
        <v>1.998903877865988E-3</v>
      </c>
      <c r="L208">
        <v>207</v>
      </c>
      <c r="M208">
        <f t="shared" si="111"/>
        <v>0.1</v>
      </c>
      <c r="N208">
        <f t="shared" si="96"/>
        <v>2.0225754767946498</v>
      </c>
      <c r="O208">
        <f t="shared" si="97"/>
        <v>6.1526503187795253E-3</v>
      </c>
      <c r="P208">
        <f t="shared" si="98"/>
        <v>1.2981435421034551</v>
      </c>
      <c r="Q208">
        <f t="shared" si="99"/>
        <v>0.14604114848663868</v>
      </c>
      <c r="R208">
        <f t="shared" si="100"/>
        <v>0.64907177105172753</v>
      </c>
      <c r="S208">
        <f t="shared" si="101"/>
        <v>4.1530389651761791E-2</v>
      </c>
      <c r="T208">
        <f t="shared" si="102"/>
        <v>0.15</v>
      </c>
      <c r="U208">
        <f t="shared" si="112"/>
        <v>3.8830501859370674</v>
      </c>
      <c r="V208">
        <f t="shared" si="103"/>
        <v>0.50182479496090704</v>
      </c>
      <c r="W208">
        <f t="shared" si="104"/>
        <v>0.2023188608104016</v>
      </c>
      <c r="X208">
        <f t="shared" si="105"/>
        <v>2.6603211614808187</v>
      </c>
      <c r="Y208">
        <f t="shared" si="106"/>
        <v>0.2992861306665921</v>
      </c>
      <c r="Z208">
        <f t="shared" si="107"/>
        <v>1.3301605807404093</v>
      </c>
      <c r="AA208">
        <f t="shared" si="108"/>
        <v>1.3656523104702107</v>
      </c>
      <c r="AB208">
        <f t="shared" si="109"/>
        <v>1E-4</v>
      </c>
      <c r="AC208">
        <f t="shared" si="113"/>
        <v>1.471547821409821</v>
      </c>
      <c r="AD208">
        <f t="shared" si="114"/>
        <v>0.78271085502480242</v>
      </c>
      <c r="AE208">
        <f t="shared" si="115"/>
        <v>8.772330110384754</v>
      </c>
      <c r="AF208">
        <f t="shared" si="116"/>
        <v>0.98688713741828471</v>
      </c>
      <c r="AG208">
        <f t="shared" si="117"/>
        <v>4.386165055192377</v>
      </c>
      <c r="AH208">
        <f t="shared" si="118"/>
        <v>5.2832982714174159</v>
      </c>
      <c r="AI208">
        <f t="shared" si="119"/>
        <v>0.01</v>
      </c>
    </row>
    <row r="209" spans="5:35" x14ac:dyDescent="0.25">
      <c r="E209">
        <f t="shared" si="110"/>
        <v>431.54801096753744</v>
      </c>
      <c r="F209">
        <f t="shared" si="90"/>
        <v>0.77433582287183644</v>
      </c>
      <c r="G209">
        <f t="shared" si="91"/>
        <v>2.7913452769818252E-4</v>
      </c>
      <c r="H209">
        <f t="shared" si="92"/>
        <v>0.19061862319235834</v>
      </c>
      <c r="I209">
        <f t="shared" si="93"/>
        <v>2.1444595109140312E-2</v>
      </c>
      <c r="J209">
        <f t="shared" si="94"/>
        <v>9.5309311596179169E-2</v>
      </c>
      <c r="K209">
        <f t="shared" si="95"/>
        <v>1.8841580619627322E-3</v>
      </c>
      <c r="L209">
        <v>208</v>
      </c>
      <c r="M209">
        <f t="shared" si="111"/>
        <v>0.1</v>
      </c>
      <c r="N209">
        <f t="shared" si="96"/>
        <v>2.0099393199543667</v>
      </c>
      <c r="O209">
        <f t="shared" si="97"/>
        <v>5.7994459517233567E-3</v>
      </c>
      <c r="P209">
        <f t="shared" si="98"/>
        <v>1.2600688515175609</v>
      </c>
      <c r="Q209">
        <f t="shared" si="99"/>
        <v>0.14175774579572561</v>
      </c>
      <c r="R209">
        <f t="shared" si="100"/>
        <v>0.63003442575878044</v>
      </c>
      <c r="S209">
        <f t="shared" si="101"/>
        <v>3.9146260174132662E-2</v>
      </c>
      <c r="T209">
        <f t="shared" si="102"/>
        <v>0.15</v>
      </c>
      <c r="U209">
        <f t="shared" si="112"/>
        <v>3.9218806877964383</v>
      </c>
      <c r="V209">
        <f t="shared" si="103"/>
        <v>0.49935049075305732</v>
      </c>
      <c r="W209">
        <f t="shared" si="104"/>
        <v>0.19826651450121469</v>
      </c>
      <c r="X209">
        <f t="shared" si="105"/>
        <v>2.6301326145289008</v>
      </c>
      <c r="Y209">
        <f t="shared" si="106"/>
        <v>0.29588991913450136</v>
      </c>
      <c r="Z209">
        <f t="shared" si="107"/>
        <v>1.3150663072644504</v>
      </c>
      <c r="AA209">
        <f t="shared" si="108"/>
        <v>1.3382989728831991</v>
      </c>
      <c r="AB209">
        <f t="shared" si="109"/>
        <v>1E-4</v>
      </c>
      <c r="AC209">
        <f t="shared" si="113"/>
        <v>1.4636019688030204</v>
      </c>
      <c r="AD209">
        <f t="shared" si="114"/>
        <v>0.76691874022073592</v>
      </c>
      <c r="AE209">
        <f t="shared" si="115"/>
        <v>8.6697876012832999</v>
      </c>
      <c r="AF209">
        <f t="shared" si="116"/>
        <v>0.97535110514437118</v>
      </c>
      <c r="AG209">
        <f t="shared" si="117"/>
        <v>4.33489380064165</v>
      </c>
      <c r="AH209">
        <f t="shared" si="118"/>
        <v>5.1767014964899678</v>
      </c>
      <c r="AI209">
        <f t="shared" si="119"/>
        <v>0.01</v>
      </c>
    </row>
    <row r="210" spans="5:35" x14ac:dyDescent="0.25">
      <c r="E210">
        <f t="shared" si="110"/>
        <v>444.49445129656357</v>
      </c>
      <c r="F210">
        <f t="shared" si="90"/>
        <v>0.77038064971642151</v>
      </c>
      <c r="G210">
        <f t="shared" si="91"/>
        <v>2.6311099071272295E-4</v>
      </c>
      <c r="H210">
        <f t="shared" si="92"/>
        <v>0.18505473298124858</v>
      </c>
      <c r="I210">
        <f t="shared" si="93"/>
        <v>2.081865746039047E-2</v>
      </c>
      <c r="J210">
        <f t="shared" si="94"/>
        <v>9.2527366490624291E-2</v>
      </c>
      <c r="K210">
        <f t="shared" si="95"/>
        <v>1.77599918731088E-3</v>
      </c>
      <c r="L210">
        <v>209</v>
      </c>
      <c r="M210">
        <f t="shared" si="111"/>
        <v>0.1</v>
      </c>
      <c r="N210">
        <f t="shared" si="96"/>
        <v>1.9974527392785475</v>
      </c>
      <c r="O210">
        <f t="shared" si="97"/>
        <v>5.4665188637592187E-3</v>
      </c>
      <c r="P210">
        <f t="shared" si="98"/>
        <v>1.2231184297201227</v>
      </c>
      <c r="Q210">
        <f t="shared" si="99"/>
        <v>0.13760082334351381</v>
      </c>
      <c r="R210">
        <f t="shared" si="100"/>
        <v>0.61155921486006137</v>
      </c>
      <c r="S210">
        <f t="shared" si="101"/>
        <v>3.6899002330374721E-2</v>
      </c>
      <c r="T210">
        <f t="shared" si="102"/>
        <v>0.15</v>
      </c>
      <c r="U210">
        <f t="shared" si="112"/>
        <v>3.9610994946744027</v>
      </c>
      <c r="V210">
        <f t="shared" si="103"/>
        <v>0.49689998127992291</v>
      </c>
      <c r="W210">
        <f t="shared" si="104"/>
        <v>0.19429662708414588</v>
      </c>
      <c r="X210">
        <f t="shared" si="105"/>
        <v>2.6003297547060717</v>
      </c>
      <c r="Y210">
        <f t="shared" si="106"/>
        <v>0.29253709740443312</v>
      </c>
      <c r="Z210">
        <f t="shared" si="107"/>
        <v>1.3001648773530359</v>
      </c>
      <c r="AA210">
        <f t="shared" si="108"/>
        <v>1.3115022328179846</v>
      </c>
      <c r="AB210">
        <f t="shared" si="109"/>
        <v>1E-4</v>
      </c>
      <c r="AC210">
        <f t="shared" si="113"/>
        <v>1.4557399090450913</v>
      </c>
      <c r="AD210">
        <f t="shared" si="114"/>
        <v>0.75145255354392315</v>
      </c>
      <c r="AE210">
        <f t="shared" si="115"/>
        <v>8.5686246556024432</v>
      </c>
      <c r="AF210">
        <f t="shared" si="116"/>
        <v>0.963970273755275</v>
      </c>
      <c r="AG210">
        <f t="shared" si="117"/>
        <v>4.2843123278012216</v>
      </c>
      <c r="AH210">
        <f t="shared" si="118"/>
        <v>5.0723047364214811</v>
      </c>
      <c r="AI210">
        <f t="shared" si="119"/>
        <v>0.01</v>
      </c>
    </row>
    <row r="211" spans="5:35" x14ac:dyDescent="0.25">
      <c r="E211">
        <f t="shared" si="110"/>
        <v>457.8292848354605</v>
      </c>
      <c r="F211">
        <f t="shared" si="90"/>
        <v>0.76646337255653252</v>
      </c>
      <c r="G211">
        <f t="shared" si="91"/>
        <v>2.4800727846244116E-4</v>
      </c>
      <c r="H211">
        <f t="shared" si="92"/>
        <v>0.17965358186366473</v>
      </c>
      <c r="I211">
        <f t="shared" si="93"/>
        <v>2.0211027959662283E-2</v>
      </c>
      <c r="J211">
        <f t="shared" si="94"/>
        <v>8.9826790931832365E-2</v>
      </c>
      <c r="K211">
        <f t="shared" si="95"/>
        <v>1.6740491296214778E-3</v>
      </c>
      <c r="L211">
        <v>210</v>
      </c>
      <c r="M211">
        <f t="shared" si="111"/>
        <v>0.1</v>
      </c>
      <c r="N211">
        <f t="shared" si="96"/>
        <v>1.9851130967023929</v>
      </c>
      <c r="O211">
        <f t="shared" si="97"/>
        <v>5.1527048438353438E-3</v>
      </c>
      <c r="P211">
        <f t="shared" si="98"/>
        <v>1.1872586440764272</v>
      </c>
      <c r="Q211">
        <f t="shared" si="99"/>
        <v>0.13356659745859806</v>
      </c>
      <c r="R211">
        <f t="shared" si="100"/>
        <v>0.59362932203821361</v>
      </c>
      <c r="S211">
        <f t="shared" si="101"/>
        <v>3.4780757695888571E-2</v>
      </c>
      <c r="T211">
        <f t="shared" si="102"/>
        <v>0.15</v>
      </c>
      <c r="U211">
        <f t="shared" si="112"/>
        <v>4.0007104896211469</v>
      </c>
      <c r="V211">
        <f t="shared" si="103"/>
        <v>0.49447292499028234</v>
      </c>
      <c r="W211">
        <f t="shared" si="104"/>
        <v>0.19040746943724277</v>
      </c>
      <c r="X211">
        <f t="shared" si="105"/>
        <v>2.5709066849952493</v>
      </c>
      <c r="Y211">
        <f t="shared" si="106"/>
        <v>0.28922700206196555</v>
      </c>
      <c r="Z211">
        <f t="shared" si="107"/>
        <v>1.2854533424976247</v>
      </c>
      <c r="AA211">
        <f t="shared" si="108"/>
        <v>1.2852504187013887</v>
      </c>
      <c r="AB211">
        <f t="shared" si="109"/>
        <v>1E-4</v>
      </c>
      <c r="AC211">
        <f t="shared" si="113"/>
        <v>1.4479603237873859</v>
      </c>
      <c r="AD211">
        <f t="shared" si="114"/>
        <v>0.73630527687076142</v>
      </c>
      <c r="AE211">
        <f t="shared" si="115"/>
        <v>8.4688185271567882</v>
      </c>
      <c r="AF211">
        <f t="shared" si="116"/>
        <v>0.95274208430513863</v>
      </c>
      <c r="AG211">
        <f t="shared" si="117"/>
        <v>4.2344092635783941</v>
      </c>
      <c r="AH211">
        <f t="shared" si="118"/>
        <v>4.9700606188776399</v>
      </c>
      <c r="AI211">
        <f t="shared" si="119"/>
        <v>0.01</v>
      </c>
    </row>
    <row r="212" spans="5:35" x14ac:dyDescent="0.25">
      <c r="E212">
        <f t="shared" si="110"/>
        <v>471.56416338052435</v>
      </c>
      <c r="F212">
        <f t="shared" si="90"/>
        <v>0.76258345002011407</v>
      </c>
      <c r="G212">
        <f t="shared" si="91"/>
        <v>2.337705883344762E-4</v>
      </c>
      <c r="H212">
        <f t="shared" si="92"/>
        <v>0.17441039047869156</v>
      </c>
      <c r="I212">
        <f t="shared" si="93"/>
        <v>1.9621168928852798E-2</v>
      </c>
      <c r="J212">
        <f t="shared" si="94"/>
        <v>8.7205195239345779E-2</v>
      </c>
      <c r="K212">
        <f t="shared" si="95"/>
        <v>1.5779514712577145E-3</v>
      </c>
      <c r="L212">
        <v>211</v>
      </c>
      <c r="M212">
        <f t="shared" si="111"/>
        <v>0.1</v>
      </c>
      <c r="N212">
        <f t="shared" si="96"/>
        <v>1.9729178158349858</v>
      </c>
      <c r="O212">
        <f t="shared" si="97"/>
        <v>4.8569065350512631E-3</v>
      </c>
      <c r="P212">
        <f t="shared" si="98"/>
        <v>1.1524568932120021</v>
      </c>
      <c r="Q212">
        <f t="shared" si="99"/>
        <v>0.12965140048635021</v>
      </c>
      <c r="R212">
        <f t="shared" si="100"/>
        <v>0.57622844660600103</v>
      </c>
      <c r="S212">
        <f t="shared" si="101"/>
        <v>3.2784119111596025E-2</v>
      </c>
      <c r="T212">
        <f t="shared" si="102"/>
        <v>0.15</v>
      </c>
      <c r="U212">
        <f t="shared" si="112"/>
        <v>4.0407175945173588</v>
      </c>
      <c r="V212">
        <f t="shared" si="103"/>
        <v>0.49206898683864991</v>
      </c>
      <c r="W212">
        <f t="shared" si="104"/>
        <v>0.18659735072598019</v>
      </c>
      <c r="X212">
        <f t="shared" si="105"/>
        <v>2.5418576205953545</v>
      </c>
      <c r="Y212">
        <f t="shared" si="106"/>
        <v>0.28595898231697736</v>
      </c>
      <c r="Z212">
        <f t="shared" si="107"/>
        <v>1.2709288102976772</v>
      </c>
      <c r="AA212">
        <f t="shared" si="108"/>
        <v>1.2595321174003664</v>
      </c>
      <c r="AB212">
        <f t="shared" si="109"/>
        <v>1E-4</v>
      </c>
      <c r="AC212">
        <f t="shared" si="113"/>
        <v>1.4402619221931292</v>
      </c>
      <c r="AD212">
        <f t="shared" si="114"/>
        <v>0.72147005481920168</v>
      </c>
      <c r="AE212">
        <f t="shared" si="115"/>
        <v>8.3703469432921818</v>
      </c>
      <c r="AF212">
        <f t="shared" si="116"/>
        <v>0.94166403112037023</v>
      </c>
      <c r="AG212">
        <f t="shared" si="117"/>
        <v>4.1851734716460909</v>
      </c>
      <c r="AH212">
        <f t="shared" si="118"/>
        <v>4.8699228700296109</v>
      </c>
      <c r="AI212">
        <f t="shared" si="119"/>
        <v>0.01</v>
      </c>
    </row>
    <row r="213" spans="5:35" x14ac:dyDescent="0.25">
      <c r="E213">
        <f t="shared" si="110"/>
        <v>485.71108828194008</v>
      </c>
      <c r="F213">
        <f t="shared" si="90"/>
        <v>0.75874035099809078</v>
      </c>
      <c r="G213">
        <f t="shared" si="91"/>
        <v>2.203511489034518E-4</v>
      </c>
      <c r="H213">
        <f t="shared" si="92"/>
        <v>0.16932052094136266</v>
      </c>
      <c r="I213">
        <f t="shared" si="93"/>
        <v>1.90485586059033E-2</v>
      </c>
      <c r="J213">
        <f t="shared" si="94"/>
        <v>8.4660260470681328E-2</v>
      </c>
      <c r="K213">
        <f t="shared" si="95"/>
        <v>1.4873702550982997E-3</v>
      </c>
      <c r="L213">
        <v>212</v>
      </c>
      <c r="M213">
        <f t="shared" si="111"/>
        <v>0.1</v>
      </c>
      <c r="N213">
        <f t="shared" si="96"/>
        <v>1.9608643801674543</v>
      </c>
      <c r="O213">
        <f t="shared" si="97"/>
        <v>4.5780895943156562E-3</v>
      </c>
      <c r="P213">
        <f t="shared" si="98"/>
        <v>1.118681573945115</v>
      </c>
      <c r="Q213">
        <f t="shared" si="99"/>
        <v>0.12585167706882541</v>
      </c>
      <c r="R213">
        <f t="shared" si="100"/>
        <v>0.55934078697255751</v>
      </c>
      <c r="S213">
        <f t="shared" si="101"/>
        <v>3.0902104761630675E-2</v>
      </c>
      <c r="T213">
        <f t="shared" si="102"/>
        <v>0.15</v>
      </c>
      <c r="U213">
        <f t="shared" si="112"/>
        <v>4.0811247704625329</v>
      </c>
      <c r="V213">
        <f t="shared" si="103"/>
        <v>0.48968783813111677</v>
      </c>
      <c r="W213">
        <f t="shared" si="104"/>
        <v>0.18286461747567204</v>
      </c>
      <c r="X213">
        <f t="shared" si="105"/>
        <v>2.5131768862768702</v>
      </c>
      <c r="Y213">
        <f t="shared" si="106"/>
        <v>0.28273239970614789</v>
      </c>
      <c r="Z213">
        <f t="shared" si="107"/>
        <v>1.2565884431384351</v>
      </c>
      <c r="AA213">
        <f t="shared" si="108"/>
        <v>1.234336167960786</v>
      </c>
      <c r="AB213">
        <f t="shared" si="109"/>
        <v>1E-4</v>
      </c>
      <c r="AC213">
        <f t="shared" si="113"/>
        <v>1.4326434402235473</v>
      </c>
      <c r="AD213">
        <f t="shared" si="114"/>
        <v>0.70694019051552992</v>
      </c>
      <c r="AE213">
        <f t="shared" si="115"/>
        <v>8.2731880926443733</v>
      </c>
      <c r="AF213">
        <f t="shared" si="116"/>
        <v>0.93073366042249184</v>
      </c>
      <c r="AG213">
        <f t="shared" si="117"/>
        <v>4.1365940463221866</v>
      </c>
      <c r="AH213">
        <f t="shared" si="118"/>
        <v>4.7718462859798265</v>
      </c>
      <c r="AI213">
        <f t="shared" si="119"/>
        <v>0.01</v>
      </c>
    </row>
    <row r="214" spans="5:35" x14ac:dyDescent="0.25">
      <c r="E214">
        <f t="shared" si="110"/>
        <v>500.2824209303983</v>
      </c>
      <c r="F214">
        <f t="shared" si="90"/>
        <v>0.7549335544023047</v>
      </c>
      <c r="G214">
        <f t="shared" si="91"/>
        <v>2.0770204591759602E-4</v>
      </c>
      <c r="H214">
        <f t="shared" si="92"/>
        <v>0.16437947259074748</v>
      </c>
      <c r="I214">
        <f t="shared" si="93"/>
        <v>1.8492690666459092E-2</v>
      </c>
      <c r="J214">
        <f t="shared" si="94"/>
        <v>8.2189736295373739E-2</v>
      </c>
      <c r="K214">
        <f t="shared" si="95"/>
        <v>1.4019888099437729E-3</v>
      </c>
      <c r="L214">
        <v>213</v>
      </c>
      <c r="M214">
        <f t="shared" si="111"/>
        <v>0.1</v>
      </c>
      <c r="N214">
        <f t="shared" si="96"/>
        <v>1.9489503313432577</v>
      </c>
      <c r="O214">
        <f t="shared" si="97"/>
        <v>4.3152790727500594E-3</v>
      </c>
      <c r="P214">
        <f t="shared" si="98"/>
        <v>1.0859020493619673</v>
      </c>
      <c r="Q214">
        <f t="shared" si="99"/>
        <v>0.12216398055322134</v>
      </c>
      <c r="R214">
        <f t="shared" si="100"/>
        <v>0.54295102468098366</v>
      </c>
      <c r="S214">
        <f t="shared" si="101"/>
        <v>2.9128133741062903E-2</v>
      </c>
      <c r="T214">
        <f t="shared" si="102"/>
        <v>0.15</v>
      </c>
      <c r="U214">
        <f t="shared" si="112"/>
        <v>4.1219360181671583</v>
      </c>
      <c r="V214">
        <f t="shared" si="103"/>
        <v>0.48732915637554403</v>
      </c>
      <c r="W214">
        <f t="shared" si="104"/>
        <v>0.1792076526694357</v>
      </c>
      <c r="X214">
        <f t="shared" si="105"/>
        <v>2.4848589138121642</v>
      </c>
      <c r="Y214">
        <f t="shared" si="106"/>
        <v>0.27954662780386846</v>
      </c>
      <c r="Z214">
        <f t="shared" si="107"/>
        <v>1.2424294569060821</v>
      </c>
      <c r="AA214">
        <f t="shared" si="108"/>
        <v>1.2096516555186909</v>
      </c>
      <c r="AB214">
        <f t="shared" si="109"/>
        <v>1E-4</v>
      </c>
      <c r="AC214">
        <f t="shared" si="113"/>
        <v>1.4251036399459871</v>
      </c>
      <c r="AD214">
        <f t="shared" si="114"/>
        <v>0.69270914148902629</v>
      </c>
      <c r="AE214">
        <f t="shared" si="115"/>
        <v>8.1773206132767093</v>
      </c>
      <c r="AF214">
        <f t="shared" si="116"/>
        <v>0.91994856899362976</v>
      </c>
      <c r="AG214">
        <f t="shared" si="117"/>
        <v>4.0886603066383547</v>
      </c>
      <c r="AH214">
        <f t="shared" si="118"/>
        <v>4.6757867050509274</v>
      </c>
      <c r="AI214">
        <f t="shared" si="119"/>
        <v>0.01</v>
      </c>
    </row>
    <row r="215" spans="5:35" x14ac:dyDescent="0.25">
      <c r="E215">
        <f t="shared" si="110"/>
        <v>515.29089355831024</v>
      </c>
      <c r="F215">
        <f t="shared" si="90"/>
        <v>0.75116254893029122</v>
      </c>
      <c r="G215">
        <f t="shared" si="91"/>
        <v>1.9577905827523176E-4</v>
      </c>
      <c r="H215">
        <f t="shared" si="92"/>
        <v>0.15958287786948966</v>
      </c>
      <c r="I215">
        <f t="shared" si="93"/>
        <v>1.7953073760317587E-2</v>
      </c>
      <c r="J215">
        <f t="shared" si="94"/>
        <v>7.9791438934744829E-2</v>
      </c>
      <c r="K215">
        <f t="shared" si="95"/>
        <v>1.3215086433578142E-3</v>
      </c>
      <c r="L215">
        <v>214</v>
      </c>
      <c r="M215">
        <f t="shared" si="111"/>
        <v>0.1</v>
      </c>
      <c r="N215">
        <f t="shared" si="96"/>
        <v>1.9371732674880697</v>
      </c>
      <c r="O215">
        <f t="shared" si="97"/>
        <v>4.0675560041338616E-3</v>
      </c>
      <c r="P215">
        <f t="shared" si="98"/>
        <v>1.0540886179905047</v>
      </c>
      <c r="Q215">
        <f t="shared" si="99"/>
        <v>0.11858496952393177</v>
      </c>
      <c r="R215">
        <f t="shared" si="100"/>
        <v>0.52704430899525234</v>
      </c>
      <c r="S215">
        <f t="shared" si="101"/>
        <v>2.7456003027903568E-2</v>
      </c>
      <c r="T215">
        <f t="shared" si="102"/>
        <v>0.15</v>
      </c>
      <c r="U215">
        <f t="shared" si="112"/>
        <v>4.1631553783488302</v>
      </c>
      <c r="V215">
        <f t="shared" si="103"/>
        <v>0.4849926251359819</v>
      </c>
      <c r="W215">
        <f t="shared" si="104"/>
        <v>0.17562487487089098</v>
      </c>
      <c r="X215">
        <f t="shared" si="105"/>
        <v>2.4568982394781069</v>
      </c>
      <c r="Y215">
        <f t="shared" si="106"/>
        <v>0.27640105194128706</v>
      </c>
      <c r="Z215">
        <f t="shared" si="107"/>
        <v>1.2284491197390535</v>
      </c>
      <c r="AA215">
        <f t="shared" si="108"/>
        <v>1.1854679053785142</v>
      </c>
      <c r="AB215">
        <f t="shared" si="109"/>
        <v>1E-4</v>
      </c>
      <c r="AC215">
        <f t="shared" si="113"/>
        <v>1.4176413088634421</v>
      </c>
      <c r="AD215">
        <f t="shared" si="114"/>
        <v>0.67877051568997171</v>
      </c>
      <c r="AE215">
        <f t="shared" si="115"/>
        <v>8.0827235811832452</v>
      </c>
      <c r="AF215">
        <f t="shared" si="116"/>
        <v>0.90930640288311515</v>
      </c>
      <c r="AG215">
        <f t="shared" si="117"/>
        <v>4.0413617905916226</v>
      </c>
      <c r="AH215">
        <f t="shared" si="118"/>
        <v>4.5817009809073097</v>
      </c>
      <c r="AI215">
        <f t="shared" si="119"/>
        <v>0.01</v>
      </c>
    </row>
    <row r="216" spans="5:35" x14ac:dyDescent="0.25">
      <c r="E216">
        <f t="shared" si="110"/>
        <v>530.74962036505951</v>
      </c>
      <c r="F216">
        <f t="shared" si="90"/>
        <v>0.74742683283663547</v>
      </c>
      <c r="G216">
        <f t="shared" si="91"/>
        <v>1.8454050341800893E-4</v>
      </c>
      <c r="H216">
        <f t="shared" si="92"/>
        <v>0.15492649833052469</v>
      </c>
      <c r="I216">
        <f t="shared" si="93"/>
        <v>1.7429231062184025E-2</v>
      </c>
      <c r="J216">
        <f t="shared" si="94"/>
        <v>7.7463249165262343E-2</v>
      </c>
      <c r="K216">
        <f t="shared" si="95"/>
        <v>1.2456483980715601E-3</v>
      </c>
      <c r="L216">
        <v>215</v>
      </c>
      <c r="M216">
        <f t="shared" si="111"/>
        <v>0.1</v>
      </c>
      <c r="N216">
        <f t="shared" si="96"/>
        <v>1.9255308415969203</v>
      </c>
      <c r="O216">
        <f t="shared" si="97"/>
        <v>3.8340541894189544E-3</v>
      </c>
      <c r="P216">
        <f t="shared" si="98"/>
        <v>1.0232124840307162</v>
      </c>
      <c r="Q216">
        <f t="shared" si="99"/>
        <v>0.11511140445345558</v>
      </c>
      <c r="R216">
        <f t="shared" si="100"/>
        <v>0.51160624201535809</v>
      </c>
      <c r="S216">
        <f t="shared" si="101"/>
        <v>2.587986577857794E-2</v>
      </c>
      <c r="T216">
        <f t="shared" si="102"/>
        <v>0.15</v>
      </c>
      <c r="U216">
        <f t="shared" si="112"/>
        <v>4.2047869321323184</v>
      </c>
      <c r="V216">
        <f t="shared" si="103"/>
        <v>0.48267793389117186</v>
      </c>
      <c r="W216">
        <f t="shared" si="104"/>
        <v>0.1721147373708041</v>
      </c>
      <c r="X216">
        <f t="shared" si="105"/>
        <v>2.4292895016286353</v>
      </c>
      <c r="Y216">
        <f t="shared" si="106"/>
        <v>0.27329506893322147</v>
      </c>
      <c r="Z216">
        <f t="shared" si="107"/>
        <v>1.2146447508143177</v>
      </c>
      <c r="AA216">
        <f t="shared" si="108"/>
        <v>1.1617744772529277</v>
      </c>
      <c r="AB216">
        <f t="shared" si="109"/>
        <v>1E-4</v>
      </c>
      <c r="AC216">
        <f t="shared" si="113"/>
        <v>1.4102552592646116</v>
      </c>
      <c r="AD216">
        <f t="shared" si="114"/>
        <v>0.66511806762665948</v>
      </c>
      <c r="AE216">
        <f t="shared" si="115"/>
        <v>7.989376499144182</v>
      </c>
      <c r="AF216">
        <f t="shared" si="116"/>
        <v>0.89880485615372052</v>
      </c>
      <c r="AG216">
        <f t="shared" si="117"/>
        <v>3.994688249572091</v>
      </c>
      <c r="AH216">
        <f t="shared" si="118"/>
        <v>4.4895469564799511</v>
      </c>
      <c r="AI216">
        <f t="shared" si="119"/>
        <v>0.01</v>
      </c>
    </row>
    <row r="217" spans="5:35" x14ac:dyDescent="0.25">
      <c r="E217">
        <f t="shared" si="110"/>
        <v>546.67210897601126</v>
      </c>
      <c r="F217">
        <f t="shared" si="90"/>
        <v>0.74372591371071839</v>
      </c>
      <c r="G217">
        <f t="shared" si="91"/>
        <v>1.7394709160019445E-4</v>
      </c>
      <c r="H217">
        <f t="shared" si="92"/>
        <v>0.15040622076685564</v>
      </c>
      <c r="I217">
        <f t="shared" si="93"/>
        <v>1.6920699836271258E-2</v>
      </c>
      <c r="J217">
        <f t="shared" si="94"/>
        <v>7.5203110383427821E-2</v>
      </c>
      <c r="K217">
        <f t="shared" si="95"/>
        <v>1.1741428683013126E-3</v>
      </c>
      <c r="L217">
        <v>216</v>
      </c>
      <c r="M217">
        <f t="shared" si="111"/>
        <v>0.1</v>
      </c>
      <c r="N217">
        <f t="shared" si="96"/>
        <v>1.9140207599762551</v>
      </c>
      <c r="O217">
        <f t="shared" si="97"/>
        <v>3.6139571660329345E-3</v>
      </c>
      <c r="P217">
        <f t="shared" si="98"/>
        <v>0.99324572860114602</v>
      </c>
      <c r="Q217">
        <f t="shared" si="99"/>
        <v>0.11174014446762894</v>
      </c>
      <c r="R217">
        <f t="shared" si="100"/>
        <v>0.49662286430057301</v>
      </c>
      <c r="S217">
        <f t="shared" si="101"/>
        <v>2.4394210870722306E-2</v>
      </c>
      <c r="T217">
        <f t="shared" si="102"/>
        <v>0.15</v>
      </c>
      <c r="U217">
        <f t="shared" si="112"/>
        <v>4.2468348014536419</v>
      </c>
      <c r="V217">
        <f t="shared" si="103"/>
        <v>0.48038477789699868</v>
      </c>
      <c r="W217">
        <f t="shared" si="104"/>
        <v>0.1686757273569176</v>
      </c>
      <c r="X217">
        <f t="shared" si="105"/>
        <v>2.4020274383349682</v>
      </c>
      <c r="Y217">
        <f t="shared" si="106"/>
        <v>0.2702280868126839</v>
      </c>
      <c r="Z217">
        <f t="shared" si="107"/>
        <v>1.2010137191674841</v>
      </c>
      <c r="AA217">
        <f t="shared" si="108"/>
        <v>1.1385611596591938</v>
      </c>
      <c r="AB217">
        <f t="shared" si="109"/>
        <v>1E-4</v>
      </c>
      <c r="AC217">
        <f t="shared" si="113"/>
        <v>1.4029443275937892</v>
      </c>
      <c r="AD217">
        <f t="shared" si="114"/>
        <v>0.65174569461724463</v>
      </c>
      <c r="AE217">
        <f t="shared" si="115"/>
        <v>7.8972592859210984</v>
      </c>
      <c r="AF217">
        <f t="shared" si="116"/>
        <v>0.88844166966612359</v>
      </c>
      <c r="AG217">
        <f t="shared" si="117"/>
        <v>3.9486296429605492</v>
      </c>
      <c r="AH217">
        <f t="shared" si="118"/>
        <v>4.3992834386664015</v>
      </c>
      <c r="AI217">
        <f t="shared" si="119"/>
        <v>0.01</v>
      </c>
    </row>
    <row r="218" spans="5:35" x14ac:dyDescent="0.25">
      <c r="E218">
        <f t="shared" si="110"/>
        <v>563.07227224529163</v>
      </c>
      <c r="F218">
        <f t="shared" si="90"/>
        <v>0.74005930826063471</v>
      </c>
      <c r="G218">
        <f t="shared" si="91"/>
        <v>1.6396178852438596E-4</v>
      </c>
      <c r="H218">
        <f t="shared" si="92"/>
        <v>0.14601805346040972</v>
      </c>
      <c r="I218">
        <f t="shared" si="93"/>
        <v>1.6427031014296097E-2</v>
      </c>
      <c r="J218">
        <f t="shared" si="94"/>
        <v>7.300902673020486E-2</v>
      </c>
      <c r="K218">
        <f t="shared" si="95"/>
        <v>1.1067420725396052E-3</v>
      </c>
      <c r="L218">
        <v>217</v>
      </c>
      <c r="M218">
        <f t="shared" si="111"/>
        <v>0.1</v>
      </c>
      <c r="N218">
        <f t="shared" si="96"/>
        <v>1.9026407807388042</v>
      </c>
      <c r="O218">
        <f t="shared" si="97"/>
        <v>3.4064953513402102E-3</v>
      </c>
      <c r="P218">
        <f t="shared" si="98"/>
        <v>0.96416128196308803</v>
      </c>
      <c r="Q218">
        <f t="shared" si="99"/>
        <v>0.10846814422084738</v>
      </c>
      <c r="R218">
        <f t="shared" si="100"/>
        <v>0.48208064098154402</v>
      </c>
      <c r="S218">
        <f t="shared" si="101"/>
        <v>2.2993843621546418E-2</v>
      </c>
      <c r="T218">
        <f t="shared" si="102"/>
        <v>0.15</v>
      </c>
      <c r="U218">
        <f t="shared" si="112"/>
        <v>4.2893031494681786</v>
      </c>
      <c r="V218">
        <f t="shared" si="103"/>
        <v>0.47811285805274994</v>
      </c>
      <c r="W218">
        <f t="shared" si="104"/>
        <v>0.16530636510623578</v>
      </c>
      <c r="X218">
        <f t="shared" si="105"/>
        <v>2.3751068850912951</v>
      </c>
      <c r="Y218">
        <f t="shared" si="106"/>
        <v>0.26719952457277069</v>
      </c>
      <c r="Z218">
        <f t="shared" si="107"/>
        <v>1.1875534425456475</v>
      </c>
      <c r="AA218">
        <f t="shared" si="108"/>
        <v>1.1158179644670916</v>
      </c>
      <c r="AB218">
        <f t="shared" si="109"/>
        <v>1E-4</v>
      </c>
      <c r="AC218">
        <f t="shared" si="113"/>
        <v>1.3957073738398669</v>
      </c>
      <c r="AD218">
        <f t="shared" si="114"/>
        <v>0.63864743315243677</v>
      </c>
      <c r="AE218">
        <f t="shared" si="115"/>
        <v>7.8063522657799442</v>
      </c>
      <c r="AF218">
        <f t="shared" si="116"/>
        <v>0.87821462990024368</v>
      </c>
      <c r="AG218">
        <f t="shared" si="117"/>
        <v>3.9031761328899721</v>
      </c>
      <c r="AH218">
        <f t="shared" si="118"/>
        <v>4.3108701737789481</v>
      </c>
      <c r="AI218">
        <f t="shared" si="119"/>
        <v>0.01</v>
      </c>
    </row>
    <row r="219" spans="5:35" x14ac:dyDescent="0.25">
      <c r="E219">
        <f t="shared" si="110"/>
        <v>579.96444041265045</v>
      </c>
      <c r="F219">
        <f t="shared" si="90"/>
        <v>0.73642654210307967</v>
      </c>
      <c r="G219">
        <f t="shared" si="91"/>
        <v>1.5454968586328427E-4</v>
      </c>
      <c r="H219">
        <f t="shared" si="92"/>
        <v>0.14175812254613793</v>
      </c>
      <c r="I219">
        <f t="shared" si="93"/>
        <v>1.5947788786440518E-2</v>
      </c>
      <c r="J219">
        <f t="shared" si="94"/>
        <v>7.0879061273068963E-2</v>
      </c>
      <c r="K219">
        <f t="shared" si="95"/>
        <v>1.0432103795771689E-3</v>
      </c>
      <c r="L219">
        <v>218</v>
      </c>
      <c r="M219">
        <f t="shared" si="111"/>
        <v>0.1</v>
      </c>
      <c r="N219">
        <f t="shared" si="96"/>
        <v>1.8913887123491424</v>
      </c>
      <c r="O219">
        <f t="shared" si="97"/>
        <v>3.2109433502431287E-3</v>
      </c>
      <c r="P219">
        <f t="shared" si="98"/>
        <v>0.93593289668560331</v>
      </c>
      <c r="Q219">
        <f t="shared" si="99"/>
        <v>0.10529245087713036</v>
      </c>
      <c r="R219">
        <f t="shared" si="100"/>
        <v>0.46796644834280166</v>
      </c>
      <c r="S219">
        <f t="shared" si="101"/>
        <v>2.1673867614141119E-2</v>
      </c>
      <c r="T219">
        <f t="shared" si="102"/>
        <v>0.15</v>
      </c>
      <c r="U219">
        <f t="shared" si="112"/>
        <v>4.3321961809628604</v>
      </c>
      <c r="V219">
        <f t="shared" si="103"/>
        <v>0.47586188077109393</v>
      </c>
      <c r="W219">
        <f t="shared" si="104"/>
        <v>0.16200520319905889</v>
      </c>
      <c r="X219">
        <f t="shared" si="105"/>
        <v>2.3485227725838138</v>
      </c>
      <c r="Y219">
        <f t="shared" si="106"/>
        <v>0.26420881191567902</v>
      </c>
      <c r="Z219">
        <f t="shared" si="107"/>
        <v>1.1742613862919069</v>
      </c>
      <c r="AA219">
        <f t="shared" si="108"/>
        <v>1.0935351215936475</v>
      </c>
      <c r="AB219">
        <f t="shared" si="109"/>
        <v>1E-4</v>
      </c>
      <c r="AC219">
        <f t="shared" si="113"/>
        <v>1.3885432809438012</v>
      </c>
      <c r="AD219">
        <f t="shared" si="114"/>
        <v>0.62581745536519118</v>
      </c>
      <c r="AE219">
        <f t="shared" si="115"/>
        <v>7.7166361583302292</v>
      </c>
      <c r="AF219">
        <f t="shared" si="116"/>
        <v>0.86812156781215077</v>
      </c>
      <c r="AG219">
        <f t="shared" si="117"/>
        <v>3.8583180791651146</v>
      </c>
      <c r="AH219">
        <f t="shared" si="118"/>
        <v>4.2242678237150413</v>
      </c>
      <c r="AI219">
        <f t="shared" si="119"/>
        <v>0.01</v>
      </c>
    </row>
    <row r="220" spans="5:35" x14ac:dyDescent="0.25">
      <c r="E220">
        <f t="shared" si="110"/>
        <v>597.36337362503002</v>
      </c>
      <c r="F220">
        <f t="shared" si="90"/>
        <v>0.7328271495590295</v>
      </c>
      <c r="G220">
        <f t="shared" si="91"/>
        <v>1.4567787921474431E-4</v>
      </c>
      <c r="H220">
        <f t="shared" si="92"/>
        <v>0.13762266848765259</v>
      </c>
      <c r="I220">
        <f t="shared" si="93"/>
        <v>1.5482550204860918E-2</v>
      </c>
      <c r="J220">
        <f t="shared" si="94"/>
        <v>6.8811334243826294E-2</v>
      </c>
      <c r="K220">
        <f t="shared" si="95"/>
        <v>9.8332568469952425E-4</v>
      </c>
      <c r="L220">
        <v>219</v>
      </c>
      <c r="M220">
        <f t="shared" si="111"/>
        <v>0.1</v>
      </c>
      <c r="N220">
        <f t="shared" si="96"/>
        <v>1.8802624122179772</v>
      </c>
      <c r="O220">
        <f t="shared" si="97"/>
        <v>3.0266174174826696E-3</v>
      </c>
      <c r="P220">
        <f t="shared" si="98"/>
        <v>0.90853512171608575</v>
      </c>
      <c r="Q220">
        <f t="shared" si="99"/>
        <v>0.10221020119305965</v>
      </c>
      <c r="R220">
        <f t="shared" si="100"/>
        <v>0.45426756085804287</v>
      </c>
      <c r="S220">
        <f t="shared" si="101"/>
        <v>2.0429667568008021E-2</v>
      </c>
      <c r="T220">
        <f t="shared" si="102"/>
        <v>0.15</v>
      </c>
      <c r="U220">
        <f t="shared" si="112"/>
        <v>4.3755181427724894</v>
      </c>
      <c r="V220">
        <f t="shared" si="103"/>
        <v>0.47363155785162803</v>
      </c>
      <c r="W220">
        <f t="shared" si="104"/>
        <v>0.15877082575408866</v>
      </c>
      <c r="X220">
        <f t="shared" si="105"/>
        <v>2.3222701245210868</v>
      </c>
      <c r="Y220">
        <f t="shared" si="106"/>
        <v>0.26125538900862222</v>
      </c>
      <c r="Z220">
        <f t="shared" si="107"/>
        <v>1.1611350622605434</v>
      </c>
      <c r="AA220">
        <f t="shared" si="108"/>
        <v>1.0717030738400986</v>
      </c>
      <c r="AB220">
        <f t="shared" si="109"/>
        <v>1E-4</v>
      </c>
      <c r="AC220">
        <f t="shared" si="113"/>
        <v>1.3814509542239126</v>
      </c>
      <c r="AD220">
        <f t="shared" si="114"/>
        <v>0.61325006560372108</v>
      </c>
      <c r="AE220">
        <f t="shared" si="115"/>
        <v>7.6280920686693339</v>
      </c>
      <c r="AF220">
        <f t="shared" si="116"/>
        <v>0.85816035772530008</v>
      </c>
      <c r="AG220">
        <f t="shared" si="117"/>
        <v>3.8140460343346669</v>
      </c>
      <c r="AH220">
        <f t="shared" si="118"/>
        <v>4.1394379428251176</v>
      </c>
      <c r="AI220">
        <f t="shared" si="119"/>
        <v>0.01</v>
      </c>
    </row>
    <row r="221" spans="5:35" x14ac:dyDescent="0.25">
      <c r="E221">
        <f t="shared" si="110"/>
        <v>615.28427483378096</v>
      </c>
      <c r="F221">
        <f t="shared" si="90"/>
        <v>0.72926067345500634</v>
      </c>
      <c r="G221">
        <f t="shared" si="91"/>
        <v>1.3731535306332673E-4</v>
      </c>
      <c r="H221">
        <f t="shared" si="92"/>
        <v>0.13360804266082696</v>
      </c>
      <c r="I221">
        <f t="shared" si="93"/>
        <v>1.5030904799343032E-2</v>
      </c>
      <c r="J221">
        <f t="shared" si="94"/>
        <v>6.6804021330413479E-2</v>
      </c>
      <c r="K221">
        <f t="shared" si="95"/>
        <v>9.2687863317745536E-4</v>
      </c>
      <c r="L221">
        <v>220</v>
      </c>
      <c r="M221">
        <f t="shared" si="111"/>
        <v>0.1</v>
      </c>
      <c r="N221">
        <f t="shared" si="96"/>
        <v>1.8692597853432786</v>
      </c>
      <c r="O221">
        <f t="shared" si="97"/>
        <v>2.8528730657421519E-3</v>
      </c>
      <c r="P221">
        <f t="shared" si="98"/>
        <v>0.88194327732260602</v>
      </c>
      <c r="Q221">
        <f t="shared" si="99"/>
        <v>9.9218618698793171E-2</v>
      </c>
      <c r="R221">
        <f t="shared" si="100"/>
        <v>0.44097163866130301</v>
      </c>
      <c r="S221">
        <f t="shared" si="101"/>
        <v>1.9256893193759526E-2</v>
      </c>
      <c r="T221">
        <f t="shared" si="102"/>
        <v>0.15</v>
      </c>
      <c r="U221">
        <f t="shared" si="112"/>
        <v>4.4192733242002147</v>
      </c>
      <c r="V221">
        <f t="shared" si="103"/>
        <v>0.47142160635787056</v>
      </c>
      <c r="W221">
        <f t="shared" si="104"/>
        <v>0.15560184768394977</v>
      </c>
      <c r="X221">
        <f t="shared" si="105"/>
        <v>2.2963440555237575</v>
      </c>
      <c r="Y221">
        <f t="shared" si="106"/>
        <v>0.25833870624642269</v>
      </c>
      <c r="Z221">
        <f t="shared" si="107"/>
        <v>1.1481720277618788</v>
      </c>
      <c r="AA221">
        <f t="shared" si="108"/>
        <v>1.050312471866661</v>
      </c>
      <c r="AB221">
        <f t="shared" si="109"/>
        <v>1E-4</v>
      </c>
      <c r="AC221">
        <f t="shared" si="113"/>
        <v>1.3744293208182781</v>
      </c>
      <c r="AD221">
        <f t="shared" si="114"/>
        <v>0.60093969710428952</v>
      </c>
      <c r="AE221">
        <f t="shared" si="115"/>
        <v>7.5407014778212931</v>
      </c>
      <c r="AF221">
        <f t="shared" si="116"/>
        <v>0.84832891625489537</v>
      </c>
      <c r="AG221">
        <f t="shared" si="117"/>
        <v>3.7703507389106465</v>
      </c>
      <c r="AH221">
        <f t="shared" si="118"/>
        <v>4.0563429554539541</v>
      </c>
      <c r="AI221">
        <f t="shared" si="119"/>
        <v>0.01</v>
      </c>
    </row>
    <row r="222" spans="5:35" x14ac:dyDescent="0.25">
      <c r="E222">
        <f t="shared" si="110"/>
        <v>633.7428030787944</v>
      </c>
      <c r="F222">
        <f t="shared" si="90"/>
        <v>0.72572666492977711</v>
      </c>
      <c r="G222">
        <f t="shared" si="91"/>
        <v>1.2943287234607828E-4</v>
      </c>
      <c r="H222">
        <f t="shared" si="92"/>
        <v>0.12971070404190346</v>
      </c>
      <c r="I222">
        <f t="shared" si="93"/>
        <v>1.4592454204714141E-2</v>
      </c>
      <c r="J222">
        <f t="shared" si="94"/>
        <v>6.4855352020951731E-2</v>
      </c>
      <c r="K222">
        <f t="shared" si="95"/>
        <v>8.7367188833602845E-4</v>
      </c>
      <c r="L222">
        <v>221</v>
      </c>
      <c r="M222">
        <f t="shared" si="111"/>
        <v>0.1</v>
      </c>
      <c r="N222">
        <f t="shared" si="96"/>
        <v>1.8583787829964242</v>
      </c>
      <c r="O222">
        <f t="shared" si="97"/>
        <v>2.6891028111698978E-3</v>
      </c>
      <c r="P222">
        <f t="shared" si="98"/>
        <v>0.85613343087569316</v>
      </c>
      <c r="Q222">
        <f t="shared" si="99"/>
        <v>9.6315010973515497E-2</v>
      </c>
      <c r="R222">
        <f t="shared" si="100"/>
        <v>0.42806671543784658</v>
      </c>
      <c r="S222">
        <f t="shared" si="101"/>
        <v>1.8151443975396808E-2</v>
      </c>
      <c r="T222">
        <f t="shared" si="102"/>
        <v>0.15</v>
      </c>
      <c r="U222">
        <f t="shared" si="112"/>
        <v>4.4634660574422167</v>
      </c>
      <c r="V222">
        <f t="shared" si="103"/>
        <v>0.46923174849765437</v>
      </c>
      <c r="W222">
        <f t="shared" si="104"/>
        <v>0.15249691397049647</v>
      </c>
      <c r="X222">
        <f t="shared" si="105"/>
        <v>2.270739769071735</v>
      </c>
      <c r="Y222">
        <f t="shared" si="106"/>
        <v>0.25545822402057022</v>
      </c>
      <c r="Z222">
        <f t="shared" si="107"/>
        <v>1.1353698845358675</v>
      </c>
      <c r="AA222">
        <f t="shared" si="108"/>
        <v>1.0293541693008512</v>
      </c>
      <c r="AB222">
        <f t="shared" si="109"/>
        <v>1E-4</v>
      </c>
      <c r="AC222">
        <f t="shared" si="113"/>
        <v>1.3674773291438322</v>
      </c>
      <c r="AD222">
        <f t="shared" si="114"/>
        <v>0.58888090876038346</v>
      </c>
      <c r="AE222">
        <f t="shared" si="115"/>
        <v>7.4544462334598212</v>
      </c>
      <c r="AF222">
        <f t="shared" si="116"/>
        <v>0.8386252012642299</v>
      </c>
      <c r="AG222">
        <f t="shared" si="117"/>
        <v>3.7272231167299106</v>
      </c>
      <c r="AH222">
        <f t="shared" si="118"/>
        <v>3.9749461341325887</v>
      </c>
      <c r="AI222">
        <f t="shared" si="119"/>
        <v>0.01</v>
      </c>
    </row>
    <row r="223" spans="5:35" x14ac:dyDescent="0.25">
      <c r="E223">
        <f t="shared" si="110"/>
        <v>652.75508717115827</v>
      </c>
      <c r="F223">
        <f t="shared" si="90"/>
        <v>0.72222468324629008</v>
      </c>
      <c r="G223">
        <f t="shared" si="91"/>
        <v>1.2200288024337056E-4</v>
      </c>
      <c r="H223">
        <f t="shared" si="92"/>
        <v>0.12592721599677623</v>
      </c>
      <c r="I223">
        <f t="shared" si="93"/>
        <v>1.4166811799637325E-2</v>
      </c>
      <c r="J223">
        <f t="shared" si="94"/>
        <v>6.2963607998388113E-2</v>
      </c>
      <c r="K223">
        <f t="shared" si="95"/>
        <v>8.2351944164275133E-4</v>
      </c>
      <c r="L223">
        <v>222</v>
      </c>
      <c r="M223">
        <f t="shared" si="111"/>
        <v>0.1</v>
      </c>
      <c r="N223">
        <f t="shared" si="96"/>
        <v>1.847617401451628</v>
      </c>
      <c r="O223">
        <f t="shared" si="97"/>
        <v>2.5347340484197056E-3</v>
      </c>
      <c r="P223">
        <f t="shared" si="98"/>
        <v>0.8310823734385836</v>
      </c>
      <c r="Q223">
        <f t="shared" si="99"/>
        <v>9.3496767011840648E-2</v>
      </c>
      <c r="R223">
        <f t="shared" si="100"/>
        <v>0.4155411867192918</v>
      </c>
      <c r="S223">
        <f t="shared" si="101"/>
        <v>1.7109454826833015E-2</v>
      </c>
      <c r="T223">
        <f t="shared" si="102"/>
        <v>0.15</v>
      </c>
      <c r="U223">
        <f t="shared" si="112"/>
        <v>4.5081007180166388</v>
      </c>
      <c r="V223">
        <f t="shared" si="103"/>
        <v>0.46706171150671205</v>
      </c>
      <c r="W223">
        <f t="shared" si="104"/>
        <v>0.14945469895929545</v>
      </c>
      <c r="X223">
        <f t="shared" si="105"/>
        <v>2.2454525555070242</v>
      </c>
      <c r="Y223">
        <f t="shared" si="106"/>
        <v>0.25261341249454017</v>
      </c>
      <c r="Z223">
        <f t="shared" si="107"/>
        <v>1.1227262777535121</v>
      </c>
      <c r="AA223">
        <f t="shared" si="108"/>
        <v>1.0088192179752442</v>
      </c>
      <c r="AB223">
        <f t="shared" si="109"/>
        <v>1E-4</v>
      </c>
      <c r="AC223">
        <f t="shared" si="113"/>
        <v>1.3605939483713856</v>
      </c>
      <c r="AD223">
        <f t="shared" si="114"/>
        <v>0.57706838198500598</v>
      </c>
      <c r="AE223">
        <f t="shared" si="115"/>
        <v>7.3693085409057737</v>
      </c>
      <c r="AF223">
        <f t="shared" si="116"/>
        <v>0.82904721085189947</v>
      </c>
      <c r="AG223">
        <f t="shared" si="117"/>
        <v>3.6846542704528868</v>
      </c>
      <c r="AH223">
        <f t="shared" si="118"/>
        <v>3.89521157839879</v>
      </c>
      <c r="AI223">
        <f t="shared" si="119"/>
        <v>0.01</v>
      </c>
    </row>
    <row r="224" spans="5:35" x14ac:dyDescent="0.25">
      <c r="E224">
        <f t="shared" si="110"/>
        <v>672.33773978629301</v>
      </c>
      <c r="F224">
        <f t="shared" si="90"/>
        <v>0.71875429560869875</v>
      </c>
      <c r="G224">
        <f t="shared" si="91"/>
        <v>1.149994018373979E-4</v>
      </c>
      <c r="H224">
        <f t="shared" si="92"/>
        <v>0.12225424316822732</v>
      </c>
      <c r="I224">
        <f t="shared" si="93"/>
        <v>1.3753602356425573E-2</v>
      </c>
      <c r="J224">
        <f t="shared" si="94"/>
        <v>6.112712158411366E-2</v>
      </c>
      <c r="K224">
        <f t="shared" si="95"/>
        <v>7.762459624024358E-4</v>
      </c>
      <c r="L224">
        <v>223</v>
      </c>
      <c r="M224">
        <f t="shared" si="111"/>
        <v>0.1</v>
      </c>
      <c r="N224">
        <f t="shared" si="96"/>
        <v>1.8369736807570065</v>
      </c>
      <c r="O224">
        <f t="shared" si="97"/>
        <v>2.3892270477629549E-3</v>
      </c>
      <c r="P224">
        <f t="shared" si="98"/>
        <v>0.80676759713625579</v>
      </c>
      <c r="Q224">
        <f t="shared" si="99"/>
        <v>9.0761354677828768E-2</v>
      </c>
      <c r="R224">
        <f t="shared" si="100"/>
        <v>0.40338379856812789</v>
      </c>
      <c r="S224">
        <f t="shared" si="101"/>
        <v>1.6127282572399947E-2</v>
      </c>
      <c r="T224">
        <f t="shared" si="102"/>
        <v>0.15</v>
      </c>
      <c r="U224">
        <f t="shared" si="112"/>
        <v>4.5531817251968052</v>
      </c>
      <c r="V224">
        <f t="shared" si="103"/>
        <v>0.46491122753545733</v>
      </c>
      <c r="W224">
        <f t="shared" si="104"/>
        <v>0.14647390567269902</v>
      </c>
      <c r="X224">
        <f t="shared" si="105"/>
        <v>2.2204777900904498</v>
      </c>
      <c r="Y224">
        <f t="shared" si="106"/>
        <v>0.24980375138517563</v>
      </c>
      <c r="Z224">
        <f t="shared" si="107"/>
        <v>1.1102388950452249</v>
      </c>
      <c r="AA224">
        <f t="shared" si="108"/>
        <v>0.98869886329071843</v>
      </c>
      <c r="AB224">
        <f t="shared" si="109"/>
        <v>1E-4</v>
      </c>
      <c r="AC224">
        <f t="shared" si="113"/>
        <v>1.353778167916158</v>
      </c>
      <c r="AD224">
        <f t="shared" si="114"/>
        <v>0.56549691766294952</v>
      </c>
      <c r="AE224">
        <f t="shared" si="115"/>
        <v>7.2852709543895857</v>
      </c>
      <c r="AF224">
        <f t="shared" si="116"/>
        <v>0.81959298236882838</v>
      </c>
      <c r="AG224">
        <f t="shared" si="117"/>
        <v>3.6426354771947929</v>
      </c>
      <c r="AH224">
        <f t="shared" si="118"/>
        <v>3.8171041942249091</v>
      </c>
      <c r="AI224">
        <f t="shared" si="119"/>
        <v>0.01</v>
      </c>
    </row>
    <row r="225" spans="5:35" x14ac:dyDescent="0.25">
      <c r="E225">
        <f t="shared" si="110"/>
        <v>692.50787197988177</v>
      </c>
      <c r="F225">
        <f t="shared" si="90"/>
        <v>0.71531507698430685</v>
      </c>
      <c r="G225">
        <f t="shared" si="91"/>
        <v>1.0839795330145856E-4</v>
      </c>
      <c r="H225">
        <f t="shared" si="92"/>
        <v>0.1186885484580064</v>
      </c>
      <c r="I225">
        <f t="shared" si="93"/>
        <v>1.3352461701525721E-2</v>
      </c>
      <c r="J225">
        <f t="shared" si="94"/>
        <v>5.9344274229003201E-2</v>
      </c>
      <c r="K225">
        <f t="shared" si="95"/>
        <v>7.3168618478484525E-4</v>
      </c>
      <c r="L225">
        <v>224</v>
      </c>
      <c r="M225">
        <f t="shared" si="111"/>
        <v>0.1</v>
      </c>
      <c r="N225">
        <f t="shared" si="96"/>
        <v>1.826445703545718</v>
      </c>
      <c r="O225">
        <f t="shared" si="97"/>
        <v>2.2520730672548383E-3</v>
      </c>
      <c r="P225">
        <f t="shared" si="98"/>
        <v>0.78316727327480884</v>
      </c>
      <c r="Q225">
        <f t="shared" si="99"/>
        <v>8.8106318243415999E-2</v>
      </c>
      <c r="R225">
        <f t="shared" si="100"/>
        <v>0.39158363663740442</v>
      </c>
      <c r="S225">
        <f t="shared" si="101"/>
        <v>1.5201493203970157E-2</v>
      </c>
      <c r="T225">
        <f t="shared" si="102"/>
        <v>0.15</v>
      </c>
      <c r="U225">
        <f t="shared" si="112"/>
        <v>4.5987135424487731</v>
      </c>
      <c r="V225">
        <f t="shared" si="103"/>
        <v>0.46278003353877506</v>
      </c>
      <c r="W225">
        <f t="shared" si="104"/>
        <v>0.14355326514094216</v>
      </c>
      <c r="X225">
        <f t="shared" si="105"/>
        <v>2.1958109311105836</v>
      </c>
      <c r="Y225">
        <f t="shared" si="106"/>
        <v>0.2470287297499407</v>
      </c>
      <c r="Z225">
        <f t="shared" si="107"/>
        <v>1.0979054655552918</v>
      </c>
      <c r="AA225">
        <f t="shared" si="108"/>
        <v>0.96898453970135956</v>
      </c>
      <c r="AB225">
        <f t="shared" si="109"/>
        <v>1E-4</v>
      </c>
      <c r="AC225">
        <f t="shared" si="113"/>
        <v>1.3470289969432336</v>
      </c>
      <c r="AD225">
        <f t="shared" si="114"/>
        <v>0.55416143319003719</v>
      </c>
      <c r="AE225">
        <f t="shared" si="115"/>
        <v>7.2023163685696678</v>
      </c>
      <c r="AF225">
        <f t="shared" si="116"/>
        <v>0.81026059146408758</v>
      </c>
      <c r="AG225">
        <f t="shared" si="117"/>
        <v>3.6011581842848339</v>
      </c>
      <c r="AH225">
        <f t="shared" si="118"/>
        <v>3.7405896740327509</v>
      </c>
      <c r="AI225">
        <f t="shared" si="119"/>
        <v>0.01</v>
      </c>
    </row>
    <row r="226" spans="5:35" x14ac:dyDescent="0.25">
      <c r="E226">
        <f t="shared" si="110"/>
        <v>713.28310813927828</v>
      </c>
      <c r="F226">
        <f t="shared" si="90"/>
        <v>0.71190660993028554</v>
      </c>
      <c r="G226">
        <f t="shared" si="91"/>
        <v>1.0217545630248659E-4</v>
      </c>
      <c r="H226">
        <f t="shared" si="92"/>
        <v>0.11522699010074845</v>
      </c>
      <c r="I226">
        <f t="shared" si="93"/>
        <v>1.2963036386334201E-2</v>
      </c>
      <c r="J226">
        <f t="shared" si="94"/>
        <v>5.7613495050374226E-2</v>
      </c>
      <c r="K226">
        <f t="shared" si="95"/>
        <v>6.8968433004178457E-4</v>
      </c>
      <c r="L226">
        <v>225</v>
      </c>
      <c r="M226">
        <f t="shared" si="111"/>
        <v>0.1</v>
      </c>
      <c r="N226">
        <f t="shared" si="96"/>
        <v>1.8160315938856042</v>
      </c>
      <c r="O226">
        <f t="shared" si="97"/>
        <v>2.1227925733412361E-3</v>
      </c>
      <c r="P226">
        <f t="shared" si="98"/>
        <v>0.76026023118391861</v>
      </c>
      <c r="Q226">
        <f t="shared" si="99"/>
        <v>8.5529276008190852E-2</v>
      </c>
      <c r="R226">
        <f t="shared" si="100"/>
        <v>0.38013011559195931</v>
      </c>
      <c r="S226">
        <f t="shared" si="101"/>
        <v>1.4328849870053343E-2</v>
      </c>
      <c r="T226">
        <f t="shared" si="102"/>
        <v>0.15</v>
      </c>
      <c r="U226">
        <f t="shared" si="112"/>
        <v>4.6447006778732609</v>
      </c>
      <c r="V226">
        <f t="shared" si="103"/>
        <v>0.46066787116878738</v>
      </c>
      <c r="W226">
        <f t="shared" si="104"/>
        <v>0.14069153575071711</v>
      </c>
      <c r="X226">
        <f t="shared" si="105"/>
        <v>2.1714475180432333</v>
      </c>
      <c r="Y226">
        <f t="shared" si="106"/>
        <v>0.24428784577986376</v>
      </c>
      <c r="Z226">
        <f t="shared" si="107"/>
        <v>1.0857237590216167</v>
      </c>
      <c r="AA226">
        <f t="shared" si="108"/>
        <v>0.94966786631734057</v>
      </c>
      <c r="AB226">
        <f t="shared" si="109"/>
        <v>1E-4</v>
      </c>
      <c r="AC226">
        <f t="shared" si="113"/>
        <v>1.3403454638874406</v>
      </c>
      <c r="AD226">
        <f t="shared" si="114"/>
        <v>0.54305695959643085</v>
      </c>
      <c r="AE226">
        <f t="shared" si="115"/>
        <v>7.1204280102979816</v>
      </c>
      <c r="AF226">
        <f t="shared" si="116"/>
        <v>0.80104815115852301</v>
      </c>
      <c r="AG226">
        <f t="shared" si="117"/>
        <v>3.5602140051489908</v>
      </c>
      <c r="AH226">
        <f t="shared" si="118"/>
        <v>3.665634477275908</v>
      </c>
      <c r="AI226">
        <f t="shared" si="119"/>
        <v>0.01</v>
      </c>
    </row>
    <row r="227" spans="5:35" x14ac:dyDescent="0.25">
      <c r="E227">
        <f t="shared" si="110"/>
        <v>734.68160138345661</v>
      </c>
      <c r="F227">
        <f t="shared" si="90"/>
        <v>0.70852848442500882</v>
      </c>
      <c r="G227">
        <f t="shared" si="91"/>
        <v>9.6310157317533909E-5</v>
      </c>
      <c r="H227">
        <f t="shared" si="92"/>
        <v>0.11186651882682648</v>
      </c>
      <c r="I227">
        <f t="shared" si="93"/>
        <v>1.2584983368017978E-2</v>
      </c>
      <c r="J227">
        <f t="shared" si="94"/>
        <v>5.593325941341324E-2</v>
      </c>
      <c r="K227">
        <f t="shared" si="95"/>
        <v>6.5009356189335392E-4</v>
      </c>
      <c r="L227">
        <v>226</v>
      </c>
      <c r="M227">
        <f t="shared" si="111"/>
        <v>0.1</v>
      </c>
      <c r="N227">
        <f t="shared" si="96"/>
        <v>1.8057295161659503</v>
      </c>
      <c r="O227">
        <f t="shared" si="97"/>
        <v>2.0009335636733245E-3</v>
      </c>
      <c r="P227">
        <f t="shared" si="98"/>
        <v>0.73802593775622227</v>
      </c>
      <c r="Q227">
        <f t="shared" si="99"/>
        <v>8.3027917997575001E-2</v>
      </c>
      <c r="R227">
        <f t="shared" si="100"/>
        <v>0.36901296887811114</v>
      </c>
      <c r="S227">
        <f t="shared" si="101"/>
        <v>1.3506301554794939E-2</v>
      </c>
      <c r="T227">
        <f t="shared" si="102"/>
        <v>0.15</v>
      </c>
      <c r="U227">
        <f t="shared" si="112"/>
        <v>4.6911476846519937</v>
      </c>
      <c r="V227">
        <f t="shared" si="103"/>
        <v>0.4585744866704638</v>
      </c>
      <c r="W227">
        <f t="shared" si="104"/>
        <v>0.13788750261069929</v>
      </c>
      <c r="X227">
        <f t="shared" si="105"/>
        <v>2.1473831697599324</v>
      </c>
      <c r="Y227">
        <f t="shared" si="106"/>
        <v>0.24158060659799241</v>
      </c>
      <c r="Z227">
        <f t="shared" si="107"/>
        <v>1.0736915848799662</v>
      </c>
      <c r="AA227">
        <f t="shared" si="108"/>
        <v>0.93074064262222023</v>
      </c>
      <c r="AB227">
        <f t="shared" si="109"/>
        <v>1E-4</v>
      </c>
      <c r="AC227">
        <f t="shared" si="113"/>
        <v>1.3337266159871661</v>
      </c>
      <c r="AD227">
        <f t="shared" si="114"/>
        <v>0.53217863875122484</v>
      </c>
      <c r="AE227">
        <f t="shared" si="115"/>
        <v>7.0395894306244831</v>
      </c>
      <c r="AF227">
        <f t="shared" si="116"/>
        <v>0.7919538109452543</v>
      </c>
      <c r="AG227">
        <f t="shared" si="117"/>
        <v>3.5197947153122415</v>
      </c>
      <c r="AH227">
        <f t="shared" si="118"/>
        <v>3.5922058115707673</v>
      </c>
      <c r="AI227">
        <f t="shared" si="119"/>
        <v>0.01</v>
      </c>
    </row>
    <row r="228" spans="5:35" x14ac:dyDescent="0.25">
      <c r="E228">
        <f t="shared" si="110"/>
        <v>756.72204942496035</v>
      </c>
      <c r="F228">
        <f t="shared" si="90"/>
        <v>0.70518029770386592</v>
      </c>
      <c r="G228">
        <f t="shared" si="91"/>
        <v>9.0781551582087564E-5</v>
      </c>
      <c r="H228">
        <f t="shared" si="92"/>
        <v>0.10860417511133376</v>
      </c>
      <c r="I228">
        <f t="shared" si="93"/>
        <v>1.2217969700025047E-2</v>
      </c>
      <c r="J228">
        <f t="shared" si="94"/>
        <v>5.4302087555666879E-2</v>
      </c>
      <c r="K228">
        <f t="shared" si="95"/>
        <v>6.1277547317909115E-4</v>
      </c>
      <c r="L228">
        <v>227</v>
      </c>
      <c r="M228">
        <f t="shared" si="111"/>
        <v>0.1</v>
      </c>
      <c r="N228">
        <f t="shared" si="96"/>
        <v>1.7955376740199338</v>
      </c>
      <c r="O228">
        <f t="shared" si="97"/>
        <v>1.8860699862557253E-3</v>
      </c>
      <c r="P228">
        <f t="shared" si="98"/>
        <v>0.71644447765855335</v>
      </c>
      <c r="Q228">
        <f t="shared" si="99"/>
        <v>8.0600003736587253E-2</v>
      </c>
      <c r="R228">
        <f t="shared" si="100"/>
        <v>0.35822223882927667</v>
      </c>
      <c r="S228">
        <f t="shared" si="101"/>
        <v>1.2730972407226147E-2</v>
      </c>
      <c r="T228">
        <f t="shared" si="102"/>
        <v>0.15</v>
      </c>
      <c r="U228">
        <f t="shared" si="112"/>
        <v>4.7380591614985139</v>
      </c>
      <c r="V228">
        <f t="shared" si="103"/>
        <v>0.45649963078001654</v>
      </c>
      <c r="W228">
        <f t="shared" si="104"/>
        <v>0.13513997693351587</v>
      </c>
      <c r="X228">
        <f t="shared" si="105"/>
        <v>2.1236135827839022</v>
      </c>
      <c r="Y228">
        <f t="shared" si="106"/>
        <v>0.23890652806318902</v>
      </c>
      <c r="Z228">
        <f t="shared" si="107"/>
        <v>1.0618067913919511</v>
      </c>
      <c r="AA228">
        <f t="shared" si="108"/>
        <v>0.91219484430123221</v>
      </c>
      <c r="AB228">
        <f t="shared" si="109"/>
        <v>1E-4</v>
      </c>
      <c r="AC228">
        <f t="shared" si="113"/>
        <v>1.3271715188316415</v>
      </c>
      <c r="AD228">
        <f t="shared" si="114"/>
        <v>0.52152172064564162</v>
      </c>
      <c r="AE228">
        <f t="shared" si="115"/>
        <v>6.9597844970323397</v>
      </c>
      <c r="AF228">
        <f t="shared" si="116"/>
        <v>0.78297575591613822</v>
      </c>
      <c r="AG228">
        <f t="shared" si="117"/>
        <v>3.4798922485161699</v>
      </c>
      <c r="AH228">
        <f t="shared" si="118"/>
        <v>3.520271614358081</v>
      </c>
      <c r="AI228">
        <f t="shared" si="119"/>
        <v>0.01</v>
      </c>
    </row>
    <row r="229" spans="5:35" x14ac:dyDescent="0.25">
      <c r="E229">
        <f t="shared" si="110"/>
        <v>779.42371090770916</v>
      </c>
      <c r="F229">
        <f t="shared" si="90"/>
        <v>0.70186165409941859</v>
      </c>
      <c r="G229">
        <f t="shared" si="91"/>
        <v>8.5570311404306254E-5</v>
      </c>
      <c r="H229">
        <f t="shared" si="92"/>
        <v>0.10543708650648433</v>
      </c>
      <c r="I229">
        <f t="shared" si="93"/>
        <v>1.1861672231979484E-2</v>
      </c>
      <c r="J229">
        <f t="shared" si="94"/>
        <v>5.2718543253242163E-2</v>
      </c>
      <c r="K229">
        <f t="shared" si="95"/>
        <v>5.7759960197906722E-4</v>
      </c>
      <c r="L229">
        <v>228</v>
      </c>
      <c r="M229">
        <f t="shared" si="111"/>
        <v>0.1</v>
      </c>
      <c r="N229">
        <f t="shared" si="96"/>
        <v>1.7854543092814452</v>
      </c>
      <c r="O229">
        <f t="shared" si="97"/>
        <v>1.7778002493919894E-3</v>
      </c>
      <c r="P229">
        <f t="shared" si="98"/>
        <v>0.69549653419096569</v>
      </c>
      <c r="Q229">
        <f t="shared" si="99"/>
        <v>7.8243360096483638E-2</v>
      </c>
      <c r="R229">
        <f t="shared" si="100"/>
        <v>0.34774826709548284</v>
      </c>
      <c r="S229">
        <f t="shared" si="101"/>
        <v>1.2000151683395931E-2</v>
      </c>
      <c r="T229">
        <f t="shared" si="102"/>
        <v>0.15</v>
      </c>
      <c r="U229">
        <f t="shared" si="112"/>
        <v>4.7854397531134989</v>
      </c>
      <c r="V229">
        <f t="shared" si="103"/>
        <v>0.45444305862597206</v>
      </c>
      <c r="W229">
        <f t="shared" si="104"/>
        <v>0.13244779543366605</v>
      </c>
      <c r="X229">
        <f t="shared" si="105"/>
        <v>2.1001345295920291</v>
      </c>
      <c r="Y229">
        <f t="shared" si="106"/>
        <v>0.23626513457910328</v>
      </c>
      <c r="Z229">
        <f t="shared" si="107"/>
        <v>1.0500672647960145</v>
      </c>
      <c r="AA229">
        <f t="shared" si="108"/>
        <v>0.89402261917724568</v>
      </c>
      <c r="AB229">
        <f t="shared" si="109"/>
        <v>1E-4</v>
      </c>
      <c r="AC229">
        <f t="shared" si="113"/>
        <v>1.3206792559212559</v>
      </c>
      <c r="AD229">
        <f t="shared" si="114"/>
        <v>0.51108156075225353</v>
      </c>
      <c r="AE229">
        <f t="shared" si="115"/>
        <v>6.8809973858961939</v>
      </c>
      <c r="AF229">
        <f t="shared" si="116"/>
        <v>0.77411220591332197</v>
      </c>
      <c r="AG229">
        <f t="shared" si="117"/>
        <v>3.440498692948097</v>
      </c>
      <c r="AH229">
        <f t="shared" si="118"/>
        <v>3.4498005350777117</v>
      </c>
      <c r="AI229">
        <f t="shared" si="119"/>
        <v>0.01</v>
      </c>
    </row>
    <row r="230" spans="5:35" x14ac:dyDescent="0.25">
      <c r="E230">
        <f t="shared" si="110"/>
        <v>802.80642223494044</v>
      </c>
      <c r="F230">
        <f t="shared" si="90"/>
        <v>0.69857216488576013</v>
      </c>
      <c r="G230">
        <f t="shared" si="91"/>
        <v>8.0658218594526553E-5</v>
      </c>
      <c r="H230">
        <f t="shared" si="92"/>
        <v>0.10236246505481117</v>
      </c>
      <c r="I230">
        <f t="shared" si="93"/>
        <v>1.1515777318666256E-2</v>
      </c>
      <c r="J230">
        <f t="shared" si="94"/>
        <v>5.1181232527405585E-2</v>
      </c>
      <c r="K230">
        <f t="shared" si="95"/>
        <v>5.4444297551305414E-4</v>
      </c>
      <c r="L230">
        <v>229</v>
      </c>
      <c r="M230">
        <f t="shared" si="111"/>
        <v>0.1</v>
      </c>
      <c r="N230">
        <f t="shared" si="96"/>
        <v>1.7754777009750085</v>
      </c>
      <c r="O230">
        <f t="shared" si="97"/>
        <v>1.6757458172096933E-3</v>
      </c>
      <c r="P230">
        <f t="shared" si="98"/>
        <v>0.67516337077045474</v>
      </c>
      <c r="Q230">
        <f t="shared" si="99"/>
        <v>7.5955879211676167E-2</v>
      </c>
      <c r="R230">
        <f t="shared" si="100"/>
        <v>0.33758168538522737</v>
      </c>
      <c r="S230">
        <f t="shared" si="101"/>
        <v>1.131128426616543E-2</v>
      </c>
      <c r="T230">
        <f t="shared" si="102"/>
        <v>0.15</v>
      </c>
      <c r="U230">
        <f t="shared" si="112"/>
        <v>4.8332941506446341</v>
      </c>
      <c r="V230">
        <f t="shared" si="103"/>
        <v>0.45240452963284611</v>
      </c>
      <c r="W230">
        <f t="shared" si="104"/>
        <v>0.12980981974091926</v>
      </c>
      <c r="X230">
        <f t="shared" si="105"/>
        <v>2.0769418569614371</v>
      </c>
      <c r="Y230">
        <f t="shared" si="106"/>
        <v>0.23365595890816168</v>
      </c>
      <c r="Z230">
        <f t="shared" si="107"/>
        <v>1.0384709284807185</v>
      </c>
      <c r="AA230">
        <f t="shared" si="108"/>
        <v>0.87621628325120504</v>
      </c>
      <c r="AB230">
        <f t="shared" si="109"/>
        <v>1E-4</v>
      </c>
      <c r="AC230">
        <f t="shared" si="113"/>
        <v>1.3142489282404555</v>
      </c>
      <c r="AD230">
        <f t="shared" si="114"/>
        <v>0.50085361745775181</v>
      </c>
      <c r="AE230">
        <f t="shared" si="115"/>
        <v>6.8032125751560208</v>
      </c>
      <c r="AF230">
        <f t="shared" si="116"/>
        <v>0.76536141470505237</v>
      </c>
      <c r="AG230">
        <f t="shared" si="117"/>
        <v>3.4016062875780104</v>
      </c>
      <c r="AH230">
        <f t="shared" si="118"/>
        <v>3.3807619178398252</v>
      </c>
      <c r="AI230">
        <f t="shared" si="119"/>
        <v>0.01</v>
      </c>
    </row>
    <row r="231" spans="5:35" x14ac:dyDescent="0.25">
      <c r="E231">
        <f t="shared" si="110"/>
        <v>826.89061490198867</v>
      </c>
      <c r="F231">
        <f t="shared" si="90"/>
        <v>0.69531144812694901</v>
      </c>
      <c r="G231">
        <f t="shared" si="91"/>
        <v>7.6028100773782803E-5</v>
      </c>
      <c r="H231">
        <f t="shared" si="92"/>
        <v>9.9377604780629569E-2</v>
      </c>
      <c r="I231">
        <f t="shared" si="93"/>
        <v>1.1179980537820827E-2</v>
      </c>
      <c r="J231">
        <f t="shared" si="94"/>
        <v>4.9688802390314785E-2</v>
      </c>
      <c r="K231">
        <f t="shared" si="95"/>
        <v>5.1318968022303387E-4</v>
      </c>
      <c r="L231">
        <v>230</v>
      </c>
      <c r="M231">
        <f t="shared" si="111"/>
        <v>0.1</v>
      </c>
      <c r="N231">
        <f t="shared" si="96"/>
        <v>1.7656061643375742</v>
      </c>
      <c r="O231">
        <f t="shared" si="97"/>
        <v>1.5795498858475871E-3</v>
      </c>
      <c r="P231">
        <f t="shared" si="98"/>
        <v>0.65542681301721006</v>
      </c>
      <c r="Q231">
        <f t="shared" si="99"/>
        <v>7.3735516464436129E-2</v>
      </c>
      <c r="R231">
        <f t="shared" si="100"/>
        <v>0.32771340650860503</v>
      </c>
      <c r="S231">
        <f t="shared" si="101"/>
        <v>1.0661961729471212E-2</v>
      </c>
      <c r="T231">
        <f t="shared" si="102"/>
        <v>0.15</v>
      </c>
      <c r="U231">
        <f t="shared" si="112"/>
        <v>4.8816270921510805</v>
      </c>
      <c r="V231">
        <f t="shared" si="103"/>
        <v>0.45038380742734285</v>
      </c>
      <c r="W231">
        <f t="shared" si="104"/>
        <v>0.12722493582873434</v>
      </c>
      <c r="X231">
        <f t="shared" si="105"/>
        <v>2.0540314843592982</v>
      </c>
      <c r="Y231">
        <f t="shared" si="106"/>
        <v>0.23107854199042105</v>
      </c>
      <c r="Z231">
        <f t="shared" si="107"/>
        <v>1.0270157421796491</v>
      </c>
      <c r="AA231">
        <f t="shared" si="108"/>
        <v>0.85876831684395682</v>
      </c>
      <c r="AB231">
        <f t="shared" si="109"/>
        <v>1E-4</v>
      </c>
      <c r="AC231">
        <f t="shared" si="113"/>
        <v>1.307879653842754</v>
      </c>
      <c r="AD231">
        <f t="shared" si="114"/>
        <v>0.49083344956687702</v>
      </c>
      <c r="AE231">
        <f t="shared" si="115"/>
        <v>6.7264148371994112</v>
      </c>
      <c r="AF231">
        <f t="shared" si="116"/>
        <v>0.75672166918493378</v>
      </c>
      <c r="AG231">
        <f t="shared" si="117"/>
        <v>3.3632074185997056</v>
      </c>
      <c r="AH231">
        <f t="shared" si="118"/>
        <v>3.3131257845764197</v>
      </c>
      <c r="AI231">
        <f t="shared" si="119"/>
        <v>0.01</v>
      </c>
    </row>
    <row r="232" spans="5:35" x14ac:dyDescent="0.25">
      <c r="E232">
        <f t="shared" si="110"/>
        <v>851.69733334904834</v>
      </c>
      <c r="F232">
        <f t="shared" si="90"/>
        <v>0.69207912852941056</v>
      </c>
      <c r="G232">
        <f t="shared" si="91"/>
        <v>7.1663771338647368E-5</v>
      </c>
      <c r="H232">
        <f t="shared" si="92"/>
        <v>9.6479879257316298E-2</v>
      </c>
      <c r="I232">
        <f t="shared" si="93"/>
        <v>1.0853986416448082E-2</v>
      </c>
      <c r="J232">
        <f t="shared" si="94"/>
        <v>4.8239939628658149E-2</v>
      </c>
      <c r="K232">
        <f t="shared" si="95"/>
        <v>4.837304565358698E-4</v>
      </c>
      <c r="L232">
        <v>231</v>
      </c>
      <c r="M232">
        <f t="shared" si="111"/>
        <v>0.1</v>
      </c>
      <c r="N232">
        <f t="shared" si="96"/>
        <v>1.7558380498710557</v>
      </c>
      <c r="O232">
        <f t="shared" si="97"/>
        <v>1.4888761356700595E-3</v>
      </c>
      <c r="P232">
        <f t="shared" si="98"/>
        <v>0.63626923142211789</v>
      </c>
      <c r="Q232">
        <f t="shared" si="99"/>
        <v>7.1580288534988268E-2</v>
      </c>
      <c r="R232">
        <f t="shared" si="100"/>
        <v>0.31813461571105894</v>
      </c>
      <c r="S232">
        <f t="shared" si="101"/>
        <v>1.0049913915772903E-2</v>
      </c>
      <c r="T232">
        <f t="shared" si="102"/>
        <v>0.15</v>
      </c>
      <c r="U232">
        <f t="shared" si="112"/>
        <v>4.930443363072591</v>
      </c>
      <c r="V232">
        <f t="shared" si="103"/>
        <v>0.44838065974701163</v>
      </c>
      <c r="W232">
        <f t="shared" si="104"/>
        <v>0.12469205345725692</v>
      </c>
      <c r="X232">
        <f t="shared" si="105"/>
        <v>2.0313994023745603</v>
      </c>
      <c r="Y232">
        <f t="shared" si="106"/>
        <v>0.22853243276713808</v>
      </c>
      <c r="Z232">
        <f t="shared" si="107"/>
        <v>1.0156997011872801</v>
      </c>
      <c r="AA232">
        <f t="shared" si="108"/>
        <v>0.84167136083648419</v>
      </c>
      <c r="AB232">
        <f t="shared" si="109"/>
        <v>1E-4</v>
      </c>
      <c r="AC232">
        <f t="shared" si="113"/>
        <v>1.301570567447585</v>
      </c>
      <c r="AD232">
        <f t="shared" si="114"/>
        <v>0.48101671387521316</v>
      </c>
      <c r="AE232">
        <f t="shared" si="115"/>
        <v>6.6505892319454007</v>
      </c>
      <c r="AF232">
        <f t="shared" si="116"/>
        <v>0.74819128859385753</v>
      </c>
      <c r="AG232">
        <f t="shared" si="117"/>
        <v>3.3252946159727004</v>
      </c>
      <c r="AH232">
        <f t="shared" si="118"/>
        <v>3.2468628186576889</v>
      </c>
      <c r="AI232">
        <f t="shared" si="119"/>
        <v>0.01</v>
      </c>
    </row>
    <row r="233" spans="5:35" x14ac:dyDescent="0.25">
      <c r="E233">
        <f t="shared" si="110"/>
        <v>877.24825334951981</v>
      </c>
      <c r="F233">
        <f t="shared" si="90"/>
        <v>0.68887483729815369</v>
      </c>
      <c r="G233">
        <f t="shared" si="91"/>
        <v>6.7549972872484829E-5</v>
      </c>
      <c r="H233">
        <f t="shared" si="92"/>
        <v>9.3666739248037298E-2</v>
      </c>
      <c r="I233">
        <f t="shared" si="93"/>
        <v>1.0537508165404197E-2</v>
      </c>
      <c r="J233">
        <f t="shared" si="94"/>
        <v>4.6833369624018649E-2</v>
      </c>
      <c r="K233">
        <f t="shared" si="95"/>
        <v>4.559623168892726E-4</v>
      </c>
      <c r="L233">
        <v>232</v>
      </c>
      <c r="M233">
        <f t="shared" si="111"/>
        <v>0.1</v>
      </c>
      <c r="N233">
        <f t="shared" si="96"/>
        <v>1.7461717424244223</v>
      </c>
      <c r="O233">
        <f t="shared" si="97"/>
        <v>1.40340755514073E-3</v>
      </c>
      <c r="P233">
        <f t="shared" si="98"/>
        <v>0.61767352457507374</v>
      </c>
      <c r="Q233">
        <f t="shared" si="99"/>
        <v>6.9488271514695804E-2</v>
      </c>
      <c r="R233">
        <f t="shared" si="100"/>
        <v>0.30883676228753687</v>
      </c>
      <c r="S233">
        <f t="shared" si="101"/>
        <v>9.4730009971999291E-3</v>
      </c>
      <c r="T233">
        <f t="shared" si="102"/>
        <v>0.15</v>
      </c>
      <c r="U233">
        <f t="shared" si="112"/>
        <v>4.9797477967033172</v>
      </c>
      <c r="V233">
        <f t="shared" si="103"/>
        <v>0.4463948583512608</v>
      </c>
      <c r="W233">
        <f t="shared" si="104"/>
        <v>0.12221010563046877</v>
      </c>
      <c r="X233">
        <f t="shared" si="105"/>
        <v>2.0090416711903232</v>
      </c>
      <c r="Y233">
        <f t="shared" si="106"/>
        <v>0.22601718800891132</v>
      </c>
      <c r="Z233">
        <f t="shared" si="107"/>
        <v>1.0045208355951616</v>
      </c>
      <c r="AA233">
        <f t="shared" si="108"/>
        <v>0.82491821300566426</v>
      </c>
      <c r="AB233">
        <f t="shared" si="109"/>
        <v>1E-4</v>
      </c>
      <c r="AC233">
        <f t="shared" si="113"/>
        <v>1.2953208200484698</v>
      </c>
      <c r="AD233">
        <f t="shared" si="114"/>
        <v>0.47139916280863531</v>
      </c>
      <c r="AE233">
        <f t="shared" si="115"/>
        <v>6.575721100123177</v>
      </c>
      <c r="AF233">
        <f t="shared" si="116"/>
        <v>0.73976862376385755</v>
      </c>
      <c r="AG233">
        <f t="shared" si="117"/>
        <v>3.2878605500615885</v>
      </c>
      <c r="AH233">
        <f t="shared" si="118"/>
        <v>3.1819443489582881</v>
      </c>
      <c r="AI233">
        <f t="shared" si="119"/>
        <v>0.01</v>
      </c>
    </row>
    <row r="234" spans="5:35" x14ac:dyDescent="0.25">
      <c r="E234">
        <f t="shared" si="110"/>
        <v>903.56570095000541</v>
      </c>
      <c r="F234">
        <f t="shared" si="90"/>
        <v>0.68569821199671821</v>
      </c>
      <c r="G234">
        <f t="shared" si="91"/>
        <v>6.3672323805265298E-5</v>
      </c>
      <c r="H234">
        <f t="shared" si="92"/>
        <v>9.0935710417634624E-2</v>
      </c>
      <c r="I234">
        <f t="shared" si="93"/>
        <v>1.0230267421983895E-2</v>
      </c>
      <c r="J234">
        <f t="shared" si="94"/>
        <v>4.5467855208817312E-2</v>
      </c>
      <c r="K234">
        <f t="shared" si="95"/>
        <v>4.2978818568554074E-4</v>
      </c>
      <c r="L234">
        <v>233</v>
      </c>
      <c r="M234">
        <f t="shared" si="111"/>
        <v>0.1</v>
      </c>
      <c r="N234">
        <f t="shared" si="96"/>
        <v>1.7366056603043281</v>
      </c>
      <c r="O234">
        <f t="shared" si="97"/>
        <v>1.3228453322381749E-3</v>
      </c>
      <c r="P234">
        <f t="shared" si="98"/>
        <v>0.59962310293447196</v>
      </c>
      <c r="Q234">
        <f t="shared" si="99"/>
        <v>6.7457599080128106E-2</v>
      </c>
      <c r="R234">
        <f t="shared" si="100"/>
        <v>0.29981155146723598</v>
      </c>
      <c r="S234">
        <f t="shared" si="101"/>
        <v>8.9292059926076809E-3</v>
      </c>
      <c r="T234">
        <f t="shared" si="102"/>
        <v>0.15</v>
      </c>
      <c r="U234">
        <f t="shared" si="112"/>
        <v>5.0295452746703502</v>
      </c>
      <c r="V234">
        <f t="shared" si="103"/>
        <v>0.44442617893468034</v>
      </c>
      <c r="W234">
        <f t="shared" si="104"/>
        <v>0.11977804806707718</v>
      </c>
      <c r="X234">
        <f t="shared" si="105"/>
        <v>1.9869544190956341</v>
      </c>
      <c r="Y234">
        <f t="shared" si="106"/>
        <v>0.22353237214825886</v>
      </c>
      <c r="Z234">
        <f t="shared" si="107"/>
        <v>0.99347720954781704</v>
      </c>
      <c r="AA234">
        <f t="shared" si="108"/>
        <v>0.80850182445277097</v>
      </c>
      <c r="AB234">
        <f t="shared" si="109"/>
        <v>1E-4</v>
      </c>
      <c r="AC234">
        <f t="shared" si="113"/>
        <v>1.2891295785322059</v>
      </c>
      <c r="AD234">
        <f t="shared" si="114"/>
        <v>0.46197664212728473</v>
      </c>
      <c r="AE234">
        <f t="shared" si="115"/>
        <v>6.5017960567393276</v>
      </c>
      <c r="AF234">
        <f t="shared" si="116"/>
        <v>0.73145205638317434</v>
      </c>
      <c r="AG234">
        <f t="shared" si="117"/>
        <v>3.2508980283696638</v>
      </c>
      <c r="AH234">
        <f t="shared" si="118"/>
        <v>3.1183423343591716</v>
      </c>
      <c r="AI234">
        <f t="shared" si="119"/>
        <v>0.01</v>
      </c>
    </row>
    <row r="235" spans="5:35" x14ac:dyDescent="0.25">
      <c r="E235">
        <f t="shared" si="110"/>
        <v>930.6726719785056</v>
      </c>
      <c r="F235">
        <f t="shared" si="90"/>
        <v>0.68254889641072836</v>
      </c>
      <c r="G235">
        <f t="shared" si="91"/>
        <v>6.0017268135441379E-5</v>
      </c>
      <c r="H235">
        <f t="shared" si="92"/>
        <v>8.8284391113458413E-2</v>
      </c>
      <c r="I235">
        <f t="shared" si="93"/>
        <v>9.9319940002640713E-3</v>
      </c>
      <c r="J235">
        <f t="shared" si="94"/>
        <v>4.4142195556729207E-2</v>
      </c>
      <c r="K235">
        <f t="shared" si="95"/>
        <v>4.0511655991422931E-4</v>
      </c>
      <c r="L235">
        <v>234</v>
      </c>
      <c r="M235">
        <f t="shared" si="111"/>
        <v>0.1</v>
      </c>
      <c r="N235">
        <f t="shared" si="96"/>
        <v>1.727138254413247</v>
      </c>
      <c r="O235">
        <f t="shared" si="97"/>
        <v>1.2469078095335004E-3</v>
      </c>
      <c r="P235">
        <f t="shared" si="98"/>
        <v>0.58210187311900452</v>
      </c>
      <c r="Q235">
        <f t="shared" si="99"/>
        <v>6.5486460725888013E-2</v>
      </c>
      <c r="R235">
        <f t="shared" si="100"/>
        <v>0.29105093655950226</v>
      </c>
      <c r="S235">
        <f t="shared" si="101"/>
        <v>8.416627714351128E-3</v>
      </c>
      <c r="T235">
        <f t="shared" si="102"/>
        <v>0.15</v>
      </c>
      <c r="U235">
        <f t="shared" si="112"/>
        <v>5.0798407274170536</v>
      </c>
      <c r="V235">
        <f t="shared" si="103"/>
        <v>0.44247440104259533</v>
      </c>
      <c r="W235">
        <f t="shared" si="104"/>
        <v>0.11739485868474464</v>
      </c>
      <c r="X235">
        <f t="shared" si="105"/>
        <v>1.9651338410355235</v>
      </c>
      <c r="Y235">
        <f t="shared" si="106"/>
        <v>0.22107755711649638</v>
      </c>
      <c r="Z235">
        <f t="shared" si="107"/>
        <v>0.98256692051776173</v>
      </c>
      <c r="AA235">
        <f t="shared" si="108"/>
        <v>0.79241529612202632</v>
      </c>
      <c r="AB235">
        <f t="shared" si="109"/>
        <v>1E-4</v>
      </c>
      <c r="AC235">
        <f t="shared" si="113"/>
        <v>1.282996025308706</v>
      </c>
      <c r="AD235">
        <f t="shared" si="114"/>
        <v>0.45274508869201729</v>
      </c>
      <c r="AE235">
        <f t="shared" si="115"/>
        <v>6.428799984727414</v>
      </c>
      <c r="AF235">
        <f t="shared" si="116"/>
        <v>0.72323999828183405</v>
      </c>
      <c r="AG235">
        <f t="shared" si="117"/>
        <v>3.214399992363707</v>
      </c>
      <c r="AH235">
        <f t="shared" si="118"/>
        <v>3.0560293486711165</v>
      </c>
      <c r="AI235">
        <f t="shared" si="119"/>
        <v>0.01</v>
      </c>
    </row>
    <row r="236" spans="5:35" x14ac:dyDescent="0.25">
      <c r="E236">
        <f t="shared" si="110"/>
        <v>958.59285213786075</v>
      </c>
      <c r="F236">
        <f t="shared" si="90"/>
        <v>0.67942654041493822</v>
      </c>
      <c r="G236">
        <f t="shared" si="91"/>
        <v>5.6572028038100202E-5</v>
      </c>
      <c r="H236">
        <f t="shared" si="92"/>
        <v>8.5710450213002665E-2</v>
      </c>
      <c r="I236">
        <f t="shared" si="93"/>
        <v>9.6424256489628015E-3</v>
      </c>
      <c r="J236">
        <f t="shared" si="94"/>
        <v>4.2855225106501332E-2</v>
      </c>
      <c r="K236">
        <f t="shared" si="95"/>
        <v>3.8186118925717633E-4</v>
      </c>
      <c r="L236">
        <v>235</v>
      </c>
      <c r="M236">
        <f t="shared" si="111"/>
        <v>0.1</v>
      </c>
      <c r="N236">
        <f t="shared" si="96"/>
        <v>1.7177680074140829</v>
      </c>
      <c r="O236">
        <f t="shared" si="97"/>
        <v>1.1753294992725783E-3</v>
      </c>
      <c r="P236">
        <f t="shared" si="98"/>
        <v>0.56509422270364129</v>
      </c>
      <c r="Q236">
        <f t="shared" si="99"/>
        <v>6.3573100054159642E-2</v>
      </c>
      <c r="R236">
        <f t="shared" si="100"/>
        <v>0.28254711135182065</v>
      </c>
      <c r="S236">
        <f t="shared" si="101"/>
        <v>7.9334741200899044E-3</v>
      </c>
      <c r="T236">
        <f t="shared" si="102"/>
        <v>0.15</v>
      </c>
      <c r="U236">
        <f t="shared" si="112"/>
        <v>5.1306391346912239</v>
      </c>
      <c r="V236">
        <f t="shared" si="103"/>
        <v>0.44053930798879187</v>
      </c>
      <c r="W236">
        <f t="shared" si="104"/>
        <v>0.1150595370972755</v>
      </c>
      <c r="X236">
        <f t="shared" si="105"/>
        <v>1.9435761971981282</v>
      </c>
      <c r="Y236">
        <f t="shared" si="106"/>
        <v>0.21865232218478942</v>
      </c>
      <c r="Z236">
        <f t="shared" si="107"/>
        <v>0.97178809859906412</v>
      </c>
      <c r="AA236">
        <f t="shared" si="108"/>
        <v>0.77665187540660952</v>
      </c>
      <c r="AB236">
        <f t="shared" si="109"/>
        <v>1E-4</v>
      </c>
      <c r="AC236">
        <f t="shared" si="113"/>
        <v>1.276919357951136</v>
      </c>
      <c r="AD236">
        <f t="shared" si="114"/>
        <v>0.44370052829135526</v>
      </c>
      <c r="AE236">
        <f t="shared" si="115"/>
        <v>6.3567190287740276</v>
      </c>
      <c r="AF236">
        <f t="shared" si="116"/>
        <v>0.71513089073707814</v>
      </c>
      <c r="AG236">
        <f t="shared" si="117"/>
        <v>3.1783595143870138</v>
      </c>
      <c r="AH236">
        <f t="shared" si="118"/>
        <v>2.9949785659666479</v>
      </c>
      <c r="AI236">
        <f t="shared" si="119"/>
        <v>0.01</v>
      </c>
    </row>
    <row r="237" spans="5:35" x14ac:dyDescent="0.25">
      <c r="E237">
        <f t="shared" si="110"/>
        <v>987.35063770199656</v>
      </c>
      <c r="F237">
        <f t="shared" si="90"/>
        <v>0.67633079984367894</v>
      </c>
      <c r="G237">
        <f t="shared" si="91"/>
        <v>5.3324559193695167E-5</v>
      </c>
      <c r="H237">
        <f t="shared" si="92"/>
        <v>8.3211625036273898E-2</v>
      </c>
      <c r="I237">
        <f t="shared" si="93"/>
        <v>9.3613078165808144E-3</v>
      </c>
      <c r="J237">
        <f t="shared" si="94"/>
        <v>4.1605812518136949E-2</v>
      </c>
      <c r="K237">
        <f t="shared" si="95"/>
        <v>3.5994077455744238E-4</v>
      </c>
      <c r="L237">
        <v>236</v>
      </c>
      <c r="M237">
        <f t="shared" si="111"/>
        <v>0.1</v>
      </c>
      <c r="N237">
        <f t="shared" si="96"/>
        <v>1.7084934329203798</v>
      </c>
      <c r="O237">
        <f t="shared" si="97"/>
        <v>1.1078601550159888E-3</v>
      </c>
      <c r="P237">
        <f t="shared" si="98"/>
        <v>0.54858500550235856</v>
      </c>
      <c r="Q237">
        <f t="shared" si="99"/>
        <v>6.1715813119015347E-2</v>
      </c>
      <c r="R237">
        <f t="shared" si="100"/>
        <v>0.27429250275117928</v>
      </c>
      <c r="S237">
        <f t="shared" si="101"/>
        <v>7.4780560463579239E-3</v>
      </c>
      <c r="T237">
        <f t="shared" si="102"/>
        <v>0.15</v>
      </c>
      <c r="U237">
        <f t="shared" si="112"/>
        <v>5.1819455260381364</v>
      </c>
      <c r="V237">
        <f t="shared" si="103"/>
        <v>0.43862068677532889</v>
      </c>
      <c r="W237">
        <f t="shared" si="104"/>
        <v>0.11277110412438583</v>
      </c>
      <c r="X237">
        <f t="shared" si="105"/>
        <v>1.9222778116378048</v>
      </c>
      <c r="Y237">
        <f t="shared" si="106"/>
        <v>0.21625625380925304</v>
      </c>
      <c r="Z237">
        <f t="shared" si="107"/>
        <v>0.96113890581890238</v>
      </c>
      <c r="AA237">
        <f t="shared" si="108"/>
        <v>0.76120495283960443</v>
      </c>
      <c r="AB237">
        <f t="shared" si="109"/>
        <v>1E-4</v>
      </c>
      <c r="AC237">
        <f t="shared" si="113"/>
        <v>1.2708987888459828</v>
      </c>
      <c r="AD237">
        <f t="shared" si="114"/>
        <v>0.43483907352703738</v>
      </c>
      <c r="AE237">
        <f t="shared" si="115"/>
        <v>6.2855395893155563</v>
      </c>
      <c r="AF237">
        <f t="shared" si="116"/>
        <v>0.70712320379799998</v>
      </c>
      <c r="AG237">
        <f t="shared" si="117"/>
        <v>3.1427697946577782</v>
      </c>
      <c r="AH237">
        <f t="shared" si="118"/>
        <v>2.9351637463075022</v>
      </c>
      <c r="AI237">
        <f t="shared" si="119"/>
        <v>0.01</v>
      </c>
    </row>
    <row r="238" spans="5:35" x14ac:dyDescent="0.25">
      <c r="E238">
        <f t="shared" si="110"/>
        <v>1016.9711568330565</v>
      </c>
      <c r="F238">
        <f t="shared" si="90"/>
        <v>0.67326133636459373</v>
      </c>
      <c r="G238">
        <f t="shared" si="91"/>
        <v>5.0263508681174531E-5</v>
      </c>
      <c r="H238">
        <f t="shared" si="92"/>
        <v>8.0785719320888766E-2</v>
      </c>
      <c r="I238">
        <f t="shared" si="93"/>
        <v>9.0883934235999851E-3</v>
      </c>
      <c r="J238">
        <f t="shared" si="94"/>
        <v>4.0392859660444383E-2</v>
      </c>
      <c r="K238">
        <f t="shared" si="95"/>
        <v>3.3927868359792809E-4</v>
      </c>
      <c r="L238">
        <v>237</v>
      </c>
      <c r="M238">
        <f t="shared" si="111"/>
        <v>0.1</v>
      </c>
      <c r="N238">
        <f t="shared" si="96"/>
        <v>1.699313074711144</v>
      </c>
      <c r="O238">
        <f t="shared" si="97"/>
        <v>1.0442638965878685E-3</v>
      </c>
      <c r="P238">
        <f t="shared" si="98"/>
        <v>0.53255952732086176</v>
      </c>
      <c r="Q238">
        <f t="shared" si="99"/>
        <v>5.9912946823596956E-2</v>
      </c>
      <c r="R238">
        <f t="shared" si="100"/>
        <v>0.26627976366043088</v>
      </c>
      <c r="S238">
        <f t="shared" si="101"/>
        <v>7.0487813019681125E-3</v>
      </c>
      <c r="T238">
        <f t="shared" si="102"/>
        <v>0.15</v>
      </c>
      <c r="U238">
        <f t="shared" si="112"/>
        <v>5.2337649812985179</v>
      </c>
      <c r="V238">
        <f t="shared" si="103"/>
        <v>0.43671832801439842</v>
      </c>
      <c r="W238">
        <f t="shared" si="104"/>
        <v>0.11052860131369799</v>
      </c>
      <c r="X238">
        <f t="shared" si="105"/>
        <v>1.9012350709331607</v>
      </c>
      <c r="Y238">
        <f t="shared" si="106"/>
        <v>0.21388894547998058</v>
      </c>
      <c r="Z238">
        <f t="shared" si="107"/>
        <v>0.95061753546658034</v>
      </c>
      <c r="AA238">
        <f t="shared" si="108"/>
        <v>0.74606805886746141</v>
      </c>
      <c r="AB238">
        <f t="shared" si="109"/>
        <v>1E-4</v>
      </c>
      <c r="AC238">
        <f t="shared" si="113"/>
        <v>1.2649335448528274</v>
      </c>
      <c r="AD238">
        <f t="shared" si="114"/>
        <v>0.42615692175633585</v>
      </c>
      <c r="AE238">
        <f t="shared" si="115"/>
        <v>6.2152483167002117</v>
      </c>
      <c r="AF238">
        <f t="shared" si="116"/>
        <v>0.69921543562877375</v>
      </c>
      <c r="AG238">
        <f t="shared" si="117"/>
        <v>3.1076241583501059</v>
      </c>
      <c r="AH238">
        <f t="shared" si="118"/>
        <v>2.8765592218552669</v>
      </c>
      <c r="AI238">
        <f t="shared" si="119"/>
        <v>0.01</v>
      </c>
    </row>
    <row r="239" spans="5:35" x14ac:dyDescent="0.25">
      <c r="E239">
        <f t="shared" si="110"/>
        <v>1047.4802915380483</v>
      </c>
      <c r="F239">
        <f t="shared" si="90"/>
        <v>0.67021781735557473</v>
      </c>
      <c r="G239">
        <f t="shared" si="91"/>
        <v>4.7378175288290318E-5</v>
      </c>
      <c r="H239">
        <f t="shared" si="92"/>
        <v>7.8430601257962571E-2</v>
      </c>
      <c r="I239">
        <f t="shared" si="93"/>
        <v>8.8234426415207904E-3</v>
      </c>
      <c r="J239">
        <f t="shared" si="94"/>
        <v>3.9215300628981285E-2</v>
      </c>
      <c r="K239">
        <f t="shared" si="95"/>
        <v>3.198026831959596E-4</v>
      </c>
      <c r="L239">
        <v>238</v>
      </c>
      <c r="M239">
        <f t="shared" si="111"/>
        <v>0.1</v>
      </c>
      <c r="N239">
        <f t="shared" si="96"/>
        <v>1.6902255059694735</v>
      </c>
      <c r="O239">
        <f t="shared" si="97"/>
        <v>9.8431838527159119E-4</v>
      </c>
      <c r="P239">
        <f t="shared" si="98"/>
        <v>0.51700353216318107</v>
      </c>
      <c r="Q239">
        <f t="shared" si="99"/>
        <v>5.8162897368357863E-2</v>
      </c>
      <c r="R239">
        <f t="shared" si="100"/>
        <v>0.25850176608159053</v>
      </c>
      <c r="S239">
        <f t="shared" si="101"/>
        <v>6.6441491005832416E-3</v>
      </c>
      <c r="T239">
        <f t="shared" si="102"/>
        <v>0.15</v>
      </c>
      <c r="U239">
        <f t="shared" si="112"/>
        <v>5.2861026311115031</v>
      </c>
      <c r="V239">
        <f t="shared" si="103"/>
        <v>0.43483202585216479</v>
      </c>
      <c r="W239">
        <f t="shared" si="104"/>
        <v>0.10833109047461081</v>
      </c>
      <c r="X239">
        <f t="shared" si="105"/>
        <v>1.8804444228789721</v>
      </c>
      <c r="Y239">
        <f t="shared" si="106"/>
        <v>0.21154999757388435</v>
      </c>
      <c r="Z239">
        <f t="shared" si="107"/>
        <v>0.94022221143948603</v>
      </c>
      <c r="AA239">
        <f t="shared" si="108"/>
        <v>0.73123486070362309</v>
      </c>
      <c r="AB239">
        <f t="shared" si="109"/>
        <v>1E-4</v>
      </c>
      <c r="AC239">
        <f t="shared" si="113"/>
        <v>1.2590228669734023</v>
      </c>
      <c r="AD239">
        <f t="shared" si="114"/>
        <v>0.41765035308937248</v>
      </c>
      <c r="AE239">
        <f t="shared" si="115"/>
        <v>6.1458321055100091</v>
      </c>
      <c r="AF239">
        <f t="shared" si="116"/>
        <v>0.69140611186987599</v>
      </c>
      <c r="AG239">
        <f t="shared" si="117"/>
        <v>3.0729160527550046</v>
      </c>
      <c r="AH239">
        <f t="shared" si="118"/>
        <v>2.8191398833532642</v>
      </c>
      <c r="AI239">
        <f t="shared" si="119"/>
        <v>0.01</v>
      </c>
    </row>
    <row r="240" spans="5:35" x14ac:dyDescent="0.25">
      <c r="E240">
        <f t="shared" si="110"/>
        <v>1078.9047002841899</v>
      </c>
      <c r="F240">
        <f t="shared" si="90"/>
        <v>0.66719991578479909</v>
      </c>
      <c r="G240">
        <f t="shared" si="91"/>
        <v>4.4658472100323825E-5</v>
      </c>
      <c r="H240">
        <f t="shared" si="92"/>
        <v>7.6144201586913235E-2</v>
      </c>
      <c r="I240">
        <f t="shared" si="93"/>
        <v>8.5662226785277393E-3</v>
      </c>
      <c r="J240">
        <f t="shared" si="94"/>
        <v>3.8072100793456617E-2</v>
      </c>
      <c r="K240">
        <f t="shared" si="95"/>
        <v>3.0144468667718581E-4</v>
      </c>
      <c r="L240">
        <v>239</v>
      </c>
      <c r="M240">
        <f t="shared" si="111"/>
        <v>0.1</v>
      </c>
      <c r="N240">
        <f t="shared" si="96"/>
        <v>1.6812293285441271</v>
      </c>
      <c r="O240">
        <f t="shared" si="97"/>
        <v>9.2781404636619442E-4</v>
      </c>
      <c r="P240">
        <f t="shared" si="98"/>
        <v>0.50190318887663954</v>
      </c>
      <c r="Q240">
        <f t="shared" si="99"/>
        <v>5.6464108748621948E-2</v>
      </c>
      <c r="R240">
        <f t="shared" si="100"/>
        <v>0.25095159443831977</v>
      </c>
      <c r="S240">
        <f t="shared" si="101"/>
        <v>6.262744812971812E-3</v>
      </c>
      <c r="T240">
        <f t="shared" si="102"/>
        <v>0.15</v>
      </c>
      <c r="U240">
        <f t="shared" si="112"/>
        <v>5.3389636574226182</v>
      </c>
      <c r="V240">
        <f t="shared" si="103"/>
        <v>0.43296157789452172</v>
      </c>
      <c r="W240">
        <f t="shared" si="104"/>
        <v>0.10617765322371002</v>
      </c>
      <c r="X240">
        <f t="shared" si="105"/>
        <v>1.8599023752109924</v>
      </c>
      <c r="Y240">
        <f t="shared" si="106"/>
        <v>0.20923901721123667</v>
      </c>
      <c r="Z240">
        <f t="shared" si="107"/>
        <v>0.92995118760549622</v>
      </c>
      <c r="AA240">
        <f t="shared" si="108"/>
        <v>0.71669915926004257</v>
      </c>
      <c r="AB240">
        <f t="shared" si="109"/>
        <v>1E-4</v>
      </c>
      <c r="AC240">
        <f t="shared" si="113"/>
        <v>1.2531660100297046</v>
      </c>
      <c r="AD240">
        <f t="shared" si="114"/>
        <v>0.40931572843973352</v>
      </c>
      <c r="AE240">
        <f t="shared" si="115"/>
        <v>6.0772780890376072</v>
      </c>
      <c r="AF240">
        <f t="shared" si="116"/>
        <v>0.68369378501673084</v>
      </c>
      <c r="AG240">
        <f t="shared" si="117"/>
        <v>3.0386390445188036</v>
      </c>
      <c r="AH240">
        <f t="shared" si="118"/>
        <v>2.7628811669682012</v>
      </c>
      <c r="AI240">
        <f t="shared" si="119"/>
        <v>0.01</v>
      </c>
    </row>
    <row r="241" spans="5:35" x14ac:dyDescent="0.25">
      <c r="E241">
        <f t="shared" si="110"/>
        <v>1111.2718412927156</v>
      </c>
      <c r="F241">
        <f t="shared" si="90"/>
        <v>0.66420731009377598</v>
      </c>
      <c r="G241">
        <f t="shared" si="91"/>
        <v>4.2094891236429506E-5</v>
      </c>
      <c r="H241">
        <f t="shared" si="92"/>
        <v>7.3924511747365626E-2</v>
      </c>
      <c r="I241">
        <f t="shared" si="93"/>
        <v>8.3165075715786324E-3</v>
      </c>
      <c r="J241">
        <f t="shared" si="94"/>
        <v>3.6962255873682813E-2</v>
      </c>
      <c r="K241">
        <f t="shared" si="95"/>
        <v>2.841405158458992E-4</v>
      </c>
      <c r="L241">
        <v>240</v>
      </c>
      <c r="M241">
        <f t="shared" si="111"/>
        <v>0.1</v>
      </c>
      <c r="N241">
        <f t="shared" si="96"/>
        <v>1.6723231722332199</v>
      </c>
      <c r="O241">
        <f t="shared" si="97"/>
        <v>8.7455333638334232E-4</v>
      </c>
      <c r="P241">
        <f t="shared" si="98"/>
        <v>0.48724507822027729</v>
      </c>
      <c r="Q241">
        <f t="shared" si="99"/>
        <v>5.48150712997812E-2</v>
      </c>
      <c r="R241">
        <f t="shared" si="100"/>
        <v>0.24362253911013865</v>
      </c>
      <c r="S241">
        <f t="shared" si="101"/>
        <v>5.90323502058756E-3</v>
      </c>
      <c r="T241">
        <f t="shared" si="102"/>
        <v>0.15</v>
      </c>
      <c r="U241">
        <f t="shared" si="112"/>
        <v>5.3923532939968446</v>
      </c>
      <c r="V241">
        <f t="shared" si="103"/>
        <v>0.43110678513471423</v>
      </c>
      <c r="W241">
        <f t="shared" si="104"/>
        <v>0.10406739054139247</v>
      </c>
      <c r="X241">
        <f t="shared" si="105"/>
        <v>1.8396054943626901</v>
      </c>
      <c r="Y241">
        <f t="shared" si="106"/>
        <v>0.20695561811580263</v>
      </c>
      <c r="Z241">
        <f t="shared" si="107"/>
        <v>0.91980274718134503</v>
      </c>
      <c r="AA241">
        <f t="shared" si="108"/>
        <v>0.70245488615439922</v>
      </c>
      <c r="AB241">
        <f t="shared" si="109"/>
        <v>1E-4</v>
      </c>
      <c r="AC241">
        <f t="shared" si="113"/>
        <v>1.2473622423508648</v>
      </c>
      <c r="AD241">
        <f t="shared" si="114"/>
        <v>0.40114948762673919</v>
      </c>
      <c r="AE241">
        <f t="shared" si="115"/>
        <v>6.0095736339130932</v>
      </c>
      <c r="AF241">
        <f t="shared" si="116"/>
        <v>0.67607703381522299</v>
      </c>
      <c r="AG241">
        <f t="shared" si="117"/>
        <v>3.0047868169565466</v>
      </c>
      <c r="AH241">
        <f t="shared" si="118"/>
        <v>2.70775904148049</v>
      </c>
      <c r="AI241">
        <f t="shared" si="119"/>
        <v>0.01</v>
      </c>
    </row>
    <row r="242" spans="5:35" x14ac:dyDescent="0.25">
      <c r="E242">
        <f t="shared" si="110"/>
        <v>1144.6099965314972</v>
      </c>
      <c r="F242">
        <f t="shared" si="90"/>
        <v>0.66123968408332001</v>
      </c>
      <c r="G242">
        <f t="shared" si="91"/>
        <v>3.9678470610308754E-5</v>
      </c>
      <c r="H242">
        <f t="shared" si="92"/>
        <v>7.1769582086400663E-2</v>
      </c>
      <c r="I242">
        <f t="shared" si="93"/>
        <v>8.0740779847200735E-3</v>
      </c>
      <c r="J242">
        <f t="shared" si="94"/>
        <v>3.5884791043200331E-2</v>
      </c>
      <c r="K242">
        <f t="shared" si="95"/>
        <v>2.6782967661958406E-4</v>
      </c>
      <c r="L242">
        <v>241</v>
      </c>
      <c r="M242">
        <f t="shared" si="111"/>
        <v>0.1</v>
      </c>
      <c r="N242">
        <f t="shared" si="96"/>
        <v>1.6635056940893227</v>
      </c>
      <c r="O242">
        <f t="shared" si="97"/>
        <v>8.2435005232091838E-4</v>
      </c>
      <c r="P242">
        <f t="shared" si="98"/>
        <v>0.4730161803423743</v>
      </c>
      <c r="Q242">
        <f t="shared" si="99"/>
        <v>5.3214320288517115E-2</v>
      </c>
      <c r="R242">
        <f t="shared" si="100"/>
        <v>0.23650809017118715</v>
      </c>
      <c r="S242">
        <f t="shared" si="101"/>
        <v>5.5643628531661998E-3</v>
      </c>
      <c r="T242">
        <f t="shared" si="102"/>
        <v>0.15</v>
      </c>
      <c r="U242">
        <f t="shared" si="112"/>
        <v>5.4462768269368134</v>
      </c>
      <c r="V242">
        <f t="shared" si="103"/>
        <v>0.42926745188275994</v>
      </c>
      <c r="W242">
        <f t="shared" si="104"/>
        <v>0.1019994223393904</v>
      </c>
      <c r="X242">
        <f t="shared" si="105"/>
        <v>1.8195504042529747</v>
      </c>
      <c r="Y242">
        <f t="shared" si="106"/>
        <v>0.20469942047845965</v>
      </c>
      <c r="Z242">
        <f t="shared" si="107"/>
        <v>0.90977520212648733</v>
      </c>
      <c r="AA242">
        <f t="shared" si="108"/>
        <v>0.68849610079088519</v>
      </c>
      <c r="AB242">
        <f t="shared" si="109"/>
        <v>1E-4</v>
      </c>
      <c r="AC242">
        <f t="shared" si="113"/>
        <v>1.2416108454685049</v>
      </c>
      <c r="AD242">
        <f t="shared" si="114"/>
        <v>0.39314814752778576</v>
      </c>
      <c r="AE242">
        <f t="shared" si="115"/>
        <v>5.9427063348759672</v>
      </c>
      <c r="AF242">
        <f t="shared" si="116"/>
        <v>0.66855446267354635</v>
      </c>
      <c r="AG242">
        <f t="shared" si="117"/>
        <v>2.9713531674379836</v>
      </c>
      <c r="AH242">
        <f t="shared" si="118"/>
        <v>2.6537499958125537</v>
      </c>
      <c r="AI242">
        <f t="shared" si="119"/>
        <v>0.01</v>
      </c>
    </row>
  </sheetData>
  <dataConsolidate/>
  <mergeCells count="10">
    <mergeCell ref="AC1:AI1"/>
    <mergeCell ref="A16:C16"/>
    <mergeCell ref="F1:M1"/>
    <mergeCell ref="N1:T1"/>
    <mergeCell ref="U1:AB1"/>
    <mergeCell ref="A25:C25"/>
    <mergeCell ref="A26:C26"/>
    <mergeCell ref="A32:C32"/>
    <mergeCell ref="A3:C3"/>
    <mergeCell ref="A2:C2"/>
  </mergeCells>
  <dataValidations count="1">
    <dataValidation type="list" allowBlank="1" showInputMessage="1" showErrorMessage="1" sqref="B6 B35 B29 B19">
      <formula1>$F$2:$K$2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ECS</vt:lpstr>
      <vt:lpstr>Coordenograma</vt:lpstr>
      <vt:lpstr>Auxiliar</vt:lpstr>
      <vt:lpstr>Coordenograma 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Jéfferson</dc:creator>
  <cp:lastModifiedBy>Jéfferson</cp:lastModifiedBy>
  <cp:lastPrinted>2021-02-11T23:59:31Z</cp:lastPrinted>
  <dcterms:created xsi:type="dcterms:W3CDTF">2020-12-06T20:08:06Z</dcterms:created>
  <dcterms:modified xsi:type="dcterms:W3CDTF">2021-02-12T00:01:06Z</dcterms:modified>
</cp:coreProperties>
</file>